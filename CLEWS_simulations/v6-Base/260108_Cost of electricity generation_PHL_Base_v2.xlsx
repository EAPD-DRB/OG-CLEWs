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113" documentId="8_{D875D397-26FF-4C78-8A04-DBC5C649A002}" xr6:coauthVersionLast="47" xr6:coauthVersionMax="47" xr10:uidLastSave="{951550CD-3B53-42FA-B666-43236C046144}"/>
  <bookViews>
    <workbookView xWindow="-108" yWindow="-108" windowWidth="23256" windowHeight="13896" tabRatio="892" activeTab="1" xr2:uid="{00000000-000D-0000-FFFF-FFFF00000000}"/>
  </bookViews>
  <sheets>
    <sheet name="Grid_cost_Base" sheetId="20" r:id="rId1"/>
    <sheet name="Investments_Base" sheetId="23" r:id="rId2"/>
    <sheet name="Cost_of_ELCgen" sheetId="11" r:id="rId3"/>
    <sheet name="Variable" sheetId="13" r:id="rId4"/>
    <sheet name="Fixed" sheetId="14" r:id="rId5"/>
    <sheet name="Capital_Investments" sheetId="15" r:id="rId6"/>
    <sheet name="Annualized_Investments" sheetId="19" r:id="rId7"/>
    <sheet name="AnnualProduction" sheetId="16" r:id="rId8"/>
    <sheet name="New Capacity" sheetId="17" r:id="rId9"/>
    <sheet name="Operation Life Time" sheetId="12" state="hidden" r:id="rId10"/>
  </sheets>
  <definedNames>
    <definedName name="_xlnm._FilterDatabase" localSheetId="6" hidden="1">Annualized_Investments!$A$2:$AG$44</definedName>
    <definedName name="_xlnm._FilterDatabase" localSheetId="7" hidden="1">AnnualProduction!$A$1:$BG$2222</definedName>
    <definedName name="_xlnm._FilterDatabase" localSheetId="5" hidden="1">Capital_Investments!$A$2:$AJ$246</definedName>
    <definedName name="_xlnm._FilterDatabase" localSheetId="3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23" l="1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A5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A4" i="23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U98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U77" i="11"/>
  <c r="D35" i="11" l="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C35" i="11"/>
  <c r="C150" i="11" s="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3" i="11"/>
  <c r="C32" i="11"/>
  <c r="C30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A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A7" i="20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34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O151" i="11" l="1"/>
  <c r="O3" i="20" s="1"/>
  <c r="Z151" i="11"/>
  <c r="Z3" i="20" s="1"/>
  <c r="M151" i="11"/>
  <c r="M3" i="20" s="1"/>
  <c r="L151" i="11"/>
  <c r="L3" i="20" s="1"/>
  <c r="K151" i="11"/>
  <c r="K3" i="20" s="1"/>
  <c r="J151" i="11"/>
  <c r="J3" i="20" s="1"/>
  <c r="I151" i="11"/>
  <c r="I3" i="20" s="1"/>
  <c r="H151" i="11"/>
  <c r="H3" i="20" s="1"/>
  <c r="AE151" i="11"/>
  <c r="AE3" i="20" s="1"/>
  <c r="G151" i="11"/>
  <c r="G3" i="20" s="1"/>
  <c r="AD151" i="11"/>
  <c r="AD3" i="20" s="1"/>
  <c r="R151" i="11"/>
  <c r="R3" i="20" s="1"/>
  <c r="F151" i="11"/>
  <c r="F3" i="20" s="1"/>
  <c r="AA151" i="11"/>
  <c r="AA3" i="20" s="1"/>
  <c r="N151" i="11"/>
  <c r="N3" i="20" s="1"/>
  <c r="Y151" i="11"/>
  <c r="Y3" i="20" s="1"/>
  <c r="X151" i="11"/>
  <c r="X3" i="20" s="1"/>
  <c r="W151" i="11"/>
  <c r="W3" i="20" s="1"/>
  <c r="C151" i="11"/>
  <c r="C3" i="20" s="1"/>
  <c r="V151" i="11"/>
  <c r="V3" i="20" s="1"/>
  <c r="AG151" i="11"/>
  <c r="AG3" i="20" s="1"/>
  <c r="U151" i="11"/>
  <c r="U3" i="20" s="1"/>
  <c r="AF151" i="11"/>
  <c r="AF3" i="20" s="1"/>
  <c r="T151" i="11"/>
  <c r="T3" i="20" s="1"/>
  <c r="S151" i="11"/>
  <c r="S3" i="20" s="1"/>
  <c r="AC151" i="11"/>
  <c r="AC3" i="20" s="1"/>
  <c r="Q151" i="11"/>
  <c r="Q3" i="20" s="1"/>
  <c r="E151" i="11"/>
  <c r="E3" i="20" s="1"/>
  <c r="AB151" i="11"/>
  <c r="AB3" i="20" s="1"/>
  <c r="P151" i="11"/>
  <c r="P3" i="20" s="1"/>
  <c r="D151" i="11"/>
  <c r="D3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E104" i="11"/>
  <c r="E227" i="11" s="1"/>
  <c r="F104" i="11"/>
  <c r="F227" i="11" s="1"/>
  <c r="G104" i="11"/>
  <c r="G227" i="11" s="1"/>
  <c r="H104" i="11"/>
  <c r="H227" i="11" s="1"/>
  <c r="I104" i="11"/>
  <c r="I227" i="11" s="1"/>
  <c r="J104" i="11"/>
  <c r="J227" i="11" s="1"/>
  <c r="K104" i="11"/>
  <c r="K227" i="11" s="1"/>
  <c r="L104" i="11"/>
  <c r="L227" i="11" s="1"/>
  <c r="M104" i="11"/>
  <c r="M227" i="11" s="1"/>
  <c r="N104" i="11"/>
  <c r="N227" i="11" s="1"/>
  <c r="O104" i="11"/>
  <c r="O227" i="11" s="1"/>
  <c r="P104" i="11"/>
  <c r="P227" i="11" s="1"/>
  <c r="Q104" i="11"/>
  <c r="Q227" i="11" s="1"/>
  <c r="R104" i="11"/>
  <c r="R227" i="11" s="1"/>
  <c r="S104" i="11"/>
  <c r="S227" i="11" s="1"/>
  <c r="T104" i="11"/>
  <c r="T227" i="11" s="1"/>
  <c r="U104" i="11"/>
  <c r="U227" i="11" s="1"/>
  <c r="V104" i="11"/>
  <c r="V227" i="11" s="1"/>
  <c r="W104" i="11"/>
  <c r="W227" i="11" s="1"/>
  <c r="X104" i="11"/>
  <c r="X227" i="11" s="1"/>
  <c r="Y104" i="11"/>
  <c r="Y227" i="11" s="1"/>
  <c r="Z104" i="11"/>
  <c r="Z227" i="11" s="1"/>
  <c r="AA104" i="11"/>
  <c r="AA227" i="11" s="1"/>
  <c r="AB104" i="11"/>
  <c r="AB227" i="11" s="1"/>
  <c r="AC104" i="11"/>
  <c r="AC227" i="11" s="1"/>
  <c r="AD104" i="11"/>
  <c r="AD227" i="11" s="1"/>
  <c r="AE104" i="11"/>
  <c r="AE227" i="11" s="1"/>
  <c r="AF104" i="11"/>
  <c r="AF227" i="11" s="1"/>
  <c r="AG104" i="11"/>
  <c r="AG227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E106" i="11"/>
  <c r="E229" i="11" s="1"/>
  <c r="F106" i="11"/>
  <c r="F229" i="11" s="1"/>
  <c r="G106" i="11"/>
  <c r="G229" i="11" s="1"/>
  <c r="H106" i="11"/>
  <c r="H229" i="11" s="1"/>
  <c r="I106" i="11"/>
  <c r="I229" i="11" s="1"/>
  <c r="J106" i="11"/>
  <c r="J229" i="11" s="1"/>
  <c r="K106" i="11"/>
  <c r="K229" i="11" s="1"/>
  <c r="L106" i="11"/>
  <c r="L229" i="11" s="1"/>
  <c r="M106" i="11"/>
  <c r="M229" i="11" s="1"/>
  <c r="N106" i="11"/>
  <c r="N229" i="11" s="1"/>
  <c r="O106" i="11"/>
  <c r="O229" i="11" s="1"/>
  <c r="P106" i="11"/>
  <c r="P229" i="11" s="1"/>
  <c r="Q106" i="11"/>
  <c r="Q229" i="11" s="1"/>
  <c r="R106" i="11"/>
  <c r="R229" i="11" s="1"/>
  <c r="S106" i="11"/>
  <c r="S229" i="11" s="1"/>
  <c r="T106" i="11"/>
  <c r="T229" i="11" s="1"/>
  <c r="U106" i="11"/>
  <c r="U229" i="11" s="1"/>
  <c r="V106" i="11"/>
  <c r="V229" i="11" s="1"/>
  <c r="W106" i="11"/>
  <c r="W229" i="11" s="1"/>
  <c r="X106" i="11"/>
  <c r="X229" i="11" s="1"/>
  <c r="Y106" i="11"/>
  <c r="Y229" i="11" s="1"/>
  <c r="Z106" i="11"/>
  <c r="Z229" i="11" s="1"/>
  <c r="AA106" i="11"/>
  <c r="AA229" i="11" s="1"/>
  <c r="AB106" i="11"/>
  <c r="AB229" i="11" s="1"/>
  <c r="AC106" i="11"/>
  <c r="AC229" i="11" s="1"/>
  <c r="AD106" i="11"/>
  <c r="AD229" i="11" s="1"/>
  <c r="AE106" i="11"/>
  <c r="AE229" i="11" s="1"/>
  <c r="AF106" i="11"/>
  <c r="AF229" i="11" s="1"/>
  <c r="AG106" i="11"/>
  <c r="AG229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E110" i="11"/>
  <c r="E233" i="11" s="1"/>
  <c r="F110" i="11"/>
  <c r="F233" i="11" s="1"/>
  <c r="G110" i="11"/>
  <c r="G233" i="11" s="1"/>
  <c r="H110" i="11"/>
  <c r="H233" i="11" s="1"/>
  <c r="I110" i="11"/>
  <c r="I233" i="11" s="1"/>
  <c r="J110" i="11"/>
  <c r="J233" i="11" s="1"/>
  <c r="K110" i="11"/>
  <c r="K233" i="11" s="1"/>
  <c r="L110" i="11"/>
  <c r="L233" i="11" s="1"/>
  <c r="M110" i="11"/>
  <c r="M233" i="11" s="1"/>
  <c r="N110" i="11"/>
  <c r="N233" i="11" s="1"/>
  <c r="O110" i="11"/>
  <c r="O233" i="11" s="1"/>
  <c r="P110" i="11"/>
  <c r="P233" i="11" s="1"/>
  <c r="Q110" i="11"/>
  <c r="Q233" i="11" s="1"/>
  <c r="R110" i="11"/>
  <c r="R233" i="11" s="1"/>
  <c r="S110" i="11"/>
  <c r="S233" i="11" s="1"/>
  <c r="T110" i="11"/>
  <c r="T233" i="11" s="1"/>
  <c r="U110" i="11"/>
  <c r="U233" i="11" s="1"/>
  <c r="V110" i="11"/>
  <c r="V233" i="11" s="1"/>
  <c r="W110" i="11"/>
  <c r="W233" i="11" s="1"/>
  <c r="X110" i="11"/>
  <c r="X233" i="11" s="1"/>
  <c r="Y110" i="11"/>
  <c r="Y233" i="11" s="1"/>
  <c r="Z110" i="11"/>
  <c r="Z233" i="11" s="1"/>
  <c r="AA110" i="11"/>
  <c r="AA233" i="11" s="1"/>
  <c r="AB110" i="11"/>
  <c r="AB233" i="11" s="1"/>
  <c r="AC110" i="11"/>
  <c r="AC233" i="11" s="1"/>
  <c r="AD110" i="11"/>
  <c r="AD233" i="11" s="1"/>
  <c r="AE110" i="11"/>
  <c r="AE233" i="11" s="1"/>
  <c r="AF110" i="11"/>
  <c r="AF233" i="11" s="1"/>
  <c r="AG110" i="11"/>
  <c r="AG233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C154" i="11" l="1"/>
  <c r="C6" i="20" s="1"/>
  <c r="H154" i="11"/>
  <c r="H6" i="20" s="1"/>
  <c r="G154" i="11"/>
  <c r="G6" i="20" s="1"/>
  <c r="AD154" i="11"/>
  <c r="AD6" i="20" s="1"/>
  <c r="AC154" i="11"/>
  <c r="AC6" i="20" s="1"/>
  <c r="P154" i="11"/>
  <c r="P6" i="20" s="1"/>
  <c r="AA154" i="11"/>
  <c r="AA6" i="20" s="1"/>
  <c r="N154" i="11"/>
  <c r="N6" i="20" s="1"/>
  <c r="M154" i="11"/>
  <c r="M6" i="20" s="1"/>
  <c r="X154" i="11"/>
  <c r="X6" i="20" s="1"/>
  <c r="L154" i="11"/>
  <c r="L6" i="20" s="1"/>
  <c r="W154" i="11"/>
  <c r="W6" i="20" s="1"/>
  <c r="K154" i="11"/>
  <c r="K6" i="20" s="1"/>
  <c r="T154" i="11"/>
  <c r="T6" i="20" s="1"/>
  <c r="S154" i="11"/>
  <c r="S6" i="20" s="1"/>
  <c r="F154" i="11"/>
  <c r="F6" i="20" s="1"/>
  <c r="E154" i="11"/>
  <c r="E6" i="20" s="1"/>
  <c r="D154" i="11"/>
  <c r="D6" i="20" s="1"/>
  <c r="O154" i="11"/>
  <c r="O6" i="20" s="1"/>
  <c r="Z154" i="11"/>
  <c r="Z6" i="20" s="1"/>
  <c r="Y154" i="11"/>
  <c r="Y6" i="20" s="1"/>
  <c r="J154" i="11"/>
  <c r="J6" i="20" s="1"/>
  <c r="AF154" i="11"/>
  <c r="AF6" i="20" s="1"/>
  <c r="AE154" i="11"/>
  <c r="AE6" i="20" s="1"/>
  <c r="R154" i="11"/>
  <c r="R6" i="20" s="1"/>
  <c r="Q154" i="11"/>
  <c r="Q6" i="20" s="1"/>
  <c r="AB154" i="11"/>
  <c r="AB6" i="20" s="1"/>
  <c r="V154" i="11"/>
  <c r="V6" i="20" s="1"/>
  <c r="AG154" i="11"/>
  <c r="AG6" i="20" s="1"/>
  <c r="U154" i="11"/>
  <c r="U6" i="20" s="1"/>
  <c r="I154" i="11"/>
  <c r="I6" i="20" s="1"/>
  <c r="Q4" i="11"/>
  <c r="C4" i="11"/>
  <c r="Y236" i="11"/>
  <c r="M236" i="11"/>
  <c r="M150" i="11"/>
  <c r="C227" i="11"/>
  <c r="X236" i="11"/>
  <c r="L236" i="11"/>
  <c r="L150" i="11"/>
  <c r="J236" i="11"/>
  <c r="V150" i="11"/>
  <c r="I150" i="11"/>
  <c r="W236" i="11"/>
  <c r="H150" i="11"/>
  <c r="S150" i="11"/>
  <c r="N236" i="11"/>
  <c r="W150" i="11"/>
  <c r="T236" i="11"/>
  <c r="S236" i="11"/>
  <c r="R236" i="11"/>
  <c r="N150" i="11"/>
  <c r="J150" i="11"/>
  <c r="I236" i="11"/>
  <c r="U150" i="11"/>
  <c r="G236" i="11"/>
  <c r="G150" i="11"/>
  <c r="C31" i="11"/>
  <c r="AC236" i="11"/>
  <c r="Q236" i="11"/>
  <c r="E236" i="11"/>
  <c r="Q150" i="11"/>
  <c r="E150" i="11"/>
  <c r="Z236" i="11"/>
  <c r="V236" i="11"/>
  <c r="AG236" i="11"/>
  <c r="AF236" i="11"/>
  <c r="T150" i="11"/>
  <c r="AE236" i="11"/>
  <c r="F236" i="11"/>
  <c r="F150" i="11"/>
  <c r="AB236" i="11"/>
  <c r="P236" i="11"/>
  <c r="D236" i="11"/>
  <c r="P150" i="11"/>
  <c r="P153" i="11" s="1"/>
  <c r="D150" i="11"/>
  <c r="K236" i="11"/>
  <c r="K150" i="11"/>
  <c r="U236" i="11"/>
  <c r="H236" i="11"/>
  <c r="AD236" i="11"/>
  <c r="R150" i="11"/>
  <c r="AA236" i="11"/>
  <c r="O236" i="11"/>
  <c r="O150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AG150" i="11" l="1"/>
  <c r="AG2" i="20" s="1"/>
  <c r="AF150" i="11"/>
  <c r="AF153" i="11" s="1"/>
  <c r="AD150" i="11"/>
  <c r="AD153" i="11" s="1"/>
  <c r="AB150" i="11"/>
  <c r="AB2" i="20" s="1"/>
  <c r="X150" i="11"/>
  <c r="X2" i="20" s="1"/>
  <c r="AE150" i="11"/>
  <c r="AE2" i="20" s="1"/>
  <c r="Z150" i="11"/>
  <c r="Z153" i="11" s="1"/>
  <c r="C2" i="20"/>
  <c r="Y150" i="11"/>
  <c r="Y2" i="20" s="1"/>
  <c r="AC150" i="11"/>
  <c r="AC153" i="11" s="1"/>
  <c r="J2" i="20"/>
  <c r="J153" i="11"/>
  <c r="P2" i="20"/>
  <c r="V153" i="11"/>
  <c r="V2" i="20"/>
  <c r="K153" i="11"/>
  <c r="K2" i="20"/>
  <c r="AE153" i="11"/>
  <c r="L153" i="11"/>
  <c r="L2" i="20"/>
  <c r="M153" i="11"/>
  <c r="M2" i="20"/>
  <c r="N153" i="11"/>
  <c r="N2" i="20"/>
  <c r="E153" i="11"/>
  <c r="E2" i="20"/>
  <c r="Q2" i="20"/>
  <c r="Q153" i="11"/>
  <c r="G153" i="11"/>
  <c r="G2" i="20"/>
  <c r="S153" i="11"/>
  <c r="S2" i="20"/>
  <c r="O153" i="11"/>
  <c r="O2" i="20"/>
  <c r="F2" i="20"/>
  <c r="F153" i="11"/>
  <c r="H153" i="11"/>
  <c r="H2" i="20"/>
  <c r="R153" i="11"/>
  <c r="R2" i="20"/>
  <c r="T2" i="20"/>
  <c r="T153" i="11"/>
  <c r="AD2" i="20"/>
  <c r="I153" i="11"/>
  <c r="I2" i="20"/>
  <c r="W2" i="20"/>
  <c r="W153" i="11"/>
  <c r="U2" i="20"/>
  <c r="U153" i="11"/>
  <c r="D153" i="11"/>
  <c r="D2" i="20"/>
  <c r="AA150" i="11"/>
  <c r="AA153" i="11" s="1"/>
  <c r="AB153" i="11" l="1"/>
  <c r="AG153" i="11"/>
  <c r="AG155" i="11" s="1"/>
  <c r="Y153" i="11"/>
  <c r="Y155" i="11" s="1"/>
  <c r="C153" i="11"/>
  <c r="C155" i="11" s="1"/>
  <c r="C7" i="20" s="1"/>
  <c r="Z2" i="20"/>
  <c r="AF2" i="20"/>
  <c r="X153" i="11"/>
  <c r="X5" i="20" s="1"/>
  <c r="AC2" i="20"/>
  <c r="AA2" i="20"/>
  <c r="D5" i="20"/>
  <c r="D155" i="11"/>
  <c r="E155" i="11"/>
  <c r="E5" i="20"/>
  <c r="AC5" i="20"/>
  <c r="AC155" i="11"/>
  <c r="AF5" i="20"/>
  <c r="AF155" i="11"/>
  <c r="S155" i="11"/>
  <c r="S5" i="20"/>
  <c r="AE155" i="11"/>
  <c r="AE5" i="20"/>
  <c r="U155" i="11"/>
  <c r="U5" i="20"/>
  <c r="R155" i="11"/>
  <c r="R5" i="20"/>
  <c r="K155" i="11"/>
  <c r="K5" i="20"/>
  <c r="W155" i="11"/>
  <c r="W5" i="20"/>
  <c r="AB155" i="11"/>
  <c r="AB5" i="20"/>
  <c r="AA155" i="11"/>
  <c r="AA5" i="20"/>
  <c r="N155" i="11"/>
  <c r="N5" i="20"/>
  <c r="I155" i="11"/>
  <c r="I5" i="20"/>
  <c r="H5" i="20"/>
  <c r="H155" i="11"/>
  <c r="G155" i="11"/>
  <c r="G5" i="20"/>
  <c r="M5" i="20"/>
  <c r="M155" i="11"/>
  <c r="V5" i="20"/>
  <c r="V155" i="11"/>
  <c r="AD5" i="20"/>
  <c r="AD155" i="11"/>
  <c r="F155" i="11"/>
  <c r="F5" i="20"/>
  <c r="Q155" i="11"/>
  <c r="Q5" i="20"/>
  <c r="P5" i="20"/>
  <c r="P155" i="11"/>
  <c r="T155" i="11"/>
  <c r="T5" i="20"/>
  <c r="Z5" i="20"/>
  <c r="Z155" i="11"/>
  <c r="J155" i="11"/>
  <c r="J5" i="20"/>
  <c r="O5" i="20"/>
  <c r="O155" i="11"/>
  <c r="L155" i="11"/>
  <c r="L5" i="20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AG5" i="20" l="1"/>
  <c r="Y5" i="20"/>
  <c r="C5" i="20"/>
  <c r="X155" i="11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<sst xmlns="http://schemas.openxmlformats.org/spreadsheetml/2006/main" count="1385" uniqueCount="271">
  <si>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</si>
  <si>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</si>
  <si>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</si>
  <si>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</si>
  <si>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</si>
  <si>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</si>
  <si>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</si>
  <si>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</si>
  <si>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</si>
  <si>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</si>
  <si>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</si>
  <si>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</si>
  <si>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</si>
  <si>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</si>
  <si>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</si>
  <si>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</si>
  <si>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</si>
  <si>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</si>
  <si>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</si>
  <si>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</si>
  <si>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</si>
  <si>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</si>
  <si>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</si>
  <si>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</si>
  <si>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</si>
  <si>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</si>
  <si>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</si>
  <si>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</si>
  <si>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</si>
  <si>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</si>
  <si>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</si>
  <si>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</si>
  <si>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</si>
  <si>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</si>
  <si>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</si>
  <si>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</si>
  <si>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</si>
  <si>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</si>
  <si>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</si>
  <si>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</si>
  <si>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</si>
  <si>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</si>
  <si>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</si>
  <si>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</si>
  <si>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</si>
  <si>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</si>
  <si>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</si>
  <si>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</si>
  <si>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</si>
  <si>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</si>
  <si>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</si>
  <si>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</si>
  <si>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</si>
  <si>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</si>
  <si>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</si>
  <si>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</si>
  <si>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</si>
  <si>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</si>
  <si>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</si>
  <si>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</si>
  <si>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</si>
  <si>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</si>
  <si>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</si>
  <si>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</si>
  <si>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</si>
  <si>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</si>
  <si>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</si>
  <si>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</si>
  <si>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</si>
  <si>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</si>
  <si>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</si>
  <si>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</si>
  <si>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</si>
  <si>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</si>
  <si>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</si>
  <si>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</si>
  <si>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</si>
  <si>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</si>
  <si>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</si>
  <si>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</si>
  <si>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</si>
  <si>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</si>
  <si>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</si>
  <si>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</si>
  <si>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</si>
  <si>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</si>
  <si>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</si>
  <si>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</si>
  <si>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</si>
  <si>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</si>
  <si>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</si>
  <si>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</si>
  <si>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</si>
  <si>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</si>
  <si>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</si>
  <si>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</si>
  <si>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</si>
  <si>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</si>
  <si>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</si>
  <si>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</si>
  <si>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</si>
  <si>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</si>
  <si>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</si>
  <si>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</si>
  <si>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</si>
  <si>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</si>
  <si>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</si>
  <si>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</si>
  <si>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</si>
  <si>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</si>
  <si>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</si>
  <si>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</si>
  <si>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</si>
  <si>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</si>
  <si>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</si>
  <si>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</si>
  <si>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</si>
  <si>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</si>
  <si>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</si>
  <si>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</si>
  <si>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</si>
  <si>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</si>
  <si>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</si>
  <si>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</si>
  <si>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</si>
  <si>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</si>
  <si>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</si>
  <si>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</si>
  <si>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</si>
  <si>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</si>
  <si>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</si>
  <si>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</si>
  <si>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</si>
  <si>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</si>
  <si>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</si>
  <si>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</si>
  <si>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</si>
  <si>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</si>
  <si>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</si>
  <si>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</si>
  <si>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</si>
  <si>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</si>
  <si>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</si>
  <si>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</si>
  <si>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</si>
  <si>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</si>
  <si>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</si>
  <si>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</si>
  <si>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</si>
  <si>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</si>
  <si>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</si>
  <si>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</si>
  <si>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</si>
  <si>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</si>
  <si>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</si>
  <si>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</si>
  <si>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</si>
  <si>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</si>
  <si>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</si>
  <si>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</si>
  <si>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</si>
  <si>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</si>
  <si>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</si>
  <si>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</si>
  <si>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</si>
  <si>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</si>
  <si>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</si>
  <si>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</si>
  <si>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</si>
  <si>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</si>
  <si>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</si>
  <si>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</si>
  <si>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</si>
  <si>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</si>
  <si>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</si>
  <si>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</si>
  <si>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</si>
  <si>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</si>
  <si>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</si>
  <si>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</si>
  <si>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</si>
  <si>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</si>
  <si>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</si>
  <si>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</si>
  <si>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</si>
  <si>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</si>
  <si>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</si>
  <si>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</si>
  <si>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</si>
  <si>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</si>
  <si>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</si>
  <si>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</si>
  <si>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</si>
  <si>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</si>
  <si>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</si>
  <si>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</si>
  <si>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</si>
  <si>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</si>
  <si>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</si>
  <si>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</si>
  <si>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</si>
  <si>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</si>
  <si>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</si>
  <si>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</si>
  <si>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</si>
  <si>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</si>
  <si>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</si>
  <si>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</si>
  <si>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</si>
  <si>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</si>
  <si>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</si>
  <si>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</si>
  <si>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</si>
  <si>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</si>
  <si>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</si>
  <si>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</si>
  <si>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</si>
  <si>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</si>
  <si>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</si>
  <si>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</si>
  <si>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</si>
  <si>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</si>
  <si>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</si>
  <si>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</si>
  <si>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</si>
  <si>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</si>
  <si>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</si>
  <si>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</si>
  <si>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</si>
  <si>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</si>
  <si>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</si>
  <si>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</si>
  <si>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</si>
  <si>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</si>
  <si>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</si>
  <si>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</si>
  <si>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</si>
  <si>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</si>
  <si>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</si>
  <si>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</si>
  <si>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</si>
  <si>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</si>
  <si>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</si>
  <si>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</si>
  <si>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</si>
  <si>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</si>
  <si>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</si>
  <si>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</si>
  <si>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</si>
  <si>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</si>
  <si>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</si>
  <si>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</si>
  <si>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</si>
  <si>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</si>
  <si>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</si>
  <si>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</si>
  <si>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</si>
  <si>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</si>
  <si>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</si>
  <si>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</si>
  <si>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</si>
  <si>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</si>
  <si>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</si>
  <si>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</si>
  <si>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</si>
  <si>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</si>
  <si>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Average electricity cost (USD/kWh) - Base</t>
  </si>
  <si>
    <t>Base Scenario</t>
  </si>
  <si>
    <t>Total Annualized Investments (Million USD)</t>
  </si>
  <si>
    <t>Total Capital Investment (Million USD)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</si>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</sst>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0" fontId="0" fillId="4" borderId="0" xfId="0" applyFill="1" applyAlignment="1">
      <alignment horizontal="left"/>
    </xf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4.2311442573161058E-2</c:v>
                </c:pt>
                <c:pt idx="1">
                  <c:v>4.1149259669923742E-2</c:v>
                </c:pt>
                <c:pt idx="2">
                  <c:v>4.2517045634906832E-2</c:v>
                </c:pt>
                <c:pt idx="3">
                  <c:v>4.2721502780221222E-2</c:v>
                </c:pt>
                <c:pt idx="4">
                  <c:v>4.239323808357523E-2</c:v>
                </c:pt>
                <c:pt idx="5">
                  <c:v>4.3359403384515223E-2</c:v>
                </c:pt>
                <c:pt idx="6">
                  <c:v>4.2491552883038138E-2</c:v>
                </c:pt>
                <c:pt idx="7">
                  <c:v>4.2427099179510729E-2</c:v>
                </c:pt>
                <c:pt idx="8">
                  <c:v>4.2216657190437344E-2</c:v>
                </c:pt>
                <c:pt idx="9">
                  <c:v>4.4501287588608995E-2</c:v>
                </c:pt>
                <c:pt idx="10">
                  <c:v>4.3790650149380592E-2</c:v>
                </c:pt>
                <c:pt idx="11">
                  <c:v>4.3696158184052571E-2</c:v>
                </c:pt>
                <c:pt idx="12">
                  <c:v>4.4447525483563552E-2</c:v>
                </c:pt>
                <c:pt idx="13">
                  <c:v>4.5030551650830836E-2</c:v>
                </c:pt>
                <c:pt idx="14">
                  <c:v>4.5136715111998224E-2</c:v>
                </c:pt>
                <c:pt idx="15">
                  <c:v>4.5671603444305459E-2</c:v>
                </c:pt>
                <c:pt idx="16">
                  <c:v>4.6367627782281977E-2</c:v>
                </c:pt>
                <c:pt idx="17">
                  <c:v>4.7557333994272762E-2</c:v>
                </c:pt>
                <c:pt idx="18">
                  <c:v>4.7986061134084289E-2</c:v>
                </c:pt>
                <c:pt idx="19">
                  <c:v>4.8709327507688222E-2</c:v>
                </c:pt>
                <c:pt idx="20">
                  <c:v>4.8396430962854238E-2</c:v>
                </c:pt>
                <c:pt idx="21">
                  <c:v>4.7559330552232645E-2</c:v>
                </c:pt>
                <c:pt idx="22">
                  <c:v>4.7585670871838556E-2</c:v>
                </c:pt>
                <c:pt idx="23">
                  <c:v>4.762504124818602E-2</c:v>
                </c:pt>
                <c:pt idx="24">
                  <c:v>4.7673194725447662E-2</c:v>
                </c:pt>
                <c:pt idx="25">
                  <c:v>5.2652705327733931E-2</c:v>
                </c:pt>
                <c:pt idx="26">
                  <c:v>5.2696134878944506E-2</c:v>
                </c:pt>
                <c:pt idx="27">
                  <c:v>5.2815727864221597E-2</c:v>
                </c:pt>
                <c:pt idx="28">
                  <c:v>5.3176952780538612E-2</c:v>
                </c:pt>
                <c:pt idx="29">
                  <c:v>5.3714497512701034E-2</c:v>
                </c:pt>
                <c:pt idx="30">
                  <c:v>5.2180007963356818E-2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2">
                  <c:v>45.512468720100003</c:v>
                </c:pt>
                <c:pt idx="3">
                  <c:v>48.842649358199999</c:v>
                </c:pt>
                <c:pt idx="4">
                  <c:v>54.337447410999999</c:v>
                </c:pt>
                <c:pt idx="5">
                  <c:v>54.337447410999999</c:v>
                </c:pt>
                <c:pt idx="6">
                  <c:v>54.337447410999999</c:v>
                </c:pt>
                <c:pt idx="7">
                  <c:v>54.337447410999999</c:v>
                </c:pt>
                <c:pt idx="8">
                  <c:v>54.337447410999999</c:v>
                </c:pt>
                <c:pt idx="9">
                  <c:v>54.337447410999999</c:v>
                </c:pt>
                <c:pt idx="10">
                  <c:v>54.337447410999999</c:v>
                </c:pt>
                <c:pt idx="11">
                  <c:v>54.337447410999999</c:v>
                </c:pt>
                <c:pt idx="12">
                  <c:v>54.337447410999999</c:v>
                </c:pt>
                <c:pt idx="13">
                  <c:v>54.337447410999999</c:v>
                </c:pt>
                <c:pt idx="14">
                  <c:v>54.337447410999999</c:v>
                </c:pt>
                <c:pt idx="15">
                  <c:v>54.337447410999999</c:v>
                </c:pt>
                <c:pt idx="16">
                  <c:v>54.337447410999999</c:v>
                </c:pt>
                <c:pt idx="17">
                  <c:v>54.337447410999999</c:v>
                </c:pt>
                <c:pt idx="18">
                  <c:v>54.337447410999999</c:v>
                </c:pt>
                <c:pt idx="19">
                  <c:v>54.337447410999999</c:v>
                </c:pt>
                <c:pt idx="20">
                  <c:v>54.337447410999999</c:v>
                </c:pt>
                <c:pt idx="21">
                  <c:v>54.337447410999999</c:v>
                </c:pt>
                <c:pt idx="22">
                  <c:v>54.337447410999999</c:v>
                </c:pt>
                <c:pt idx="23">
                  <c:v>54.337447410999999</c:v>
                </c:pt>
                <c:pt idx="24">
                  <c:v>54.337447410999999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1">
                  <c:v>99.794413120499996</c:v>
                </c:pt>
                <c:pt idx="2">
                  <c:v>153.79884246770001</c:v>
                </c:pt>
                <c:pt idx="3">
                  <c:v>153.79884246770001</c:v>
                </c:pt>
                <c:pt idx="4">
                  <c:v>160.01517965869999</c:v>
                </c:pt>
                <c:pt idx="5">
                  <c:v>160.01517965869999</c:v>
                </c:pt>
                <c:pt idx="6">
                  <c:v>160.01517965869999</c:v>
                </c:pt>
                <c:pt idx="7">
                  <c:v>160.01517965869999</c:v>
                </c:pt>
                <c:pt idx="8">
                  <c:v>160.01517965869999</c:v>
                </c:pt>
                <c:pt idx="9">
                  <c:v>160.01517965869999</c:v>
                </c:pt>
                <c:pt idx="10">
                  <c:v>160.01517965869999</c:v>
                </c:pt>
                <c:pt idx="11">
                  <c:v>160.01517965869999</c:v>
                </c:pt>
                <c:pt idx="12">
                  <c:v>160.01517965869999</c:v>
                </c:pt>
                <c:pt idx="13">
                  <c:v>160.01517965869999</c:v>
                </c:pt>
                <c:pt idx="14">
                  <c:v>160.01517965869999</c:v>
                </c:pt>
                <c:pt idx="15">
                  <c:v>160.01517965869999</c:v>
                </c:pt>
                <c:pt idx="16">
                  <c:v>160.01517965869999</c:v>
                </c:pt>
                <c:pt idx="17">
                  <c:v>160.01517965869999</c:v>
                </c:pt>
                <c:pt idx="18">
                  <c:v>160.01517965869999</c:v>
                </c:pt>
                <c:pt idx="19">
                  <c:v>160.01517965869999</c:v>
                </c:pt>
                <c:pt idx="20">
                  <c:v>160.01517965869999</c:v>
                </c:pt>
                <c:pt idx="21">
                  <c:v>160.01517965869999</c:v>
                </c:pt>
                <c:pt idx="22">
                  <c:v>160.01517965869999</c:v>
                </c:pt>
                <c:pt idx="23">
                  <c:v>160.01517965869999</c:v>
                </c:pt>
                <c:pt idx="24">
                  <c:v>160.01517965869999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2">
                  <c:v>2.0536113935000002</c:v>
                </c:pt>
                <c:pt idx="3">
                  <c:v>2.0536113935000002</c:v>
                </c:pt>
                <c:pt idx="4">
                  <c:v>2.0536113935000002</c:v>
                </c:pt>
                <c:pt idx="5">
                  <c:v>21.868186189900001</c:v>
                </c:pt>
                <c:pt idx="6">
                  <c:v>21.868186189900001</c:v>
                </c:pt>
                <c:pt idx="7">
                  <c:v>21.868186189900001</c:v>
                </c:pt>
                <c:pt idx="8">
                  <c:v>21.868186189900001</c:v>
                </c:pt>
                <c:pt idx="9">
                  <c:v>21.868186189900001</c:v>
                </c:pt>
                <c:pt idx="10">
                  <c:v>21.868186189900001</c:v>
                </c:pt>
                <c:pt idx="11">
                  <c:v>21.868186189900001</c:v>
                </c:pt>
                <c:pt idx="12">
                  <c:v>21.868186189900001</c:v>
                </c:pt>
                <c:pt idx="13">
                  <c:v>21.868186189900001</c:v>
                </c:pt>
                <c:pt idx="14">
                  <c:v>21.868186189900001</c:v>
                </c:pt>
                <c:pt idx="15">
                  <c:v>21.868186189900001</c:v>
                </c:pt>
                <c:pt idx="16">
                  <c:v>21.868186189900001</c:v>
                </c:pt>
                <c:pt idx="17">
                  <c:v>21.868186189900001</c:v>
                </c:pt>
                <c:pt idx="18">
                  <c:v>21.868186189900001</c:v>
                </c:pt>
                <c:pt idx="19">
                  <c:v>21.868186189900001</c:v>
                </c:pt>
                <c:pt idx="20">
                  <c:v>21.868186189900001</c:v>
                </c:pt>
                <c:pt idx="21">
                  <c:v>21.868186189900001</c:v>
                </c:pt>
                <c:pt idx="22">
                  <c:v>21.868186189900001</c:v>
                </c:pt>
                <c:pt idx="23">
                  <c:v>21.868186189900001</c:v>
                </c:pt>
                <c:pt idx="24">
                  <c:v>21.868186189900001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1">
                  <c:v>76.300542691100006</c:v>
                </c:pt>
                <c:pt idx="2">
                  <c:v>157.27383852809999</c:v>
                </c:pt>
                <c:pt idx="3">
                  <c:v>157.27383852809999</c:v>
                </c:pt>
                <c:pt idx="4">
                  <c:v>220.41911989830001</c:v>
                </c:pt>
                <c:pt idx="5">
                  <c:v>220.41911989830001</c:v>
                </c:pt>
                <c:pt idx="6">
                  <c:v>220.41911989830001</c:v>
                </c:pt>
                <c:pt idx="7">
                  <c:v>288.808956889</c:v>
                </c:pt>
                <c:pt idx="8">
                  <c:v>340.51505334260003</c:v>
                </c:pt>
                <c:pt idx="9">
                  <c:v>669.18393847350001</c:v>
                </c:pt>
                <c:pt idx="10">
                  <c:v>734.33536340820001</c:v>
                </c:pt>
                <c:pt idx="11">
                  <c:v>808.9365677175</c:v>
                </c:pt>
                <c:pt idx="12">
                  <c:v>1020.5949241754</c:v>
                </c:pt>
                <c:pt idx="13">
                  <c:v>1139.1820029349001</c:v>
                </c:pt>
                <c:pt idx="14">
                  <c:v>1266.5553339604</c:v>
                </c:pt>
                <c:pt idx="15">
                  <c:v>1391.2375937003001</c:v>
                </c:pt>
                <c:pt idx="16">
                  <c:v>1630.0599497728999</c:v>
                </c:pt>
                <c:pt idx="17">
                  <c:v>1841.2372350554999</c:v>
                </c:pt>
                <c:pt idx="18">
                  <c:v>2051.1629730504001</c:v>
                </c:pt>
                <c:pt idx="19">
                  <c:v>2262.5834292976001</c:v>
                </c:pt>
                <c:pt idx="20">
                  <c:v>2262.5834292976001</c:v>
                </c:pt>
                <c:pt idx="21">
                  <c:v>2262.5834292976001</c:v>
                </c:pt>
                <c:pt idx="22">
                  <c:v>2262.5834292976001</c:v>
                </c:pt>
                <c:pt idx="23">
                  <c:v>2262.5834292976001</c:v>
                </c:pt>
                <c:pt idx="24">
                  <c:v>2262.5834292976001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0">
                  <c:v>119.2965945217</c:v>
                </c:pt>
                <c:pt idx="1">
                  <c:v>119.2965945217</c:v>
                </c:pt>
                <c:pt idx="2">
                  <c:v>120.59283750279999</c:v>
                </c:pt>
                <c:pt idx="3">
                  <c:v>124.4081942018</c:v>
                </c:pt>
                <c:pt idx="4">
                  <c:v>127.2778641976</c:v>
                </c:pt>
                <c:pt idx="5">
                  <c:v>127.2778641976</c:v>
                </c:pt>
                <c:pt idx="6">
                  <c:v>127.2778641976</c:v>
                </c:pt>
                <c:pt idx="7">
                  <c:v>127.2778641976</c:v>
                </c:pt>
                <c:pt idx="8">
                  <c:v>127.2778641976</c:v>
                </c:pt>
                <c:pt idx="9">
                  <c:v>127.2778641976</c:v>
                </c:pt>
                <c:pt idx="10">
                  <c:v>127.2778641976</c:v>
                </c:pt>
                <c:pt idx="11">
                  <c:v>127.2778641976</c:v>
                </c:pt>
                <c:pt idx="12">
                  <c:v>127.2778641976</c:v>
                </c:pt>
                <c:pt idx="13">
                  <c:v>127.2778641976</c:v>
                </c:pt>
                <c:pt idx="14">
                  <c:v>127.2778641976</c:v>
                </c:pt>
                <c:pt idx="15">
                  <c:v>127.2778641976</c:v>
                </c:pt>
                <c:pt idx="16">
                  <c:v>127.2778641976</c:v>
                </c:pt>
                <c:pt idx="17">
                  <c:v>127.2778641976</c:v>
                </c:pt>
                <c:pt idx="18">
                  <c:v>127.2778641976</c:v>
                </c:pt>
                <c:pt idx="19">
                  <c:v>127.2778641976</c:v>
                </c:pt>
                <c:pt idx="20">
                  <c:v>127.2778641976</c:v>
                </c:pt>
                <c:pt idx="21">
                  <c:v>127.2778641976</c:v>
                </c:pt>
                <c:pt idx="22">
                  <c:v>127.2778641976</c:v>
                </c:pt>
                <c:pt idx="23">
                  <c:v>127.2778641976</c:v>
                </c:pt>
                <c:pt idx="24">
                  <c:v>127.2778641976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5">
                  <c:v>39.669518875999998</c:v>
                </c:pt>
                <c:pt idx="6">
                  <c:v>39.669518875999998</c:v>
                </c:pt>
                <c:pt idx="7">
                  <c:v>39.669518875999998</c:v>
                </c:pt>
                <c:pt idx="8">
                  <c:v>39.669518875999998</c:v>
                </c:pt>
                <c:pt idx="9">
                  <c:v>39.669518875999998</c:v>
                </c:pt>
                <c:pt idx="10">
                  <c:v>39.669518875999998</c:v>
                </c:pt>
                <c:pt idx="11">
                  <c:v>39.669518875999998</c:v>
                </c:pt>
                <c:pt idx="12">
                  <c:v>39.669518875999998</c:v>
                </c:pt>
                <c:pt idx="13">
                  <c:v>39.669518875999998</c:v>
                </c:pt>
                <c:pt idx="14">
                  <c:v>39.669518875999998</c:v>
                </c:pt>
                <c:pt idx="15">
                  <c:v>39.669518875999998</c:v>
                </c:pt>
                <c:pt idx="16">
                  <c:v>39.669518875999998</c:v>
                </c:pt>
                <c:pt idx="17">
                  <c:v>39.669518875999998</c:v>
                </c:pt>
                <c:pt idx="18">
                  <c:v>39.669518875999998</c:v>
                </c:pt>
                <c:pt idx="19">
                  <c:v>75.660956968899995</c:v>
                </c:pt>
                <c:pt idx="20">
                  <c:v>89.311020454900003</c:v>
                </c:pt>
                <c:pt idx="21">
                  <c:v>89.311020454900003</c:v>
                </c:pt>
                <c:pt idx="22">
                  <c:v>89.311020454900003</c:v>
                </c:pt>
                <c:pt idx="23">
                  <c:v>89.311020454900003</c:v>
                </c:pt>
                <c:pt idx="24">
                  <c:v>89.311020454900003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373.6601329998</c:v>
                </c:pt>
                <c:pt idx="11">
                  <c:v>373.6601329998</c:v>
                </c:pt>
                <c:pt idx="12">
                  <c:v>373.6601329998</c:v>
                </c:pt>
                <c:pt idx="13">
                  <c:v>373.6601329998</c:v>
                </c:pt>
                <c:pt idx="14">
                  <c:v>448.99732132909998</c:v>
                </c:pt>
                <c:pt idx="15">
                  <c:v>448.99732132909998</c:v>
                </c:pt>
                <c:pt idx="16">
                  <c:v>448.99732132909998</c:v>
                </c:pt>
                <c:pt idx="17">
                  <c:v>448.99732132909998</c:v>
                </c:pt>
                <c:pt idx="18">
                  <c:v>448.99732132909998</c:v>
                </c:pt>
                <c:pt idx="19">
                  <c:v>448.99732132909998</c:v>
                </c:pt>
                <c:pt idx="20">
                  <c:v>1178.7438863834</c:v>
                </c:pt>
                <c:pt idx="21">
                  <c:v>1178.7438863834</c:v>
                </c:pt>
                <c:pt idx="22">
                  <c:v>1180.0774903655999</c:v>
                </c:pt>
                <c:pt idx="23">
                  <c:v>1181.3250839597999</c:v>
                </c:pt>
                <c:pt idx="24">
                  <c:v>1182.4248125444001</c:v>
                </c:pt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24.191247073500001</c:v>
                </c:pt>
                <c:pt idx="2">
                  <c:v>24.191247073500001</c:v>
                </c:pt>
                <c:pt idx="3">
                  <c:v>24.191247073500001</c:v>
                </c:pt>
                <c:pt idx="4">
                  <c:v>24.191247073500001</c:v>
                </c:pt>
                <c:pt idx="5">
                  <c:v>24.191247073500001</c:v>
                </c:pt>
                <c:pt idx="6">
                  <c:v>24.191247073500001</c:v>
                </c:pt>
                <c:pt idx="7">
                  <c:v>24.191247073500001</c:v>
                </c:pt>
                <c:pt idx="8">
                  <c:v>24.191247073500001</c:v>
                </c:pt>
                <c:pt idx="9">
                  <c:v>24.191247073500001</c:v>
                </c:pt>
                <c:pt idx="10">
                  <c:v>24.191247073500001</c:v>
                </c:pt>
                <c:pt idx="11">
                  <c:v>24.191247073500001</c:v>
                </c:pt>
                <c:pt idx="12">
                  <c:v>24.191247073500001</c:v>
                </c:pt>
                <c:pt idx="13">
                  <c:v>24.191247073500001</c:v>
                </c:pt>
                <c:pt idx="14">
                  <c:v>24.191247073500001</c:v>
                </c:pt>
                <c:pt idx="15">
                  <c:v>24.191247073500001</c:v>
                </c:pt>
                <c:pt idx="16">
                  <c:v>24.191247073500001</c:v>
                </c:pt>
                <c:pt idx="17">
                  <c:v>24.191247073500001</c:v>
                </c:pt>
                <c:pt idx="18">
                  <c:v>24.191247073500001</c:v>
                </c:pt>
                <c:pt idx="19">
                  <c:v>24.191247073500001</c:v>
                </c:pt>
                <c:pt idx="20">
                  <c:v>24.191247073500001</c:v>
                </c:pt>
                <c:pt idx="21">
                  <c:v>24.191247073500001</c:v>
                </c:pt>
                <c:pt idx="22">
                  <c:v>24.191247073500001</c:v>
                </c:pt>
                <c:pt idx="23">
                  <c:v>24.191247073500001</c:v>
                </c:pt>
                <c:pt idx="24">
                  <c:v>24.191247073500001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PHL_PRO_PROC_BIOF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635.13227974680001</c:v>
                </c:pt>
                <c:pt idx="1">
                  <c:v>653.4971542925</c:v>
                </c:pt>
                <c:pt idx="2">
                  <c:v>672.36587237360004</c:v>
                </c:pt>
                <c:pt idx="3">
                  <c:v>690.70726503460003</c:v>
                </c:pt>
                <c:pt idx="4">
                  <c:v>709.49519867499998</c:v>
                </c:pt>
                <c:pt idx="5">
                  <c:v>728.03374456400002</c:v>
                </c:pt>
                <c:pt idx="6">
                  <c:v>750.7601409911</c:v>
                </c:pt>
                <c:pt idx="7">
                  <c:v>773.16562958980001</c:v>
                </c:pt>
                <c:pt idx="8">
                  <c:v>795.60275622710003</c:v>
                </c:pt>
                <c:pt idx="9">
                  <c:v>817.28734083020004</c:v>
                </c:pt>
                <c:pt idx="10">
                  <c:v>817.28734083020004</c:v>
                </c:pt>
                <c:pt idx="11">
                  <c:v>832.46440255790003</c:v>
                </c:pt>
                <c:pt idx="12">
                  <c:v>859.89258857940001</c:v>
                </c:pt>
                <c:pt idx="13">
                  <c:v>888.02458243299998</c:v>
                </c:pt>
                <c:pt idx="14">
                  <c:v>914.3922454538</c:v>
                </c:pt>
                <c:pt idx="15">
                  <c:v>937.46059893819995</c:v>
                </c:pt>
                <c:pt idx="16">
                  <c:v>963.23879570120005</c:v>
                </c:pt>
                <c:pt idx="17">
                  <c:v>988.96999490799999</c:v>
                </c:pt>
                <c:pt idx="18">
                  <c:v>1012.6473096825</c:v>
                </c:pt>
                <c:pt idx="19">
                  <c:v>1035.3206201567</c:v>
                </c:pt>
                <c:pt idx="20">
                  <c:v>1055.2255211668</c:v>
                </c:pt>
                <c:pt idx="21">
                  <c:v>1085.9558210361999</c:v>
                </c:pt>
                <c:pt idx="22">
                  <c:v>1114.0765503425</c:v>
                </c:pt>
                <c:pt idx="23">
                  <c:v>1144.9621955491</c:v>
                </c:pt>
                <c:pt idx="24">
                  <c:v>1178.6894731558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45</xdr:row>
      <xdr:rowOff>140970</xdr:rowOff>
    </xdr:from>
    <xdr:to>
      <xdr:col>12</xdr:col>
      <xdr:colOff>449580</xdr:colOff>
      <xdr:row>68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9"/>
  <sheetViews>
    <sheetView topLeftCell="S1" workbookViewId="0">
      <selection activeCell="C1" sqref="C1:AG1"/>
    </sheetView>
  </sheetViews>
  <sheetFormatPr defaultRowHeight="14.4"/>
  <cols>
    <col min="1" max="1" width="43.77734375" bestFit="1" customWidth="1"/>
    <col min="2" max="2" width="3.21875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8" t="str">
        <f>Cost_of_ELCgen!A150</f>
        <v>Operating O&amp;M costs</v>
      </c>
      <c r="C2" s="10">
        <f>Cost_of_ELCgen!C150</f>
        <v>4162.8638330219328</v>
      </c>
      <c r="D2" s="10">
        <f>Cost_of_ELCgen!D150</f>
        <v>3853.8405818280839</v>
      </c>
      <c r="E2" s="10">
        <f>Cost_of_ELCgen!E150</f>
        <v>4014.6511211094657</v>
      </c>
      <c r="F2" s="10">
        <f>Cost_of_ELCgen!F150</f>
        <v>4210.1257226101679</v>
      </c>
      <c r="G2" s="10">
        <f>Cost_of_ELCgen!G150</f>
        <v>4252.9124896665189</v>
      </c>
      <c r="H2" s="10">
        <f>Cost_of_ELCgen!H150</f>
        <v>4518.7706260544101</v>
      </c>
      <c r="I2" s="10">
        <f>Cost_of_ELCgen!I150</f>
        <v>4679.6315282625892</v>
      </c>
      <c r="J2" s="10">
        <f>Cost_of_ELCgen!J150</f>
        <v>4872.7073991006446</v>
      </c>
      <c r="K2" s="10">
        <f>Cost_of_ELCgen!K150</f>
        <v>5048.0164021675946</v>
      </c>
      <c r="L2" s="10">
        <f>Cost_of_ELCgen!L150</f>
        <v>5352.05036653564</v>
      </c>
      <c r="M2" s="10">
        <f>Cost_of_ELCgen!M150</f>
        <v>5204.7413708528265</v>
      </c>
      <c r="N2" s="10">
        <f>Cost_of_ELCgen!N150</f>
        <v>5441.9010125461127</v>
      </c>
      <c r="O2" s="10">
        <f>Cost_of_ELCgen!O150</f>
        <v>5702.2502588952993</v>
      </c>
      <c r="P2" s="10">
        <f>Cost_of_ELCgen!P150</f>
        <v>6025.9681939787897</v>
      </c>
      <c r="Q2" s="10">
        <f>Cost_of_ELCgen!Q150</f>
        <v>6187.526318026753</v>
      </c>
      <c r="R2" s="10">
        <f>Cost_of_ELCgen!R150</f>
        <v>6393.23233192307</v>
      </c>
      <c r="S2" s="10">
        <f>Cost_of_ELCgen!S150</f>
        <v>6736.0335227999049</v>
      </c>
      <c r="T2" s="10">
        <f>Cost_of_ELCgen!T150</f>
        <v>7223.009052387165</v>
      </c>
      <c r="U2" s="10">
        <f>Cost_of_ELCgen!U150</f>
        <v>7575.0121891958852</v>
      </c>
      <c r="V2" s="10">
        <f>Cost_of_ELCgen!V150</f>
        <v>7965.9009433035717</v>
      </c>
      <c r="W2" s="10">
        <f>Cost_of_ELCgen!W150</f>
        <v>7627.9416810140756</v>
      </c>
      <c r="X2" s="10">
        <f>Cost_of_ELCgen!X150</f>
        <v>6901.6321445172625</v>
      </c>
      <c r="Y2" s="10">
        <f>Cost_of_ELCgen!Y150</f>
        <v>6889.7444858152376</v>
      </c>
      <c r="Z2" s="10">
        <f>Cost_of_ELCgen!Z150</f>
        <v>6881.9990422462924</v>
      </c>
      <c r="AA2" s="10">
        <f>Cost_of_ELCgen!AA150</f>
        <v>6874.0545538016759</v>
      </c>
      <c r="AB2" s="10">
        <f>Cost_of_ELCgen!AB150</f>
        <v>6873.6624946803831</v>
      </c>
      <c r="AC2" s="10">
        <f>Cost_of_ELCgen!AC150</f>
        <v>6960.7380421413554</v>
      </c>
      <c r="AD2" s="10">
        <f>Cost_of_ELCgen!AD150</f>
        <v>7055.4747477555566</v>
      </c>
      <c r="AE2" s="10">
        <f>Cost_of_ELCgen!AE150</f>
        <v>7102.6419774948154</v>
      </c>
      <c r="AF2" s="10">
        <f>Cost_of_ELCgen!AF150</f>
        <v>7180.217490378368</v>
      </c>
      <c r="AG2" s="10">
        <f>Cost_of_ELCgen!AG150</f>
        <v>10472.024935671167</v>
      </c>
    </row>
    <row r="3" spans="1:33">
      <c r="A3" s="48" t="str">
        <f>Cost_of_ELCgen!A151</f>
        <v>Annualized Investment costs</v>
      </c>
      <c r="C3">
        <f>Cost_of_ELCgen!C151</f>
        <v>143.4878415952</v>
      </c>
      <c r="D3">
        <f>Cost_of_ELCgen!D151</f>
        <v>337.4595574997</v>
      </c>
      <c r="E3">
        <f>Cost_of_ELCgen!E151</f>
        <v>538.6055921894</v>
      </c>
      <c r="F3">
        <f>Cost_of_ELCgen!F151</f>
        <v>554.30562246839997</v>
      </c>
      <c r="G3">
        <f>Cost_of_ELCgen!G151</f>
        <v>684.58791581929995</v>
      </c>
      <c r="H3">
        <f>Cost_of_ELCgen!H151</f>
        <v>757.97000697699991</v>
      </c>
      <c r="I3">
        <f>Cost_of_ELCgen!I151</f>
        <v>757.97000697699991</v>
      </c>
      <c r="J3">
        <f>Cost_of_ELCgen!J151</f>
        <v>826.35984396770004</v>
      </c>
      <c r="K3">
        <f>Cost_of_ELCgen!K151</f>
        <v>878.06594042129996</v>
      </c>
      <c r="L3">
        <f>Cost_of_ELCgen!L151</f>
        <v>1206.7348255521999</v>
      </c>
      <c r="M3">
        <f>Cost_of_ELCgen!M151</f>
        <v>1535.3549398146999</v>
      </c>
      <c r="N3">
        <f>Cost_of_ELCgen!N151</f>
        <v>1609.956144124</v>
      </c>
      <c r="O3">
        <f>Cost_of_ELCgen!O151</f>
        <v>1821.6145005819001</v>
      </c>
      <c r="P3">
        <f>Cost_of_ELCgen!P151</f>
        <v>1940.2015793414</v>
      </c>
      <c r="Q3">
        <f>Cost_of_ELCgen!Q151</f>
        <v>2142.9120986962002</v>
      </c>
      <c r="R3">
        <f>Cost_of_ELCgen!R151</f>
        <v>2267.5943584361003</v>
      </c>
      <c r="S3">
        <f>Cost_of_ELCgen!S151</f>
        <v>2506.4167145086999</v>
      </c>
      <c r="T3">
        <f>Cost_of_ELCgen!T151</f>
        <v>2717.5939997913001</v>
      </c>
      <c r="U3">
        <f>Cost_of_ELCgen!U151</f>
        <v>2927.5197377862005</v>
      </c>
      <c r="V3">
        <f>Cost_of_ELCgen!V151</f>
        <v>3174.9316321263004</v>
      </c>
      <c r="W3">
        <f>Cost_of_ELCgen!W151</f>
        <v>3918.3282606666003</v>
      </c>
      <c r="X3">
        <f>Cost_of_ELCgen!X151</f>
        <v>3918.3282606666003</v>
      </c>
      <c r="Y3">
        <f>Cost_of_ELCgen!Y151</f>
        <v>3919.6618646488005</v>
      </c>
      <c r="Z3">
        <f>Cost_of_ELCgen!Z151</f>
        <v>3920.9094582430002</v>
      </c>
      <c r="AA3">
        <f>Cost_of_ELCgen!AA151</f>
        <v>3922.0091868276004</v>
      </c>
      <c r="AB3">
        <f>Cost_of_ELCgen!AB151</f>
        <v>5044.1779106763997</v>
      </c>
      <c r="AC3">
        <f>Cost_of_ELCgen!AC151</f>
        <v>5000.9947562066</v>
      </c>
      <c r="AD3">
        <f>Cost_of_ELCgen!AD151</f>
        <v>4982.7862389995989</v>
      </c>
      <c r="AE3">
        <f>Cost_of_ELCgen!AE151</f>
        <v>5082.8094935114996</v>
      </c>
      <c r="AF3">
        <f>Cost_of_ELCgen!AF151</f>
        <v>5208.8418780267002</v>
      </c>
      <c r="AG3">
        <f>Cost_of_ELCgen!AG151</f>
        <v>7599.7526312221007</v>
      </c>
    </row>
    <row r="4" spans="1:33">
      <c r="A4" s="48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8" t="str">
        <f>Cost_of_ELCgen!A153</f>
        <v>Total Costs (Million USD)</v>
      </c>
      <c r="C5" s="10">
        <f>Cost_of_ELCgen!C153</f>
        <v>4306.3516746171326</v>
      </c>
      <c r="D5" s="10">
        <f>Cost_of_ELCgen!D153</f>
        <v>4191.3001393277837</v>
      </c>
      <c r="E5" s="10">
        <f>Cost_of_ELCgen!E153</f>
        <v>4553.2567132988661</v>
      </c>
      <c r="F5" s="10">
        <f>Cost_of_ELCgen!F153</f>
        <v>4764.4313450785676</v>
      </c>
      <c r="G5" s="10">
        <f>Cost_of_ELCgen!G153</f>
        <v>4937.5004054858191</v>
      </c>
      <c r="H5" s="10">
        <f>Cost_of_ELCgen!H153</f>
        <v>5276.7406330314097</v>
      </c>
      <c r="I5" s="10">
        <f>Cost_of_ELCgen!I153</f>
        <v>5437.6015352395889</v>
      </c>
      <c r="J5" s="10">
        <f>Cost_of_ELCgen!J153</f>
        <v>5699.0672430683444</v>
      </c>
      <c r="K5" s="10">
        <f>Cost_of_ELCgen!K153</f>
        <v>5926.0823425888948</v>
      </c>
      <c r="L5" s="10">
        <f>Cost_of_ELCgen!L153</f>
        <v>6558.7851920878402</v>
      </c>
      <c r="M5" s="10">
        <f>Cost_of_ELCgen!M153</f>
        <v>6740.0963106675263</v>
      </c>
      <c r="N5" s="10">
        <f>Cost_of_ELCgen!N153</f>
        <v>7051.857156670113</v>
      </c>
      <c r="O5" s="10">
        <f>Cost_of_ELCgen!O153</f>
        <v>7523.8647594771992</v>
      </c>
      <c r="P5" s="10">
        <f>Cost_of_ELCgen!P153</f>
        <v>7966.16977332019</v>
      </c>
      <c r="Q5" s="10">
        <f>Cost_of_ELCgen!Q153</f>
        <v>8330.4384167229528</v>
      </c>
      <c r="R5" s="10">
        <f>Cost_of_ELCgen!R153</f>
        <v>8660.8266903591702</v>
      </c>
      <c r="S5" s="10">
        <f>Cost_of_ELCgen!S153</f>
        <v>9242.4502373086052</v>
      </c>
      <c r="T5" s="10">
        <f>Cost_of_ELCgen!T153</f>
        <v>9940.6030521784651</v>
      </c>
      <c r="U5" s="10">
        <f>Cost_of_ELCgen!U153</f>
        <v>10502.531926982087</v>
      </c>
      <c r="V5" s="10">
        <f>Cost_of_ELCgen!V153</f>
        <v>11140.832575429871</v>
      </c>
      <c r="W5" s="10">
        <f>Cost_of_ELCgen!W153</f>
        <v>11546.269941680675</v>
      </c>
      <c r="X5" s="10">
        <f>Cost_of_ELCgen!X153</f>
        <v>10819.960405183863</v>
      </c>
      <c r="Y5" s="10">
        <f>Cost_of_ELCgen!Y153</f>
        <v>10809.406350464038</v>
      </c>
      <c r="Z5" s="10">
        <f>Cost_of_ELCgen!Z153</f>
        <v>10802.908500489293</v>
      </c>
      <c r="AA5" s="10">
        <f>Cost_of_ELCgen!AA153</f>
        <v>10796.063740629277</v>
      </c>
      <c r="AB5" s="10">
        <f>Cost_of_ELCgen!AB153</f>
        <v>11917.840405356783</v>
      </c>
      <c r="AC5" s="10">
        <f>Cost_of_ELCgen!AC153</f>
        <v>11961.732798347955</v>
      </c>
      <c r="AD5" s="10">
        <f>Cost_of_ELCgen!AD153</f>
        <v>12038.260986755155</v>
      </c>
      <c r="AE5" s="10">
        <f>Cost_of_ELCgen!AE153</f>
        <v>12185.451471006316</v>
      </c>
      <c r="AF5" s="10">
        <f>Cost_of_ELCgen!AF153</f>
        <v>12389.059368405069</v>
      </c>
      <c r="AG5" s="10">
        <f>Cost_of_ELCgen!AG153</f>
        <v>18071.777566893266</v>
      </c>
    </row>
    <row r="6" spans="1:33" ht="15" thickBot="1">
      <c r="A6" s="48" t="str">
        <f>Cost_of_ELCgen!A154</f>
        <v>Generation (PJ-&gt;GWh), Before Transmission losses</v>
      </c>
      <c r="C6">
        <f>Cost_of_ELCgen!C154</f>
        <v>101777.47230364422</v>
      </c>
      <c r="D6">
        <f>Cost_of_ELCgen!D154</f>
        <v>101856.0278592626</v>
      </c>
      <c r="E6">
        <f>Cost_of_ELCgen!E154</f>
        <v>107092.50008567402</v>
      </c>
      <c r="F6">
        <f>Cost_of_ELCgen!F154</f>
        <v>111523.02786699621</v>
      </c>
      <c r="G6">
        <f>Cost_of_ELCgen!G154</f>
        <v>116469.05564873083</v>
      </c>
      <c r="H6">
        <f>Cost_of_ELCgen!H154</f>
        <v>121697.72231958044</v>
      </c>
      <c r="I6">
        <f>Cost_of_ELCgen!I154</f>
        <v>127969.00010237521</v>
      </c>
      <c r="J6">
        <f>Cost_of_ELCgen!J154</f>
        <v>134326.11121857204</v>
      </c>
      <c r="K6">
        <f>Cost_of_ELCgen!K154</f>
        <v>140373.08344563184</v>
      </c>
      <c r="L6">
        <f>Cost_of_ELCgen!L154</f>
        <v>147384.16678457399</v>
      </c>
      <c r="M6">
        <f>Cost_of_ELCgen!M154</f>
        <v>153916.33345646647</v>
      </c>
      <c r="N6">
        <f>Cost_of_ELCgen!N154</f>
        <v>161383.91679577387</v>
      </c>
      <c r="O6">
        <f>Cost_of_ELCgen!O154</f>
        <v>169275.22235764243</v>
      </c>
      <c r="P6">
        <f>Cost_of_ELCgen!P154</f>
        <v>176905.88903041364</v>
      </c>
      <c r="Q6">
        <f>Cost_of_ELCgen!Q154</f>
        <v>184560.139036537</v>
      </c>
      <c r="R6">
        <f>Cost_of_ELCgen!R154</f>
        <v>189632.63904059495</v>
      </c>
      <c r="S6">
        <f>Cost_of_ELCgen!S154</f>
        <v>199329.80571501947</v>
      </c>
      <c r="T6">
        <f>Cost_of_ELCgen!T154</f>
        <v>209023.55572277438</v>
      </c>
      <c r="U6">
        <f>Cost_of_ELCgen!U154</f>
        <v>218866.3057306486</v>
      </c>
      <c r="V6">
        <f>Cost_of_ELCgen!V154</f>
        <v>228720.72240519879</v>
      </c>
      <c r="W6">
        <f>Cost_of_ELCgen!W154</f>
        <v>238576.88907975046</v>
      </c>
      <c r="X6">
        <f>Cost_of_ELCgen!X154</f>
        <v>227504.47240422576</v>
      </c>
      <c r="Y6">
        <f>Cost_of_ELCgen!Y154</f>
        <v>227156.75018172539</v>
      </c>
      <c r="Z6">
        <f>Cost_of_ELCgen!Z154</f>
        <v>226832.52795924377</v>
      </c>
      <c r="AA6">
        <f>Cost_of_ELCgen!AA154</f>
        <v>226459.83351450125</v>
      </c>
      <c r="AB6">
        <f>Cost_of_ELCgen!AB154</f>
        <v>226348.11129218957</v>
      </c>
      <c r="AC6">
        <f>Cost_of_ELCgen!AC154</f>
        <v>226994.50018159562</v>
      </c>
      <c r="AD6">
        <f>Cost_of_ELCgen!AD154</f>
        <v>227929.47240456581</v>
      </c>
      <c r="AE6">
        <f>Cost_of_ELCgen!AE154</f>
        <v>229149.11129443045</v>
      </c>
      <c r="AF6">
        <f>Cost_of_ELCgen!AF154</f>
        <v>230646.47240673937</v>
      </c>
      <c r="AG6">
        <f>Cost_of_ELCgen!AG154</f>
        <v>346335.2780548461</v>
      </c>
    </row>
    <row r="7" spans="1:33" ht="15" thickBot="1">
      <c r="A7" s="46" t="str">
        <f>Cost_of_ELCgen!A155</f>
        <v>Average electricity cost (USD/kWh) - Base</v>
      </c>
      <c r="B7" s="33"/>
      <c r="C7" s="47">
        <f>Cost_of_ELCgen!C155</f>
        <v>4.2311442573161058E-2</v>
      </c>
      <c r="D7" s="47">
        <f>Cost_of_ELCgen!D155</f>
        <v>4.1149259669923742E-2</v>
      </c>
      <c r="E7" s="47">
        <f>Cost_of_ELCgen!E155</f>
        <v>4.2517045634906832E-2</v>
      </c>
      <c r="F7" s="47">
        <f>Cost_of_ELCgen!F155</f>
        <v>4.2721502780221222E-2</v>
      </c>
      <c r="G7" s="47">
        <f>Cost_of_ELCgen!G155</f>
        <v>4.239323808357523E-2</v>
      </c>
      <c r="H7" s="47">
        <f>Cost_of_ELCgen!H155</f>
        <v>4.3359403384515223E-2</v>
      </c>
      <c r="I7" s="47">
        <f>Cost_of_ELCgen!I155</f>
        <v>4.2491552883038138E-2</v>
      </c>
      <c r="J7" s="47">
        <f>Cost_of_ELCgen!J155</f>
        <v>4.2427099179510729E-2</v>
      </c>
      <c r="K7" s="47">
        <f>Cost_of_ELCgen!K155</f>
        <v>4.2216657190437344E-2</v>
      </c>
      <c r="L7" s="47">
        <f>Cost_of_ELCgen!L155</f>
        <v>4.4501287588608995E-2</v>
      </c>
      <c r="M7" s="47">
        <f>Cost_of_ELCgen!M155</f>
        <v>4.3790650149380592E-2</v>
      </c>
      <c r="N7" s="47">
        <f>Cost_of_ELCgen!N155</f>
        <v>4.3696158184052571E-2</v>
      </c>
      <c r="O7" s="47">
        <f>Cost_of_ELCgen!O155</f>
        <v>4.4447525483563552E-2</v>
      </c>
      <c r="P7" s="47">
        <f>Cost_of_ELCgen!P155</f>
        <v>4.5030551650830836E-2</v>
      </c>
      <c r="Q7" s="47">
        <f>Cost_of_ELCgen!Q155</f>
        <v>4.5136715111998224E-2</v>
      </c>
      <c r="R7" s="47">
        <f>Cost_of_ELCgen!R155</f>
        <v>4.5671603444305459E-2</v>
      </c>
      <c r="S7" s="47">
        <f>Cost_of_ELCgen!S155</f>
        <v>4.6367627782281977E-2</v>
      </c>
      <c r="T7" s="47">
        <f>Cost_of_ELCgen!T155</f>
        <v>4.7557333994272762E-2</v>
      </c>
      <c r="U7" s="47">
        <f>Cost_of_ELCgen!U155</f>
        <v>4.7986061134084289E-2</v>
      </c>
      <c r="V7" s="47">
        <f>Cost_of_ELCgen!V155</f>
        <v>4.8709327507688222E-2</v>
      </c>
      <c r="W7" s="47">
        <f>Cost_of_ELCgen!W155</f>
        <v>4.8396430962854238E-2</v>
      </c>
      <c r="X7" s="47">
        <f>Cost_of_ELCgen!X155</f>
        <v>4.7559330552232645E-2</v>
      </c>
      <c r="Y7" s="47">
        <f>Cost_of_ELCgen!Y155</f>
        <v>4.7585670871838556E-2</v>
      </c>
      <c r="Z7" s="47">
        <f>Cost_of_ELCgen!Z155</f>
        <v>4.762504124818602E-2</v>
      </c>
      <c r="AA7" s="47">
        <f>Cost_of_ELCgen!AA155</f>
        <v>4.7673194725447662E-2</v>
      </c>
      <c r="AB7" s="47">
        <f>Cost_of_ELCgen!AB155</f>
        <v>5.2652705327733931E-2</v>
      </c>
      <c r="AC7" s="47">
        <f>Cost_of_ELCgen!AC155</f>
        <v>5.2696134878944506E-2</v>
      </c>
      <c r="AD7" s="47">
        <f>Cost_of_ELCgen!AD155</f>
        <v>5.2815727864221597E-2</v>
      </c>
      <c r="AE7" s="47">
        <f>Cost_of_ELCgen!AE155</f>
        <v>5.3176952780538612E-2</v>
      </c>
      <c r="AF7" s="47">
        <f>Cost_of_ELCgen!AF155</f>
        <v>5.3714497512701034E-2</v>
      </c>
      <c r="AG7" s="47">
        <f>Cost_of_ELCgen!AG155</f>
        <v>5.2180007963356818E-2</v>
      </c>
    </row>
    <row r="9" spans="1:33">
      <c r="A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3C4-0001-4F29-8C6A-9C0693637D5E}">
  <dimension ref="A1:AG5"/>
  <sheetViews>
    <sheetView tabSelected="1" workbookViewId="0">
      <selection activeCell="C19" sqref="C19"/>
    </sheetView>
  </sheetViews>
  <sheetFormatPr defaultRowHeight="14.4"/>
  <cols>
    <col min="1" max="1" width="38.109375" bestFit="1" customWidth="1"/>
    <col min="2" max="2" width="4.77734375" customWidth="1"/>
  </cols>
  <sheetData>
    <row r="1" spans="1:33">
      <c r="A1" s="33" t="s">
        <v>267</v>
      </c>
    </row>
    <row r="3" spans="1:33" s="33" customFormat="1">
      <c r="A3" s="33" t="s">
        <v>270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Cost_of_ELCgen!A77</f>
        <v>Total Capital Investment (Million USD)</v>
      </c>
      <c r="C4">
        <f>Cost_of_ELCgen!C77</f>
        <v>2844.1750999999999</v>
      </c>
      <c r="D4">
        <f>Cost_of_ELCgen!D77</f>
        <v>3215.6944999999996</v>
      </c>
      <c r="E4">
        <f>Cost_of_ELCgen!E77</f>
        <v>3334.6460999999995</v>
      </c>
      <c r="F4">
        <f>Cost_of_ELCgen!F77</f>
        <v>277.59190000000001</v>
      </c>
      <c r="G4">
        <f>Cost_of_ELCgen!G77</f>
        <v>2053.5827999999997</v>
      </c>
      <c r="H4">
        <f>Cost_of_ELCgen!H77</f>
        <v>1168.3835999999999</v>
      </c>
      <c r="I4">
        <f>Cost_of_ELCgen!I77</f>
        <v>0</v>
      </c>
      <c r="J4">
        <f>Cost_of_ELCgen!J77</f>
        <v>1012.0767</v>
      </c>
      <c r="K4">
        <f>Cost_of_ELCgen!K77</f>
        <v>765.18</v>
      </c>
      <c r="L4">
        <f>Cost_of_ELCgen!L77</f>
        <v>4863.8531000000003</v>
      </c>
      <c r="M4">
        <f>Cost_of_ELCgen!M77</f>
        <v>5216.8200999999999</v>
      </c>
      <c r="N4">
        <f>Cost_of_ELCgen!N77</f>
        <v>1103.9965</v>
      </c>
      <c r="O4">
        <f>Cost_of_ELCgen!O77</f>
        <v>3132.2561999999998</v>
      </c>
      <c r="P4">
        <f>Cost_of_ELCgen!P77</f>
        <v>1754.9277</v>
      </c>
      <c r="Q4">
        <f>Cost_of_ELCgen!Q77</f>
        <v>3100.9754000000003</v>
      </c>
      <c r="R4">
        <f>Cost_of_ELCgen!R77</f>
        <v>1845.1280999999999</v>
      </c>
      <c r="S4">
        <f>Cost_of_ELCgen!S77</f>
        <v>3534.2465000000002</v>
      </c>
      <c r="T4">
        <f>Cost_of_ELCgen!T77</f>
        <v>3125.1370000000002</v>
      </c>
      <c r="U4">
        <f>Cost_of_ELCgen!U77</f>
        <v>3106.6158</v>
      </c>
      <c r="V4">
        <f>Cost_of_ELCgen!V77</f>
        <v>3661.36</v>
      </c>
      <c r="W4">
        <f>Cost_of_ELCgen!W77</f>
        <v>11980.895399999999</v>
      </c>
      <c r="X4">
        <f>Cost_of_ELCgen!X77</f>
        <v>0</v>
      </c>
      <c r="Y4">
        <f>Cost_of_ELCgen!Y77</f>
        <v>21.5258</v>
      </c>
      <c r="Z4">
        <f>Cost_of_ELCgen!Z77</f>
        <v>20.137499999999999</v>
      </c>
      <c r="AA4">
        <f>Cost_of_ELCgen!AA77</f>
        <v>17.750800000000002</v>
      </c>
      <c r="AB4">
        <f>Cost_of_ELCgen!AB77</f>
        <v>81.8108</v>
      </c>
      <c r="AC4">
        <f>Cost_of_ELCgen!AC77</f>
        <v>1223.6006</v>
      </c>
      <c r="AD4">
        <f>Cost_of_ELCgen!AD77</f>
        <v>704.73119999999994</v>
      </c>
      <c r="AE4">
        <f>Cost_of_ELCgen!AE77</f>
        <v>197.1319</v>
      </c>
      <c r="AF4">
        <f>Cost_of_ELCgen!AF77</f>
        <v>935.50240000000008</v>
      </c>
      <c r="AG4">
        <f>Cost_of_ELCgen!AG77</f>
        <v>33451.743699999999</v>
      </c>
    </row>
    <row r="5" spans="1:33">
      <c r="A5" s="33" t="str">
        <f>Cost_of_ELCgen!A98</f>
        <v>Total Annualized Investments (Million USD)</v>
      </c>
      <c r="C5">
        <f>Cost_of_ELCgen!C98</f>
        <v>143.4878415952</v>
      </c>
      <c r="D5">
        <f>Cost_of_ELCgen!D98</f>
        <v>337.4595574997</v>
      </c>
      <c r="E5">
        <f>Cost_of_ELCgen!E98</f>
        <v>538.6055921894</v>
      </c>
      <c r="F5">
        <f>Cost_of_ELCgen!F98</f>
        <v>554.30562246839997</v>
      </c>
      <c r="G5">
        <f>Cost_of_ELCgen!G98</f>
        <v>684.58791581929995</v>
      </c>
      <c r="H5">
        <f>Cost_of_ELCgen!H98</f>
        <v>757.97000697699991</v>
      </c>
      <c r="I5">
        <f>Cost_of_ELCgen!I98</f>
        <v>757.97000697699991</v>
      </c>
      <c r="J5">
        <f>Cost_of_ELCgen!J98</f>
        <v>826.35984396770004</v>
      </c>
      <c r="K5">
        <f>Cost_of_ELCgen!K98</f>
        <v>878.06594042129996</v>
      </c>
      <c r="L5">
        <f>Cost_of_ELCgen!L98</f>
        <v>1206.7348255521999</v>
      </c>
      <c r="M5">
        <f>Cost_of_ELCgen!M98</f>
        <v>1535.3549398146999</v>
      </c>
      <c r="N5">
        <f>Cost_of_ELCgen!N98</f>
        <v>1609.956144124</v>
      </c>
      <c r="O5">
        <f>Cost_of_ELCgen!O98</f>
        <v>1821.6145005819001</v>
      </c>
      <c r="P5">
        <f>Cost_of_ELCgen!P98</f>
        <v>1940.2015793414</v>
      </c>
      <c r="Q5">
        <f>Cost_of_ELCgen!Q98</f>
        <v>2142.9120986962002</v>
      </c>
      <c r="R5">
        <f>Cost_of_ELCgen!R98</f>
        <v>2267.5943584361003</v>
      </c>
      <c r="S5">
        <f>Cost_of_ELCgen!S98</f>
        <v>2506.4167145086999</v>
      </c>
      <c r="T5">
        <f>Cost_of_ELCgen!T98</f>
        <v>2717.5939997913001</v>
      </c>
      <c r="U5">
        <f>Cost_of_ELCgen!U98</f>
        <v>2927.5197377862005</v>
      </c>
      <c r="V5">
        <f>Cost_of_ELCgen!V98</f>
        <v>3174.9316321263004</v>
      </c>
      <c r="W5">
        <f>Cost_of_ELCgen!W98</f>
        <v>3918.3282606666003</v>
      </c>
      <c r="X5">
        <f>Cost_of_ELCgen!X98</f>
        <v>3918.3282606666003</v>
      </c>
      <c r="Y5">
        <f>Cost_of_ELCgen!Y98</f>
        <v>3919.6618646488005</v>
      </c>
      <c r="Z5">
        <f>Cost_of_ELCgen!Z98</f>
        <v>3920.9094582430002</v>
      </c>
      <c r="AA5">
        <f>Cost_of_ELCgen!AA98</f>
        <v>3922.0091868276004</v>
      </c>
      <c r="AB5">
        <f>Cost_of_ELCgen!AB98</f>
        <v>5044.1779106763997</v>
      </c>
      <c r="AC5">
        <f>Cost_of_ELCgen!AC98</f>
        <v>5000.9947562066</v>
      </c>
      <c r="AD5">
        <f>Cost_of_ELCgen!AD98</f>
        <v>4982.7862389995989</v>
      </c>
      <c r="AE5">
        <f>Cost_of_ELCgen!AE98</f>
        <v>5082.8094935114996</v>
      </c>
      <c r="AF5">
        <f>Cost_of_ELCgen!AF98</f>
        <v>5208.8418780267002</v>
      </c>
      <c r="AG5">
        <f>Cost_of_ELCgen!AG98</f>
        <v>7599.7526312221007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28"/>
  <sheetViews>
    <sheetView topLeftCell="A58" zoomScale="65" zoomScaleNormal="125" workbookViewId="0">
      <pane xSplit="1" topLeftCell="Z1" activePane="topRight" state="frozen"/>
      <selection activeCell="A232" sqref="A232"/>
      <selection pane="topRight" activeCell="A78" sqref="A78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8" t="s">
        <v>23</v>
      </c>
      <c r="B4" s="38"/>
      <c r="C4" s="38">
        <f t="shared" ref="C4:AG4" si="0">SUM(C6:C9)+SUM(C38:C54)</f>
        <v>12310.831699999999</v>
      </c>
      <c r="D4" s="38">
        <f t="shared" si="0"/>
        <v>5122.5043000000005</v>
      </c>
      <c r="E4" s="38">
        <f t="shared" si="0"/>
        <v>5319.9663</v>
      </c>
      <c r="F4" s="38">
        <f t="shared" si="0"/>
        <v>5592.5475999999999</v>
      </c>
      <c r="G4" s="38">
        <f t="shared" si="0"/>
        <v>6742.4957000000004</v>
      </c>
      <c r="H4" s="38">
        <f t="shared" si="0"/>
        <v>7004.6526999999987</v>
      </c>
      <c r="I4" s="38">
        <f t="shared" si="0"/>
        <v>7332.7254000000003</v>
      </c>
      <c r="J4" s="38">
        <f t="shared" si="0"/>
        <v>7591.6620000000003</v>
      </c>
      <c r="K4" s="38">
        <f t="shared" si="0"/>
        <v>7863.4093000000012</v>
      </c>
      <c r="L4" s="38">
        <f t="shared" si="0"/>
        <v>7862.08</v>
      </c>
      <c r="M4" s="38">
        <f t="shared" si="0"/>
        <v>7786.3217000000004</v>
      </c>
      <c r="N4" s="38">
        <f t="shared" si="0"/>
        <v>8111.6556</v>
      </c>
      <c r="O4" s="38">
        <f t="shared" si="0"/>
        <v>8321.6905000000006</v>
      </c>
      <c r="P4" s="38">
        <f t="shared" si="0"/>
        <v>3942.4536999999996</v>
      </c>
      <c r="Q4" s="38">
        <f t="shared" si="0"/>
        <v>3095.3375999999998</v>
      </c>
      <c r="R4" s="38">
        <f t="shared" si="0"/>
        <v>3256.1026999999999</v>
      </c>
      <c r="S4" s="38">
        <f t="shared" si="0"/>
        <v>3361.1246999999994</v>
      </c>
      <c r="T4" s="38">
        <f t="shared" si="0"/>
        <v>3426.9916999999996</v>
      </c>
      <c r="U4" s="38">
        <f t="shared" si="0"/>
        <v>3542.6985999999997</v>
      </c>
      <c r="V4" s="38">
        <f t="shared" si="0"/>
        <v>3718.299</v>
      </c>
      <c r="W4" s="38">
        <f t="shared" si="0"/>
        <v>4192.5940999999993</v>
      </c>
      <c r="X4" s="38">
        <f t="shared" si="0"/>
        <v>4003.1972999999998</v>
      </c>
      <c r="Y4" s="38">
        <f t="shared" si="0"/>
        <v>4070.83</v>
      </c>
      <c r="Z4" s="38">
        <f t="shared" si="0"/>
        <v>4142.1597999999994</v>
      </c>
      <c r="AA4" s="38">
        <f t="shared" si="0"/>
        <v>4213.7947000000004</v>
      </c>
      <c r="AB4" s="38">
        <f t="shared" si="0"/>
        <v>4283.2806999999993</v>
      </c>
      <c r="AC4" s="38">
        <f t="shared" si="0"/>
        <v>4465.6091999999999</v>
      </c>
      <c r="AD4" s="38">
        <f t="shared" si="0"/>
        <v>4647.8878999999997</v>
      </c>
      <c r="AE4" s="38">
        <f t="shared" si="0"/>
        <v>4768.0972000000002</v>
      </c>
      <c r="AF4" s="38">
        <f t="shared" si="0"/>
        <v>4917.3407000000007</v>
      </c>
      <c r="AG4" s="38">
        <f t="shared" si="0"/>
        <v>6227.5158999999994</v>
      </c>
    </row>
    <row r="5" spans="1:58">
      <c r="A5" s="39" t="s">
        <v>12</v>
      </c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6" customFormat="1">
      <c r="A6" s="40" t="s">
        <v>165</v>
      </c>
      <c r="B6" s="40"/>
      <c r="C6" s="40">
        <f>SUMIFS(Variable!C$2:C$10000,Variable!$B$2:$B$10000,$A6)</f>
        <v>1261.3244999999999</v>
      </c>
      <c r="D6" s="40">
        <f>SUMIFS(Variable!D$2:D$10000,Variable!$B$2:$B$10000,$A6)</f>
        <v>240.22890000000001</v>
      </c>
      <c r="E6" s="40">
        <f>SUMIFS(Variable!E$2:E$10000,Variable!$B$2:$B$10000,$A6)</f>
        <v>262.32220000000001</v>
      </c>
      <c r="F6" s="40">
        <f>SUMIFS(Variable!F$2:F$10000,Variable!$B$2:$B$10000,$A6)</f>
        <v>330.64150000000001</v>
      </c>
      <c r="G6" s="40">
        <f>SUMIFS(Variable!G$2:G$10000,Variable!$B$2:$B$10000,$A6)</f>
        <v>1439.8780999999999</v>
      </c>
      <c r="H6" s="40">
        <f>SUMIFS(Variable!H$2:H$10000,Variable!$B$2:$B$10000,$A6)</f>
        <v>1550.1288</v>
      </c>
      <c r="I6" s="40">
        <f>SUMIFS(Variable!I$2:I$10000,Variable!$B$2:$B$10000,$A6)</f>
        <v>1709.9739</v>
      </c>
      <c r="J6" s="40">
        <f>SUMIFS(Variable!J$2:J$10000,Variable!$B$2:$B$10000,$A6)</f>
        <v>1766.5889999999999</v>
      </c>
      <c r="K6" s="40">
        <f>SUMIFS(Variable!K$2:K$10000,Variable!$B$2:$B$10000,$A6)</f>
        <v>1849.7789</v>
      </c>
      <c r="L6" s="40">
        <f>SUMIFS(Variable!L$2:L$10000,Variable!$B$2:$B$10000,$A6)</f>
        <v>1512.8974000000001</v>
      </c>
      <c r="M6" s="40">
        <f>SUMIFS(Variable!M$2:M$10000,Variable!$B$2:$B$10000,$A6)</f>
        <v>1527.7496000000001</v>
      </c>
      <c r="N6" s="40">
        <f>SUMIFS(Variable!N$2:N$10000,Variable!$B$2:$B$10000,$A6)</f>
        <v>1593.4802</v>
      </c>
      <c r="O6" s="40">
        <f>SUMIFS(Variable!O$2:O$10000,Variable!$B$2:$B$10000,$A6)</f>
        <v>1500.6249</v>
      </c>
      <c r="P6" s="40">
        <f>SUMIFS(Variable!P$2:P$10000,Variable!$B$2:$B$10000,$A6)</f>
        <v>1525.4292</v>
      </c>
      <c r="Q6" s="40">
        <f>SUMIFS(Variable!Q$2:Q$10000,Variable!$B$2:$B$10000,$A6)</f>
        <v>1553.1315999999999</v>
      </c>
      <c r="R6" s="40">
        <f>SUMIFS(Variable!R$2:R$10000,Variable!$B$2:$B$10000,$A6)</f>
        <v>1662.6175000000001</v>
      </c>
      <c r="S6" s="40">
        <f>SUMIFS(Variable!S$2:S$10000,Variable!$B$2:$B$10000,$A6)</f>
        <v>1713.7240999999999</v>
      </c>
      <c r="T6" s="40">
        <f>SUMIFS(Variable!T$2:T$10000,Variable!$B$2:$B$10000,$A6)</f>
        <v>1765.0402999999999</v>
      </c>
      <c r="U6" s="40">
        <f>SUMIFS(Variable!U$2:U$10000,Variable!$B$2:$B$10000,$A6)</f>
        <v>1826.3404</v>
      </c>
      <c r="V6" s="40">
        <f>SUMIFS(Variable!V$2:V$10000,Variable!$B$2:$B$10000,$A6)</f>
        <v>1964.2016000000001</v>
      </c>
      <c r="W6" s="40">
        <f>SUMIFS(Variable!W$2:W$10000,Variable!$B$2:$B$10000,$A6)</f>
        <v>2110.6561999999999</v>
      </c>
      <c r="X6" s="40">
        <f>SUMIFS(Variable!X$2:X$10000,Variable!$B$2:$B$10000,$A6)</f>
        <v>2093.9728</v>
      </c>
      <c r="Y6" s="40">
        <f>SUMIFS(Variable!Y$2:Y$10000,Variable!$B$2:$B$10000,$A6)</f>
        <v>2165.5259999999998</v>
      </c>
      <c r="Z6" s="40">
        <f>SUMIFS(Variable!Z$2:Z$10000,Variable!$B$2:$B$10000,$A6)</f>
        <v>2240.3537000000001</v>
      </c>
      <c r="AA6" s="40">
        <f>SUMIFS(Variable!AA$2:AA$10000,Variable!$B$2:$B$10000,$A6)</f>
        <v>2315.2908000000002</v>
      </c>
      <c r="AB6" s="40">
        <f>SUMIFS(Variable!AB$2:AB$10000,Variable!$B$2:$B$10000,$A6)</f>
        <v>2397.2224999999999</v>
      </c>
      <c r="AC6" s="40">
        <f>SUMIFS(Variable!AC$2:AC$10000,Variable!$B$2:$B$10000,$A6)</f>
        <v>2610.6392999999998</v>
      </c>
      <c r="AD6" s="40">
        <f>SUMIFS(Variable!AD$2:AD$10000,Variable!$B$2:$B$10000,$A6)</f>
        <v>2810.9301999999998</v>
      </c>
      <c r="AE6" s="40">
        <f>SUMIFS(Variable!AE$2:AE$10000,Variable!$B$2:$B$10000,$A6)</f>
        <v>2929.4947000000002</v>
      </c>
      <c r="AF6" s="40">
        <f>SUMIFS(Variable!AF$2:AF$10000,Variable!$B$2:$B$10000,$A6)</f>
        <v>3085.3245999999999</v>
      </c>
      <c r="AG6" s="40">
        <f>SUMIFS(Variable!AG$2:AG$10000,Variable!$B$2:$B$10000,$A6)</f>
        <v>3569.0526</v>
      </c>
    </row>
    <row r="7" spans="1:58" s="36" customFormat="1">
      <c r="A7" s="40" t="s">
        <v>166</v>
      </c>
      <c r="B7" s="40"/>
      <c r="C7" s="40">
        <f>SUMIFS(Variable!C$2:C$10000,Variable!$B$2:$B$10000,$A7)</f>
        <v>3103.7145</v>
      </c>
      <c r="D7" s="40">
        <f>SUMIFS(Variable!D$2:D$10000,Variable!$B$2:$B$10000,$A7)</f>
        <v>0</v>
      </c>
      <c r="E7" s="40">
        <f>SUMIFS(Variable!E$2:E$10000,Variable!$B$2:$B$10000,$A7)</f>
        <v>0</v>
      </c>
      <c r="F7" s="40">
        <f>SUMIFS(Variable!F$2:F$10000,Variable!$B$2:$B$10000,$A7)</f>
        <v>0</v>
      </c>
      <c r="G7" s="40">
        <f>SUMIFS(Variable!G$2:G$10000,Variable!$B$2:$B$10000,$A7)</f>
        <v>0</v>
      </c>
      <c r="H7" s="40">
        <f>SUMIFS(Variable!H$2:H$10000,Variable!$B$2:$B$10000,$A7)</f>
        <v>0</v>
      </c>
      <c r="I7" s="40">
        <f>SUMIFS(Variable!I$2:I$10000,Variable!$B$2:$B$10000,$A7)</f>
        <v>0</v>
      </c>
      <c r="J7" s="40">
        <f>SUMIFS(Variable!J$2:J$10000,Variable!$B$2:$B$10000,$A7)</f>
        <v>0</v>
      </c>
      <c r="K7" s="40">
        <f>SUMIFS(Variable!K$2:K$10000,Variable!$B$2:$B$10000,$A7)</f>
        <v>0</v>
      </c>
      <c r="L7" s="40">
        <f>SUMIFS(Variable!L$2:L$10000,Variable!$B$2:$B$10000,$A7)</f>
        <v>0</v>
      </c>
      <c r="M7" s="40">
        <f>SUMIFS(Variable!M$2:M$10000,Variable!$B$2:$B$10000,$A7)</f>
        <v>0</v>
      </c>
      <c r="N7" s="40">
        <f>SUMIFS(Variable!N$2:N$10000,Variable!$B$2:$B$10000,$A7)</f>
        <v>0</v>
      </c>
      <c r="O7" s="40">
        <f>SUMIFS(Variable!O$2:O$10000,Variable!$B$2:$B$10000,$A7)</f>
        <v>0</v>
      </c>
      <c r="P7" s="40">
        <f>SUMIFS(Variable!P$2:P$10000,Variable!$B$2:$B$10000,$A7)</f>
        <v>0</v>
      </c>
      <c r="Q7" s="40">
        <f>SUMIFS(Variable!Q$2:Q$10000,Variable!$B$2:$B$10000,$A7)</f>
        <v>0</v>
      </c>
      <c r="R7" s="40">
        <f>SUMIFS(Variable!R$2:R$10000,Variable!$B$2:$B$10000,$A7)</f>
        <v>0</v>
      </c>
      <c r="S7" s="40">
        <f>SUMIFS(Variable!S$2:S$10000,Variable!$B$2:$B$10000,$A7)</f>
        <v>0</v>
      </c>
      <c r="T7" s="40">
        <f>SUMIFS(Variable!T$2:T$10000,Variable!$B$2:$B$10000,$A7)</f>
        <v>0</v>
      </c>
      <c r="U7" s="40">
        <f>SUMIFS(Variable!U$2:U$10000,Variable!$B$2:$B$10000,$A7)</f>
        <v>0</v>
      </c>
      <c r="V7" s="40">
        <f>SUMIFS(Variable!V$2:V$10000,Variable!$B$2:$B$10000,$A7)</f>
        <v>0</v>
      </c>
      <c r="W7" s="40">
        <f>SUMIFS(Variable!W$2:W$10000,Variable!$B$2:$B$10000,$A7)</f>
        <v>0</v>
      </c>
      <c r="X7" s="40">
        <f>SUMIFS(Variable!X$2:X$10000,Variable!$B$2:$B$10000,$A7)</f>
        <v>0</v>
      </c>
      <c r="Y7" s="40">
        <f>SUMIFS(Variable!Y$2:Y$10000,Variable!$B$2:$B$10000,$A7)</f>
        <v>0</v>
      </c>
      <c r="Z7" s="40">
        <f>SUMIFS(Variable!Z$2:Z$10000,Variable!$B$2:$B$10000,$A7)</f>
        <v>0</v>
      </c>
      <c r="AA7" s="40">
        <f>SUMIFS(Variable!AA$2:AA$10000,Variable!$B$2:$B$10000,$A7)</f>
        <v>0</v>
      </c>
      <c r="AB7" s="40">
        <f>SUMIFS(Variable!AB$2:AB$10000,Variable!$B$2:$B$10000,$A7)</f>
        <v>0</v>
      </c>
      <c r="AC7" s="40">
        <f>SUMIFS(Variable!AC$2:AC$10000,Variable!$B$2:$B$10000,$A7)</f>
        <v>0</v>
      </c>
      <c r="AD7" s="40">
        <f>SUMIFS(Variable!AD$2:AD$10000,Variable!$B$2:$B$10000,$A7)</f>
        <v>0</v>
      </c>
      <c r="AE7" s="40">
        <f>SUMIFS(Variable!AE$2:AE$10000,Variable!$B$2:$B$10000,$A7)</f>
        <v>0</v>
      </c>
      <c r="AF7" s="40">
        <f>SUMIFS(Variable!AF$2:AF$10000,Variable!$B$2:$B$10000,$A7)</f>
        <v>0</v>
      </c>
      <c r="AG7" s="40">
        <f>SUMIFS(Variable!AG$2:AG$10000,Variable!$B$2:$B$10000,$A7)</f>
        <v>0</v>
      </c>
    </row>
    <row r="8" spans="1:58" s="36" customFormat="1">
      <c r="A8" s="40" t="s">
        <v>164</v>
      </c>
      <c r="B8" s="40"/>
      <c r="C8" s="40">
        <f>SUMIFS(Variable!C$2:C$10000,Variable!$B$2:$B$10000,$A8)</f>
        <v>2023.5934</v>
      </c>
      <c r="D8" s="40">
        <f>SUMIFS(Variable!D$2:D$10000,Variable!$B$2:$B$10000,$A8)</f>
        <v>3760.7492999999999</v>
      </c>
      <c r="E8" s="40">
        <f>SUMIFS(Variable!E$2:E$10000,Variable!$B$2:$B$10000,$A8)</f>
        <v>3887.3910000000001</v>
      </c>
      <c r="F8" s="40">
        <f>SUMIFS(Variable!F$2:F$10000,Variable!$B$2:$B$10000,$A8)</f>
        <v>4124.4119000000001</v>
      </c>
      <c r="G8" s="40">
        <f>SUMIFS(Variable!G$2:G$10000,Variable!$B$2:$B$10000,$A8)</f>
        <v>4180.0101000000004</v>
      </c>
      <c r="H8" s="40">
        <f>SUMIFS(Variable!H$2:H$10000,Variable!$B$2:$B$10000,$A8)</f>
        <v>4306.9404999999997</v>
      </c>
      <c r="I8" s="40">
        <f>SUMIFS(Variable!I$2:I$10000,Variable!$B$2:$B$10000,$A8)</f>
        <v>4476.5010000000002</v>
      </c>
      <c r="J8" s="40">
        <f>SUMIFS(Variable!J$2:J$10000,Variable!$B$2:$B$10000,$A8)</f>
        <v>4650.6058999999996</v>
      </c>
      <c r="K8" s="40">
        <f>SUMIFS(Variable!K$2:K$10000,Variable!$B$2:$B$10000,$A8)</f>
        <v>4818.0609000000004</v>
      </c>
      <c r="L8" s="40">
        <f>SUMIFS(Variable!L$2:L$10000,Variable!$B$2:$B$10000,$A8)</f>
        <v>5013.7830999999996</v>
      </c>
      <c r="M8" s="40">
        <f>SUMIFS(Variable!M$2:M$10000,Variable!$B$2:$B$10000,$A8)</f>
        <v>4841.9678999999996</v>
      </c>
      <c r="N8" s="40">
        <f>SUMIFS(Variable!N$2:N$10000,Variable!$B$2:$B$10000,$A8)</f>
        <v>5095.8089</v>
      </c>
      <c r="O8" s="40">
        <f>SUMIFS(Variable!O$2:O$10000,Variable!$B$2:$B$10000,$A8)</f>
        <v>5353.4399000000003</v>
      </c>
      <c r="P8" s="40">
        <f>SUMIFS(Variable!P$2:P$10000,Variable!$B$2:$B$10000,$A8)</f>
        <v>916.31269999999995</v>
      </c>
      <c r="Q8" s="40">
        <f>SUMIFS(Variable!Q$2:Q$10000,Variable!$B$2:$B$10000,$A8)</f>
        <v>0</v>
      </c>
      <c r="R8" s="40">
        <f>SUMIFS(Variable!R$2:R$10000,Variable!$B$2:$B$10000,$A8)</f>
        <v>0</v>
      </c>
      <c r="S8" s="40">
        <f>SUMIFS(Variable!S$2:S$10000,Variable!$B$2:$B$10000,$A8)</f>
        <v>0</v>
      </c>
      <c r="T8" s="40">
        <f>SUMIFS(Variable!T$2:T$10000,Variable!$B$2:$B$10000,$A8)</f>
        <v>0</v>
      </c>
      <c r="U8" s="40">
        <f>SUMIFS(Variable!U$2:U$10000,Variable!$B$2:$B$10000,$A8)</f>
        <v>0</v>
      </c>
      <c r="V8" s="40">
        <f>SUMIFS(Variable!V$2:V$10000,Variable!$B$2:$B$10000,$A8)</f>
        <v>0</v>
      </c>
      <c r="W8" s="40">
        <f>SUMIFS(Variable!W$2:W$10000,Variable!$B$2:$B$10000,$A8)</f>
        <v>0</v>
      </c>
      <c r="X8" s="40">
        <f>SUMIFS(Variable!X$2:X$10000,Variable!$B$2:$B$10000,$A8)</f>
        <v>0</v>
      </c>
      <c r="Y8" s="40">
        <f>SUMIFS(Variable!Y$2:Y$10000,Variable!$B$2:$B$10000,$A8)</f>
        <v>0</v>
      </c>
      <c r="Z8" s="40">
        <f>SUMIFS(Variable!Z$2:Z$10000,Variable!$B$2:$B$10000,$A8)</f>
        <v>0</v>
      </c>
      <c r="AA8" s="40">
        <f>SUMIFS(Variable!AA$2:AA$10000,Variable!$B$2:$B$10000,$A8)</f>
        <v>0</v>
      </c>
      <c r="AB8" s="40">
        <f>SUMIFS(Variable!AB$2:AB$10000,Variable!$B$2:$B$10000,$A8)</f>
        <v>0</v>
      </c>
      <c r="AC8" s="40">
        <f>SUMIFS(Variable!AC$2:AC$10000,Variable!$B$2:$B$10000,$A8)</f>
        <v>0</v>
      </c>
      <c r="AD8" s="40">
        <f>SUMIFS(Variable!AD$2:AD$10000,Variable!$B$2:$B$10000,$A8)</f>
        <v>0</v>
      </c>
      <c r="AE8" s="40">
        <f>SUMIFS(Variable!AE$2:AE$10000,Variable!$B$2:$B$10000,$A8)</f>
        <v>0</v>
      </c>
      <c r="AF8" s="40">
        <f>SUMIFS(Variable!AF$2:AF$10000,Variable!$B$2:$B$10000,$A8)</f>
        <v>0</v>
      </c>
      <c r="AG8" s="40">
        <f>SUMIFS(Variable!AG$2:AG$10000,Variable!$B$2:$B$10000,$A8)</f>
        <v>0</v>
      </c>
    </row>
    <row r="9" spans="1:58" s="36" customFormat="1">
      <c r="A9" s="40" t="s">
        <v>171</v>
      </c>
      <c r="B9" s="40"/>
      <c r="C9" s="40">
        <f>SUMIFS(Variable!C$2:C$10000,Variable!$B$2:$B$10000,$A9)</f>
        <v>4868.8589000000002</v>
      </c>
      <c r="D9" s="40">
        <f>SUMIFS(Variable!D$2:D$10000,Variable!$B$2:$B$10000,$A9)</f>
        <v>28.045300000000001</v>
      </c>
      <c r="E9" s="40">
        <f>SUMIFS(Variable!E$2:E$10000,Variable!$B$2:$B$10000,$A9)</f>
        <v>28.2742</v>
      </c>
      <c r="F9" s="40">
        <f>SUMIFS(Variable!F$2:F$10000,Variable!$B$2:$B$10000,$A9)</f>
        <v>28.5122</v>
      </c>
      <c r="G9" s="40">
        <f>SUMIFS(Variable!G$2:G$10000,Variable!$B$2:$B$10000,$A9)</f>
        <v>0</v>
      </c>
      <c r="H9" s="40">
        <f>SUMIFS(Variable!H$2:H$10000,Variable!$B$2:$B$10000,$A9)</f>
        <v>0</v>
      </c>
      <c r="I9" s="40">
        <f>SUMIFS(Variable!I$2:I$10000,Variable!$B$2:$B$10000,$A9)</f>
        <v>0</v>
      </c>
      <c r="J9" s="40">
        <f>SUMIFS(Variable!J$2:J$10000,Variable!$B$2:$B$10000,$A9)</f>
        <v>0</v>
      </c>
      <c r="K9" s="40">
        <f>SUMIFS(Variable!K$2:K$10000,Variable!$B$2:$B$10000,$A9)</f>
        <v>0</v>
      </c>
      <c r="L9" s="40">
        <f>SUMIFS(Variable!L$2:L$10000,Variable!$B$2:$B$10000,$A9)</f>
        <v>0</v>
      </c>
      <c r="M9" s="40">
        <f>SUMIFS(Variable!M$2:M$10000,Variable!$B$2:$B$10000,$A9)</f>
        <v>0</v>
      </c>
      <c r="N9" s="40">
        <f>SUMIFS(Variable!N$2:N$10000,Variable!$B$2:$B$10000,$A9)</f>
        <v>0</v>
      </c>
      <c r="O9" s="40">
        <f>SUMIFS(Variable!O$2:O$10000,Variable!$B$2:$B$10000,$A9)</f>
        <v>0</v>
      </c>
      <c r="P9" s="40">
        <f>SUMIFS(Variable!P$2:P$10000,Variable!$B$2:$B$10000,$A9)</f>
        <v>0</v>
      </c>
      <c r="Q9" s="40">
        <f>SUMIFS(Variable!Q$2:Q$10000,Variable!$B$2:$B$10000,$A9)</f>
        <v>0</v>
      </c>
      <c r="R9" s="40">
        <f>SUMIFS(Variable!R$2:R$10000,Variable!$B$2:$B$10000,$A9)</f>
        <v>0</v>
      </c>
      <c r="S9" s="40">
        <f>SUMIFS(Variable!S$2:S$10000,Variable!$B$2:$B$10000,$A9)</f>
        <v>0</v>
      </c>
      <c r="T9" s="40">
        <f>SUMIFS(Variable!T$2:T$10000,Variable!$B$2:$B$10000,$A9)</f>
        <v>0</v>
      </c>
      <c r="U9" s="40">
        <f>SUMIFS(Variable!U$2:U$10000,Variable!$B$2:$B$10000,$A9)</f>
        <v>0</v>
      </c>
      <c r="V9" s="40">
        <f>SUMIFS(Variable!V$2:V$10000,Variable!$B$2:$B$10000,$A9)</f>
        <v>0</v>
      </c>
      <c r="W9" s="40">
        <f>SUMIFS(Variable!W$2:W$10000,Variable!$B$2:$B$10000,$A9)</f>
        <v>168.00040000000001</v>
      </c>
      <c r="X9" s="40">
        <f>SUMIFS(Variable!X$2:X$10000,Variable!$B$2:$B$10000,$A9)</f>
        <v>0</v>
      </c>
      <c r="Y9" s="40">
        <f>SUMIFS(Variable!Y$2:Y$10000,Variable!$B$2:$B$10000,$A9)</f>
        <v>0</v>
      </c>
      <c r="Z9" s="40">
        <f>SUMIFS(Variable!Z$2:Z$10000,Variable!$B$2:$B$10000,$A9)</f>
        <v>0</v>
      </c>
      <c r="AA9" s="40">
        <f>SUMIFS(Variable!AA$2:AA$10000,Variable!$B$2:$B$10000,$A9)</f>
        <v>0</v>
      </c>
      <c r="AB9" s="40">
        <f>SUMIFS(Variable!AB$2:AB$10000,Variable!$B$2:$B$10000,$A9)</f>
        <v>0</v>
      </c>
      <c r="AC9" s="40">
        <f>SUMIFS(Variable!AC$2:AC$10000,Variable!$B$2:$B$10000,$A9)</f>
        <v>0</v>
      </c>
      <c r="AD9" s="40">
        <f>SUMIFS(Variable!AD$2:AD$10000,Variable!$B$2:$B$10000,$A9)</f>
        <v>0</v>
      </c>
      <c r="AE9" s="40">
        <f>SUMIFS(Variable!AE$2:AE$10000,Variable!$B$2:$B$10000,$A9)</f>
        <v>0</v>
      </c>
      <c r="AF9" s="40">
        <f>SUMIFS(Variable!AF$2:AF$10000,Variable!$B$2:$B$10000,$A9)</f>
        <v>0</v>
      </c>
      <c r="AG9" s="40">
        <f>SUMIFS(Variable!AG$2:AG$10000,Variable!$B$2:$B$10000,$A9)</f>
        <v>0</v>
      </c>
    </row>
    <row r="10" spans="1:58" s="36" customFormat="1">
      <c r="A10" t="s">
        <v>132</v>
      </c>
      <c r="C10" s="36">
        <f>SUMIFS(Variable!C$2:C$10000,Variable!$B$2:$B$10000,$A10)</f>
        <v>4.0000000000000002E-4</v>
      </c>
      <c r="D10" s="36">
        <f>SUMIFS(Variable!D$2:D$10000,Variable!$B$2:$B$10000,$A10)</f>
        <v>0</v>
      </c>
      <c r="E10" s="36">
        <f>SUMIFS(Variable!E$2:E$10000,Variable!$B$2:$B$10000,$A10)</f>
        <v>0</v>
      </c>
      <c r="F10" s="36">
        <f>SUMIFS(Variable!F$2:F$10000,Variable!$B$2:$B$10000,$A10)</f>
        <v>0</v>
      </c>
      <c r="G10" s="36">
        <f>SUMIFS(Variable!G$2:G$10000,Variable!$B$2:$B$10000,$A10)</f>
        <v>0</v>
      </c>
      <c r="H10" s="36">
        <f>SUMIFS(Variable!H$2:H$10000,Variable!$B$2:$B$10000,$A10)</f>
        <v>0</v>
      </c>
      <c r="I10" s="36">
        <f>SUMIFS(Variable!I$2:I$10000,Variable!$B$2:$B$10000,$A10)</f>
        <v>0</v>
      </c>
      <c r="J10" s="36">
        <f>SUMIFS(Variable!J$2:J$10000,Variable!$B$2:$B$10000,$A10)</f>
        <v>0</v>
      </c>
      <c r="K10" s="36">
        <f>SUMIFS(Variable!K$2:K$10000,Variable!$B$2:$B$10000,$A10)</f>
        <v>0</v>
      </c>
      <c r="L10" s="36">
        <f>SUMIFS(Variable!L$2:L$10000,Variable!$B$2:$B$10000,$A10)</f>
        <v>0</v>
      </c>
      <c r="M10" s="36">
        <f>SUMIFS(Variable!M$2:M$10000,Variable!$B$2:$B$10000,$A10)</f>
        <v>0</v>
      </c>
      <c r="N10" s="36">
        <f>SUMIFS(Variable!N$2:N$10000,Variable!$B$2:$B$10000,$A10)</f>
        <v>0</v>
      </c>
      <c r="O10" s="36">
        <f>SUMIFS(Variable!O$2:O$10000,Variable!$B$2:$B$10000,$A10)</f>
        <v>0</v>
      </c>
      <c r="P10" s="36">
        <f>SUMIFS(Variable!P$2:P$10000,Variable!$B$2:$B$10000,$A10)</f>
        <v>0</v>
      </c>
      <c r="Q10" s="36">
        <f>SUMIFS(Variable!Q$2:Q$10000,Variable!$B$2:$B$10000,$A10)</f>
        <v>0</v>
      </c>
      <c r="R10" s="36">
        <f>SUMIFS(Variable!R$2:R$10000,Variable!$B$2:$B$10000,$A10)</f>
        <v>0</v>
      </c>
      <c r="S10" s="36">
        <f>SUMIFS(Variable!S$2:S$10000,Variable!$B$2:$B$10000,$A10)</f>
        <v>0</v>
      </c>
      <c r="T10" s="36">
        <f>SUMIFS(Variable!T$2:T$10000,Variable!$B$2:$B$10000,$A10)</f>
        <v>0</v>
      </c>
      <c r="U10" s="36">
        <f>SUMIFS(Variable!U$2:U$10000,Variable!$B$2:$B$10000,$A10)</f>
        <v>0</v>
      </c>
      <c r="V10" s="36">
        <f>SUMIFS(Variable!V$2:V$10000,Variable!$B$2:$B$10000,$A10)</f>
        <v>0</v>
      </c>
      <c r="W10" s="36">
        <f>SUMIFS(Variable!W$2:W$10000,Variable!$B$2:$B$10000,$A10)</f>
        <v>2.9999999999999997E-4</v>
      </c>
      <c r="X10" s="36">
        <f>SUMIFS(Variable!X$2:X$10000,Variable!$B$2:$B$10000,$A10)</f>
        <v>0</v>
      </c>
      <c r="Y10" s="36">
        <f>SUMIFS(Variable!Y$2:Y$10000,Variable!$B$2:$B$10000,$A10)</f>
        <v>0</v>
      </c>
      <c r="Z10" s="36">
        <f>SUMIFS(Variable!Z$2:Z$10000,Variable!$B$2:$B$10000,$A10)</f>
        <v>0</v>
      </c>
      <c r="AA10" s="36">
        <f>SUMIFS(Variable!AA$2:AA$10000,Variable!$B$2:$B$10000,$A10)</f>
        <v>0</v>
      </c>
      <c r="AB10" s="36">
        <f>SUMIFS(Variable!AB$2:AB$10000,Variable!$B$2:$B$10000,$A10)</f>
        <v>0</v>
      </c>
      <c r="AC10" s="36">
        <f>SUMIFS(Variable!AC$2:AC$10000,Variable!$B$2:$B$10000,$A10)</f>
        <v>0</v>
      </c>
      <c r="AD10" s="36">
        <f>SUMIFS(Variable!AD$2:AD$10000,Variable!$B$2:$B$10000,$A10)</f>
        <v>0</v>
      </c>
      <c r="AE10" s="36">
        <f>SUMIFS(Variable!AE$2:AE$10000,Variable!$B$2:$B$10000,$A10)</f>
        <v>0</v>
      </c>
      <c r="AF10" s="36">
        <f>SUMIFS(Variable!AF$2:AF$10000,Variable!$B$2:$B$10000,$A10)</f>
        <v>0</v>
      </c>
      <c r="AG10" s="36">
        <f>SUMIFS(Variable!AG$2:AG$10000,Variable!$B$2:$B$10000,$A10)</f>
        <v>0</v>
      </c>
    </row>
    <row r="11" spans="1:58" s="36" customFormat="1">
      <c r="A11" t="s">
        <v>133</v>
      </c>
      <c r="C11" s="36">
        <f>SUMIFS(Variable!C$2:C$10000,Variable!$B$2:$B$10000,$A11)</f>
        <v>2.0899999999999998E-2</v>
      </c>
      <c r="D11" s="36">
        <f>SUMIFS(Variable!D$2:D$10000,Variable!$B$2:$B$10000,$A11)</f>
        <v>2.6700000000000002E-2</v>
      </c>
      <c r="E11" s="36">
        <f>SUMIFS(Variable!E$2:E$10000,Variable!$B$2:$B$10000,$A11)</f>
        <v>2.5999999999999999E-2</v>
      </c>
      <c r="F11" s="36">
        <f>SUMIFS(Variable!F$2:F$10000,Variable!$B$2:$B$10000,$A11)</f>
        <v>2.8199999999999999E-2</v>
      </c>
      <c r="G11" s="36">
        <f>SUMIFS(Variable!G$2:G$10000,Variable!$B$2:$B$10000,$A11)</f>
        <v>2.7E-2</v>
      </c>
      <c r="H11" s="36">
        <f>SUMIFS(Variable!H$2:H$10000,Variable!$B$2:$B$10000,$A11)</f>
        <v>2.8000000000000001E-2</v>
      </c>
      <c r="I11" s="36">
        <f>SUMIFS(Variable!I$2:I$10000,Variable!$B$2:$B$10000,$A11)</f>
        <v>2.9499999999999998E-2</v>
      </c>
      <c r="J11" s="36">
        <f>SUMIFS(Variable!J$2:J$10000,Variable!$B$2:$B$10000,$A11)</f>
        <v>2.9499999999999998E-2</v>
      </c>
      <c r="K11" s="36">
        <f>SUMIFS(Variable!K$2:K$10000,Variable!$B$2:$B$10000,$A11)</f>
        <v>2.98E-2</v>
      </c>
      <c r="L11" s="36">
        <f>SUMIFS(Variable!L$2:L$10000,Variable!$B$2:$B$10000,$A11)</f>
        <v>2.4400000000000002E-2</v>
      </c>
      <c r="M11" s="36">
        <f>SUMIFS(Variable!M$2:M$10000,Variable!$B$2:$B$10000,$A11)</f>
        <v>2.06E-2</v>
      </c>
      <c r="N11" s="36">
        <f>SUMIFS(Variable!N$2:N$10000,Variable!$B$2:$B$10000,$A11)</f>
        <v>2.0799999999999999E-2</v>
      </c>
      <c r="O11" s="36">
        <f>SUMIFS(Variable!O$2:O$10000,Variable!$B$2:$B$10000,$A11)</f>
        <v>1.83E-2</v>
      </c>
      <c r="P11" s="36">
        <f>SUMIFS(Variable!P$2:P$10000,Variable!$B$2:$B$10000,$A11)</f>
        <v>1.8100000000000002E-2</v>
      </c>
      <c r="Q11" s="36">
        <f>SUMIFS(Variable!Q$2:Q$10000,Variable!$B$2:$B$10000,$A11)</f>
        <v>1.6799999999999999E-2</v>
      </c>
      <c r="R11" s="36">
        <f>SUMIFS(Variable!R$2:R$10000,Variable!$B$2:$B$10000,$A11)</f>
        <v>1.55E-2</v>
      </c>
      <c r="S11" s="36">
        <f>SUMIFS(Variable!S$2:S$10000,Variable!$B$2:$B$10000,$A11)</f>
        <v>1.32E-2</v>
      </c>
      <c r="T11" s="36">
        <f>SUMIFS(Variable!T$2:T$10000,Variable!$B$2:$B$10000,$A11)</f>
        <v>1.2699999999999999E-2</v>
      </c>
      <c r="U11" s="36">
        <f>SUMIFS(Variable!U$2:U$10000,Variable!$B$2:$B$10000,$A11)</f>
        <v>1.09E-2</v>
      </c>
      <c r="V11" s="36">
        <f>SUMIFS(Variable!V$2:V$10000,Variable!$B$2:$B$10000,$A11)</f>
        <v>8.8000000000000005E-3</v>
      </c>
      <c r="W11" s="36">
        <f>SUMIFS(Variable!W$2:W$10000,Variable!$B$2:$B$10000,$A11)</f>
        <v>8.9999999999999993E-3</v>
      </c>
      <c r="X11" s="36">
        <f>SUMIFS(Variable!X$2:X$10000,Variable!$B$2:$B$10000,$A11)</f>
        <v>7.4000000000000003E-3</v>
      </c>
      <c r="Y11" s="36">
        <f>SUMIFS(Variable!Y$2:Y$10000,Variable!$B$2:$B$10000,$A11)</f>
        <v>7.4000000000000003E-3</v>
      </c>
      <c r="Z11" s="36">
        <f>SUMIFS(Variable!Z$2:Z$10000,Variable!$B$2:$B$10000,$A11)</f>
        <v>7.3000000000000001E-3</v>
      </c>
      <c r="AA11" s="36">
        <f>SUMIFS(Variable!AA$2:AA$10000,Variable!$B$2:$B$10000,$A11)</f>
        <v>7.3000000000000001E-3</v>
      </c>
      <c r="AB11" s="36">
        <f>SUMIFS(Variable!AB$2:AB$10000,Variable!$B$2:$B$10000,$A11)</f>
        <v>7.3000000000000001E-3</v>
      </c>
      <c r="AC11" s="36">
        <f>SUMIFS(Variable!AC$2:AC$10000,Variable!$B$2:$B$10000,$A11)</f>
        <v>8.0000000000000002E-3</v>
      </c>
      <c r="AD11" s="36">
        <f>SUMIFS(Variable!AD$2:AD$10000,Variable!$B$2:$B$10000,$A11)</f>
        <v>8.9999999999999993E-3</v>
      </c>
      <c r="AE11" s="36">
        <f>SUMIFS(Variable!AE$2:AE$10000,Variable!$B$2:$B$10000,$A11)</f>
        <v>9.1999999999999998E-3</v>
      </c>
      <c r="AF11" s="36">
        <f>SUMIFS(Variable!AF$2:AF$10000,Variable!$B$2:$B$10000,$A11)</f>
        <v>9.7000000000000003E-3</v>
      </c>
      <c r="AG11" s="36">
        <f>SUMIFS(Variable!AG$2:AG$10000,Variable!$B$2:$B$10000,$A11)</f>
        <v>8.2000000000000007E-3</v>
      </c>
    </row>
    <row r="12" spans="1:58" s="36" customFormat="1">
      <c r="A12" t="s">
        <v>138</v>
      </c>
      <c r="C12" s="36">
        <f>SUMIFS(Variable!C$2:C$10000,Variable!$B$2:$B$10000,$A12)</f>
        <v>3.8999999999999998E-3</v>
      </c>
      <c r="D12" s="36">
        <f>SUMIFS(Variable!D$2:D$10000,Variable!$B$2:$B$10000,$A12)</f>
        <v>4.0000000000000001E-3</v>
      </c>
      <c r="E12" s="36">
        <f>SUMIFS(Variable!E$2:E$10000,Variable!$B$2:$B$10000,$A12)</f>
        <v>4.0000000000000001E-3</v>
      </c>
      <c r="F12" s="36">
        <f>SUMIFS(Variable!F$2:F$10000,Variable!$B$2:$B$10000,$A12)</f>
        <v>3.0000000000000001E-3</v>
      </c>
      <c r="G12" s="36">
        <f>SUMIFS(Variable!G$2:G$10000,Variable!$B$2:$B$10000,$A12)</f>
        <v>3.0000000000000001E-3</v>
      </c>
      <c r="H12" s="36">
        <f>SUMIFS(Variable!H$2:H$10000,Variable!$B$2:$B$10000,$A12)</f>
        <v>3.0999999999999999E-3</v>
      </c>
      <c r="I12" s="36">
        <f>SUMIFS(Variable!I$2:I$10000,Variable!$B$2:$B$10000,$A12)</f>
        <v>3.0999999999999999E-3</v>
      </c>
      <c r="J12" s="36">
        <f>SUMIFS(Variable!J$2:J$10000,Variable!$B$2:$B$10000,$A12)</f>
        <v>3.0999999999999999E-3</v>
      </c>
      <c r="K12" s="36">
        <f>SUMIFS(Variable!K$2:K$10000,Variable!$B$2:$B$10000,$A12)</f>
        <v>3.0999999999999999E-3</v>
      </c>
      <c r="L12" s="36">
        <f>SUMIFS(Variable!L$2:L$10000,Variable!$B$2:$B$10000,$A12)</f>
        <v>3.0999999999999999E-3</v>
      </c>
      <c r="M12" s="36">
        <f>SUMIFS(Variable!M$2:M$10000,Variable!$B$2:$B$10000,$A12)</f>
        <v>3.0999999999999999E-3</v>
      </c>
      <c r="N12" s="36">
        <f>SUMIFS(Variable!N$2:N$10000,Variable!$B$2:$B$10000,$A12)</f>
        <v>3.0999999999999999E-3</v>
      </c>
      <c r="O12" s="36">
        <f>SUMIFS(Variable!O$2:O$10000,Variable!$B$2:$B$10000,$A12)</f>
        <v>3.0999999999999999E-3</v>
      </c>
      <c r="P12" s="36">
        <f>SUMIFS(Variable!P$2:P$10000,Variable!$B$2:$B$10000,$A12)</f>
        <v>2.5999999999999999E-3</v>
      </c>
      <c r="Q12" s="36">
        <f>SUMIFS(Variable!Q$2:Q$10000,Variable!$B$2:$B$10000,$A12)</f>
        <v>2.5999999999999999E-3</v>
      </c>
      <c r="R12" s="36">
        <f>SUMIFS(Variable!R$2:R$10000,Variable!$B$2:$B$10000,$A12)</f>
        <v>2.5999999999999999E-3</v>
      </c>
      <c r="S12" s="36">
        <f>SUMIFS(Variable!S$2:S$10000,Variable!$B$2:$B$10000,$A12)</f>
        <v>2.3E-3</v>
      </c>
      <c r="T12" s="36">
        <f>SUMIFS(Variable!T$2:T$10000,Variable!$B$2:$B$10000,$A12)</f>
        <v>4.0000000000000002E-4</v>
      </c>
      <c r="U12" s="36">
        <f>SUMIFS(Variable!U$2:U$10000,Variable!$B$2:$B$10000,$A12)</f>
        <v>4.0000000000000002E-4</v>
      </c>
      <c r="V12" s="36">
        <f>SUMIFS(Variable!V$2:V$10000,Variable!$B$2:$B$10000,$A12)</f>
        <v>4.0000000000000002E-4</v>
      </c>
      <c r="W12" s="36">
        <f>SUMIFS(Variable!W$2:W$10000,Variable!$B$2:$B$10000,$A12)</f>
        <v>4.0000000000000002E-4</v>
      </c>
      <c r="X12" s="36">
        <f>SUMIFS(Variable!X$2:X$10000,Variable!$B$2:$B$10000,$A12)</f>
        <v>4.0000000000000002E-4</v>
      </c>
      <c r="Y12" s="36">
        <f>SUMIFS(Variable!Y$2:Y$10000,Variable!$B$2:$B$10000,$A12)</f>
        <v>4.0000000000000002E-4</v>
      </c>
      <c r="Z12" s="36">
        <f>SUMIFS(Variable!Z$2:Z$10000,Variable!$B$2:$B$10000,$A12)</f>
        <v>4.0000000000000002E-4</v>
      </c>
      <c r="AA12" s="36">
        <f>SUMIFS(Variable!AA$2:AA$10000,Variable!$B$2:$B$10000,$A12)</f>
        <v>4.0000000000000002E-4</v>
      </c>
      <c r="AB12" s="36">
        <f>SUMIFS(Variable!AB$2:AB$10000,Variable!$B$2:$B$10000,$A12)</f>
        <v>4.0000000000000002E-4</v>
      </c>
      <c r="AC12" s="36">
        <f>SUMIFS(Variable!AC$2:AC$10000,Variable!$B$2:$B$10000,$A12)</f>
        <v>4.0000000000000002E-4</v>
      </c>
      <c r="AD12" s="36">
        <f>SUMIFS(Variable!AD$2:AD$10000,Variable!$B$2:$B$10000,$A12)</f>
        <v>4.0000000000000002E-4</v>
      </c>
      <c r="AE12" s="36">
        <f>SUMIFS(Variable!AE$2:AE$10000,Variable!$B$2:$B$10000,$A12)</f>
        <v>4.0000000000000002E-4</v>
      </c>
      <c r="AF12" s="36">
        <f>SUMIFS(Variable!AF$2:AF$10000,Variable!$B$2:$B$10000,$A12)</f>
        <v>4.0000000000000002E-4</v>
      </c>
      <c r="AG12" s="36">
        <f>SUMIFS(Variable!AG$2:AG$10000,Variable!$B$2:$B$10000,$A12)</f>
        <v>4.0000000000000002E-4</v>
      </c>
    </row>
    <row r="13" spans="1:58" s="36" customFormat="1">
      <c r="A13" t="s">
        <v>141</v>
      </c>
      <c r="C13" s="36">
        <f>SUMIFS(Variable!C$2:C$10000,Variable!$B$2:$B$10000,$A13)</f>
        <v>0</v>
      </c>
      <c r="D13" s="36">
        <f>SUMIFS(Variable!D$2:D$10000,Variable!$B$2:$B$10000,$A13)</f>
        <v>0</v>
      </c>
      <c r="E13" s="36">
        <f>SUMIFS(Variable!E$2:E$10000,Variable!$B$2:$B$10000,$A13)</f>
        <v>0</v>
      </c>
      <c r="F13" s="36">
        <f>SUMIFS(Variable!F$2:F$10000,Variable!$B$2:$B$10000,$A13)</f>
        <v>0</v>
      </c>
      <c r="G13" s="36">
        <f>SUMIFS(Variable!G$2:G$10000,Variable!$B$2:$B$10000,$A13)</f>
        <v>0</v>
      </c>
      <c r="H13" s="36">
        <f>SUMIFS(Variable!H$2:H$10000,Variable!$B$2:$B$10000,$A13)</f>
        <v>0</v>
      </c>
      <c r="I13" s="36">
        <f>SUMIFS(Variable!I$2:I$10000,Variable!$B$2:$B$10000,$A13)</f>
        <v>0</v>
      </c>
      <c r="J13" s="36">
        <f>SUMIFS(Variable!J$2:J$10000,Variable!$B$2:$B$10000,$A13)</f>
        <v>0</v>
      </c>
      <c r="K13" s="36">
        <f>SUMIFS(Variable!K$2:K$10000,Variable!$B$2:$B$10000,$A13)</f>
        <v>0</v>
      </c>
      <c r="L13" s="36">
        <f>SUMIFS(Variable!L$2:L$10000,Variable!$B$2:$B$10000,$A13)</f>
        <v>0</v>
      </c>
      <c r="M13" s="36">
        <f>SUMIFS(Variable!M$2:M$10000,Variable!$B$2:$B$10000,$A13)</f>
        <v>0</v>
      </c>
      <c r="N13" s="36">
        <f>SUMIFS(Variable!N$2:N$10000,Variable!$B$2:$B$10000,$A13)</f>
        <v>0</v>
      </c>
      <c r="O13" s="36">
        <f>SUMIFS(Variable!O$2:O$10000,Variable!$B$2:$B$10000,$A13)</f>
        <v>0</v>
      </c>
      <c r="P13" s="36">
        <f>SUMIFS(Variable!P$2:P$10000,Variable!$B$2:$B$10000,$A13)</f>
        <v>0</v>
      </c>
      <c r="Q13" s="36">
        <f>SUMIFS(Variable!Q$2:Q$10000,Variable!$B$2:$B$10000,$A13)</f>
        <v>0</v>
      </c>
      <c r="R13" s="36">
        <f>SUMIFS(Variable!R$2:R$10000,Variable!$B$2:$B$10000,$A13)</f>
        <v>0</v>
      </c>
      <c r="S13" s="36">
        <f>SUMIFS(Variable!S$2:S$10000,Variable!$B$2:$B$10000,$A13)</f>
        <v>0</v>
      </c>
      <c r="T13" s="36">
        <f>SUMIFS(Variable!T$2:T$10000,Variable!$B$2:$B$10000,$A13)</f>
        <v>0</v>
      </c>
      <c r="U13" s="36">
        <f>SUMIFS(Variable!U$2:U$10000,Variable!$B$2:$B$10000,$A13)</f>
        <v>0</v>
      </c>
      <c r="V13" s="36">
        <f>SUMIFS(Variable!V$2:V$10000,Variable!$B$2:$B$10000,$A13)</f>
        <v>0</v>
      </c>
      <c r="W13" s="36">
        <f>SUMIFS(Variable!W$2:W$10000,Variable!$B$2:$B$10000,$A13)</f>
        <v>0</v>
      </c>
      <c r="X13" s="36">
        <f>SUMIFS(Variable!X$2:X$10000,Variable!$B$2:$B$10000,$A13)</f>
        <v>0</v>
      </c>
      <c r="Y13" s="36">
        <f>SUMIFS(Variable!Y$2:Y$10000,Variable!$B$2:$B$10000,$A13)</f>
        <v>0</v>
      </c>
      <c r="Z13" s="36">
        <f>SUMIFS(Variable!Z$2:Z$10000,Variable!$B$2:$B$10000,$A13)</f>
        <v>0</v>
      </c>
      <c r="AA13" s="36">
        <f>SUMIFS(Variable!AA$2:AA$10000,Variable!$B$2:$B$10000,$A13)</f>
        <v>0</v>
      </c>
      <c r="AB13" s="36">
        <f>SUMIFS(Variable!AB$2:AB$10000,Variable!$B$2:$B$10000,$A13)</f>
        <v>0</v>
      </c>
      <c r="AC13" s="36">
        <f>SUMIFS(Variable!AC$2:AC$10000,Variable!$B$2:$B$10000,$A13)</f>
        <v>0</v>
      </c>
      <c r="AD13" s="36">
        <f>SUMIFS(Variable!AD$2:AD$10000,Variable!$B$2:$B$10000,$A13)</f>
        <v>0</v>
      </c>
      <c r="AE13" s="36">
        <f>SUMIFS(Variable!AE$2:AE$10000,Variable!$B$2:$B$10000,$A13)</f>
        <v>0</v>
      </c>
      <c r="AF13" s="36">
        <f>SUMIFS(Variable!AF$2:AF$10000,Variable!$B$2:$B$10000,$A13)</f>
        <v>0</v>
      </c>
      <c r="AG13" s="36">
        <f>SUMIFS(Variable!AG$2:AG$10000,Variable!$B$2:$B$10000,$A13)</f>
        <v>0</v>
      </c>
    </row>
    <row r="14" spans="1:58" s="36" customFormat="1">
      <c r="A14" t="s">
        <v>142</v>
      </c>
      <c r="C14" s="36">
        <f>SUMIFS(Variable!C$2:C$10000,Variable!$B$2:$B$10000,$A14)</f>
        <v>0</v>
      </c>
      <c r="D14" s="36">
        <f>SUMIFS(Variable!D$2:D$10000,Variable!$B$2:$B$10000,$A14)</f>
        <v>2.3E-3</v>
      </c>
      <c r="E14" s="36">
        <f>SUMIFS(Variable!E$2:E$10000,Variable!$B$2:$B$10000,$A14)</f>
        <v>4.7000000000000002E-3</v>
      </c>
      <c r="F14" s="36">
        <f>SUMIFS(Variable!F$2:F$10000,Variable!$B$2:$B$10000,$A14)</f>
        <v>4.7000000000000002E-3</v>
      </c>
      <c r="G14" s="36">
        <f>SUMIFS(Variable!G$2:G$10000,Variable!$B$2:$B$10000,$A14)</f>
        <v>6.6E-3</v>
      </c>
      <c r="H14" s="36">
        <f>SUMIFS(Variable!H$2:H$10000,Variable!$B$2:$B$10000,$A14)</f>
        <v>6.6E-3</v>
      </c>
      <c r="I14" s="36">
        <f>SUMIFS(Variable!I$2:I$10000,Variable!$B$2:$B$10000,$A14)</f>
        <v>6.6E-3</v>
      </c>
      <c r="J14" s="36">
        <f>SUMIFS(Variable!J$2:J$10000,Variable!$B$2:$B$10000,$A14)</f>
        <v>8.6999999999999994E-3</v>
      </c>
      <c r="K14" s="36">
        <f>SUMIFS(Variable!K$2:K$10000,Variable!$B$2:$B$10000,$A14)</f>
        <v>1.0200000000000001E-2</v>
      </c>
      <c r="L14" s="36">
        <f>SUMIFS(Variable!L$2:L$10000,Variable!$B$2:$B$10000,$A14)</f>
        <v>2.01E-2</v>
      </c>
      <c r="M14" s="36">
        <f>SUMIFS(Variable!M$2:M$10000,Variable!$B$2:$B$10000,$A14)</f>
        <v>2.1999999999999999E-2</v>
      </c>
      <c r="N14" s="36">
        <f>SUMIFS(Variable!N$2:N$10000,Variable!$B$2:$B$10000,$A14)</f>
        <v>2.4199999999999999E-2</v>
      </c>
      <c r="O14" s="36">
        <f>SUMIFS(Variable!O$2:O$10000,Variable!$B$2:$B$10000,$A14)</f>
        <v>3.0099999999999998E-2</v>
      </c>
      <c r="P14" s="36">
        <f>SUMIFS(Variable!P$2:P$10000,Variable!$B$2:$B$10000,$A14)</f>
        <v>3.3500000000000002E-2</v>
      </c>
      <c r="Q14" s="36">
        <f>SUMIFS(Variable!Q$2:Q$10000,Variable!$B$2:$B$10000,$A14)</f>
        <v>3.6299999999999999E-2</v>
      </c>
      <c r="R14" s="36">
        <f>SUMIFS(Variable!R$2:R$10000,Variable!$B$2:$B$10000,$A14)</f>
        <v>3.95E-2</v>
      </c>
      <c r="S14" s="36">
        <f>SUMIFS(Variable!S$2:S$10000,Variable!$B$2:$B$10000,$A14)</f>
        <v>4.5600000000000002E-2</v>
      </c>
      <c r="T14" s="36">
        <f>SUMIFS(Variable!T$2:T$10000,Variable!$B$2:$B$10000,$A14)</f>
        <v>5.16E-2</v>
      </c>
      <c r="U14" s="36">
        <f>SUMIFS(Variable!U$2:U$10000,Variable!$B$2:$B$10000,$A14)</f>
        <v>5.6899999999999999E-2</v>
      </c>
      <c r="V14" s="36">
        <f>SUMIFS(Variable!V$2:V$10000,Variable!$B$2:$B$10000,$A14)</f>
        <v>6.2199999999999998E-2</v>
      </c>
      <c r="W14" s="36">
        <f>SUMIFS(Variable!W$2:W$10000,Variable!$B$2:$B$10000,$A14)</f>
        <v>4.99E-2</v>
      </c>
      <c r="X14" s="36">
        <f>SUMIFS(Variable!X$2:X$10000,Variable!$B$2:$B$10000,$A14)</f>
        <v>4.8399999999999999E-2</v>
      </c>
      <c r="Y14" s="36">
        <f>SUMIFS(Variable!Y$2:Y$10000,Variable!$B$2:$B$10000,$A14)</f>
        <v>4.8399999999999999E-2</v>
      </c>
      <c r="Z14" s="36">
        <f>SUMIFS(Variable!Z$2:Z$10000,Variable!$B$2:$B$10000,$A14)</f>
        <v>4.8300000000000003E-2</v>
      </c>
      <c r="AA14" s="36">
        <f>SUMIFS(Variable!AA$2:AA$10000,Variable!$B$2:$B$10000,$A14)</f>
        <v>4.8300000000000003E-2</v>
      </c>
      <c r="AB14" s="36">
        <f>SUMIFS(Variable!AB$2:AB$10000,Variable!$B$2:$B$10000,$A14)</f>
        <v>4.8300000000000003E-2</v>
      </c>
      <c r="AC14" s="36">
        <f>SUMIFS(Variable!AC$2:AC$10000,Variable!$B$2:$B$10000,$A14)</f>
        <v>4.7E-2</v>
      </c>
      <c r="AD14" s="36">
        <f>SUMIFS(Variable!AD$2:AD$10000,Variable!$B$2:$B$10000,$A14)</f>
        <v>4.5600000000000002E-2</v>
      </c>
      <c r="AE14" s="36">
        <f>SUMIFS(Variable!AE$2:AE$10000,Variable!$B$2:$B$10000,$A14)</f>
        <v>4.5699999999999998E-2</v>
      </c>
      <c r="AF14" s="36">
        <f>SUMIFS(Variable!AF$2:AF$10000,Variable!$B$2:$B$10000,$A14)</f>
        <v>4.5199999999999997E-2</v>
      </c>
      <c r="AG14" s="36">
        <f>SUMIFS(Variable!AG$2:AG$10000,Variable!$B$2:$B$10000,$A14)</f>
        <v>7.1300000000000002E-2</v>
      </c>
    </row>
    <row r="15" spans="1:58" s="36" customFormat="1">
      <c r="A15" t="s">
        <v>143</v>
      </c>
      <c r="C15" s="36">
        <f>SUMIFS(Variable!C$2:C$10000,Variable!$B$2:$B$10000,$A15)</f>
        <v>0</v>
      </c>
      <c r="D15" s="36">
        <f>SUMIFS(Variable!D$2:D$10000,Variable!$B$2:$B$10000,$A15)</f>
        <v>0</v>
      </c>
      <c r="E15" s="36">
        <f>SUMIFS(Variable!E$2:E$10000,Variable!$B$2:$B$10000,$A15)</f>
        <v>0</v>
      </c>
      <c r="F15" s="36">
        <f>SUMIFS(Variable!F$2:F$10000,Variable!$B$2:$B$10000,$A15)</f>
        <v>0</v>
      </c>
      <c r="G15" s="36">
        <f>SUMIFS(Variable!G$2:G$10000,Variable!$B$2:$B$10000,$A15)</f>
        <v>0</v>
      </c>
      <c r="H15" s="36">
        <f>SUMIFS(Variable!H$2:H$10000,Variable!$B$2:$B$10000,$A15)</f>
        <v>0</v>
      </c>
      <c r="I15" s="36">
        <f>SUMIFS(Variable!I$2:I$10000,Variable!$B$2:$B$10000,$A15)</f>
        <v>0</v>
      </c>
      <c r="J15" s="36">
        <f>SUMIFS(Variable!J$2:J$10000,Variable!$B$2:$B$10000,$A15)</f>
        <v>0</v>
      </c>
      <c r="K15" s="36">
        <f>SUMIFS(Variable!K$2:K$10000,Variable!$B$2:$B$10000,$A15)</f>
        <v>0</v>
      </c>
      <c r="L15" s="36">
        <f>SUMIFS(Variable!L$2:L$10000,Variable!$B$2:$B$10000,$A15)</f>
        <v>0</v>
      </c>
      <c r="M15" s="36">
        <f>SUMIFS(Variable!M$2:M$10000,Variable!$B$2:$B$10000,$A15)</f>
        <v>0</v>
      </c>
      <c r="N15" s="36">
        <f>SUMIFS(Variable!N$2:N$10000,Variable!$B$2:$B$10000,$A15)</f>
        <v>0</v>
      </c>
      <c r="O15" s="36">
        <f>SUMIFS(Variable!O$2:O$10000,Variable!$B$2:$B$10000,$A15)</f>
        <v>0</v>
      </c>
      <c r="P15" s="36">
        <f>SUMIFS(Variable!P$2:P$10000,Variable!$B$2:$B$10000,$A15)</f>
        <v>0</v>
      </c>
      <c r="Q15" s="36">
        <f>SUMIFS(Variable!Q$2:Q$10000,Variable!$B$2:$B$10000,$A15)</f>
        <v>0</v>
      </c>
      <c r="R15" s="36">
        <f>SUMIFS(Variable!R$2:R$10000,Variable!$B$2:$B$10000,$A15)</f>
        <v>0</v>
      </c>
      <c r="S15" s="36">
        <f>SUMIFS(Variable!S$2:S$10000,Variable!$B$2:$B$10000,$A15)</f>
        <v>0</v>
      </c>
      <c r="T15" s="36">
        <f>SUMIFS(Variable!T$2:T$10000,Variable!$B$2:$B$10000,$A15)</f>
        <v>0</v>
      </c>
      <c r="U15" s="36">
        <f>SUMIFS(Variable!U$2:U$10000,Variable!$B$2:$B$10000,$A15)</f>
        <v>0</v>
      </c>
      <c r="V15" s="36">
        <f>SUMIFS(Variable!V$2:V$10000,Variable!$B$2:$B$10000,$A15)</f>
        <v>0</v>
      </c>
      <c r="W15" s="36">
        <f>SUMIFS(Variable!W$2:W$10000,Variable!$B$2:$B$10000,$A15)</f>
        <v>0</v>
      </c>
      <c r="X15" s="36">
        <f>SUMIFS(Variable!X$2:X$10000,Variable!$B$2:$B$10000,$A15)</f>
        <v>0</v>
      </c>
      <c r="Y15" s="36">
        <f>SUMIFS(Variable!Y$2:Y$10000,Variable!$B$2:$B$10000,$A15)</f>
        <v>0</v>
      </c>
      <c r="Z15" s="36">
        <f>SUMIFS(Variable!Z$2:Z$10000,Variable!$B$2:$B$10000,$A15)</f>
        <v>0</v>
      </c>
      <c r="AA15" s="36">
        <f>SUMIFS(Variable!AA$2:AA$10000,Variable!$B$2:$B$10000,$A15)</f>
        <v>0</v>
      </c>
      <c r="AB15" s="36">
        <f>SUMIFS(Variable!AB$2:AB$10000,Variable!$B$2:$B$10000,$A15)</f>
        <v>0</v>
      </c>
      <c r="AC15" s="36">
        <f>SUMIFS(Variable!AC$2:AC$10000,Variable!$B$2:$B$10000,$A15)</f>
        <v>0</v>
      </c>
      <c r="AD15" s="36">
        <f>SUMIFS(Variable!AD$2:AD$10000,Variable!$B$2:$B$10000,$A15)</f>
        <v>0</v>
      </c>
      <c r="AE15" s="36">
        <f>SUMIFS(Variable!AE$2:AE$10000,Variable!$B$2:$B$10000,$A15)</f>
        <v>0</v>
      </c>
      <c r="AF15" s="36">
        <f>SUMIFS(Variable!AF$2:AF$10000,Variable!$B$2:$B$10000,$A15)</f>
        <v>0</v>
      </c>
      <c r="AG15" s="36">
        <f>SUMIFS(Variable!AG$2:AG$10000,Variable!$B$2:$B$10000,$A15)</f>
        <v>0</v>
      </c>
    </row>
    <row r="16" spans="1:58" s="36" customFormat="1">
      <c r="A16" t="s">
        <v>144</v>
      </c>
      <c r="C16" s="36">
        <f>SUMIFS(Variable!C$2:C$10000,Variable!$B$2:$B$10000,$A16)</f>
        <v>0</v>
      </c>
      <c r="D16" s="36">
        <f>SUMIFS(Variable!D$2:D$10000,Variable!$B$2:$B$10000,$A16)</f>
        <v>0</v>
      </c>
      <c r="E16" s="36">
        <f>SUMIFS(Variable!E$2:E$10000,Variable!$B$2:$B$10000,$A16)</f>
        <v>0</v>
      </c>
      <c r="F16" s="36">
        <f>SUMIFS(Variable!F$2:F$10000,Variable!$B$2:$B$10000,$A16)</f>
        <v>0</v>
      </c>
      <c r="G16" s="36">
        <f>SUMIFS(Variable!G$2:G$10000,Variable!$B$2:$B$10000,$A16)</f>
        <v>0</v>
      </c>
      <c r="H16" s="36">
        <f>SUMIFS(Variable!H$2:H$10000,Variable!$B$2:$B$10000,$A16)</f>
        <v>0</v>
      </c>
      <c r="I16" s="36">
        <f>SUMIFS(Variable!I$2:I$10000,Variable!$B$2:$B$10000,$A16)</f>
        <v>0</v>
      </c>
      <c r="J16" s="36">
        <f>SUMIFS(Variable!J$2:J$10000,Variable!$B$2:$B$10000,$A16)</f>
        <v>0</v>
      </c>
      <c r="K16" s="36">
        <f>SUMIFS(Variable!K$2:K$10000,Variable!$B$2:$B$10000,$A16)</f>
        <v>0</v>
      </c>
      <c r="L16" s="36">
        <f>SUMIFS(Variable!L$2:L$10000,Variable!$B$2:$B$10000,$A16)</f>
        <v>0</v>
      </c>
      <c r="M16" s="36">
        <f>SUMIFS(Variable!M$2:M$10000,Variable!$B$2:$B$10000,$A16)</f>
        <v>0</v>
      </c>
      <c r="N16" s="36">
        <f>SUMIFS(Variable!N$2:N$10000,Variable!$B$2:$B$10000,$A16)</f>
        <v>0</v>
      </c>
      <c r="O16" s="36">
        <f>SUMIFS(Variable!O$2:O$10000,Variable!$B$2:$B$10000,$A16)</f>
        <v>0</v>
      </c>
      <c r="P16" s="36">
        <f>SUMIFS(Variable!P$2:P$10000,Variable!$B$2:$B$10000,$A16)</f>
        <v>0</v>
      </c>
      <c r="Q16" s="36">
        <f>SUMIFS(Variable!Q$2:Q$10000,Variable!$B$2:$B$10000,$A16)</f>
        <v>0</v>
      </c>
      <c r="R16" s="36">
        <f>SUMIFS(Variable!R$2:R$10000,Variable!$B$2:$B$10000,$A16)</f>
        <v>0</v>
      </c>
      <c r="S16" s="36">
        <f>SUMIFS(Variable!S$2:S$10000,Variable!$B$2:$B$10000,$A16)</f>
        <v>0</v>
      </c>
      <c r="T16" s="36">
        <f>SUMIFS(Variable!T$2:T$10000,Variable!$B$2:$B$10000,$A16)</f>
        <v>0</v>
      </c>
      <c r="U16" s="36">
        <f>SUMIFS(Variable!U$2:U$10000,Variable!$B$2:$B$10000,$A16)</f>
        <v>0</v>
      </c>
      <c r="V16" s="36">
        <f>SUMIFS(Variable!V$2:V$10000,Variable!$B$2:$B$10000,$A16)</f>
        <v>0</v>
      </c>
      <c r="W16" s="36">
        <f>SUMIFS(Variable!W$2:W$10000,Variable!$B$2:$B$10000,$A16)</f>
        <v>0</v>
      </c>
      <c r="X16" s="36">
        <f>SUMIFS(Variable!X$2:X$10000,Variable!$B$2:$B$10000,$A16)</f>
        <v>0</v>
      </c>
      <c r="Y16" s="36">
        <f>SUMIFS(Variable!Y$2:Y$10000,Variable!$B$2:$B$10000,$A16)</f>
        <v>0</v>
      </c>
      <c r="Z16" s="36">
        <f>SUMIFS(Variable!Z$2:Z$10000,Variable!$B$2:$B$10000,$A16)</f>
        <v>0</v>
      </c>
      <c r="AA16" s="36">
        <f>SUMIFS(Variable!AA$2:AA$10000,Variable!$B$2:$B$10000,$A16)</f>
        <v>0</v>
      </c>
      <c r="AB16" s="36">
        <f>SUMIFS(Variable!AB$2:AB$10000,Variable!$B$2:$B$10000,$A16)</f>
        <v>0</v>
      </c>
      <c r="AC16" s="36">
        <f>SUMIFS(Variable!AC$2:AC$10000,Variable!$B$2:$B$10000,$A16)</f>
        <v>0</v>
      </c>
      <c r="AD16" s="36">
        <f>SUMIFS(Variable!AD$2:AD$10000,Variable!$B$2:$B$10000,$A16)</f>
        <v>0</v>
      </c>
      <c r="AE16" s="36">
        <f>SUMIFS(Variable!AE$2:AE$10000,Variable!$B$2:$B$10000,$A16)</f>
        <v>0</v>
      </c>
      <c r="AF16" s="36">
        <f>SUMIFS(Variable!AF$2:AF$10000,Variable!$B$2:$B$10000,$A16)</f>
        <v>0</v>
      </c>
      <c r="AG16" s="36">
        <f>SUMIFS(Variable!AG$2:AG$10000,Variable!$B$2:$B$10000,$A16)</f>
        <v>0</v>
      </c>
    </row>
    <row r="17" spans="1:33" s="36" customFormat="1">
      <c r="A17" t="s">
        <v>145</v>
      </c>
      <c r="C17" s="36">
        <f>SUMIFS(Variable!C$2:C$10000,Variable!$B$2:$B$10000,$A17)</f>
        <v>2.5999999999999999E-3</v>
      </c>
      <c r="D17" s="36">
        <f>SUMIFS(Variable!D$2:D$10000,Variable!$B$2:$B$10000,$A17)</f>
        <v>2.5999999999999999E-3</v>
      </c>
      <c r="E17" s="36">
        <f>SUMIFS(Variable!E$2:E$10000,Variable!$B$2:$B$10000,$A17)</f>
        <v>2.5999999999999999E-3</v>
      </c>
      <c r="F17" s="36">
        <f>SUMIFS(Variable!F$2:F$10000,Variable!$B$2:$B$10000,$A17)</f>
        <v>2.5999999999999999E-3</v>
      </c>
      <c r="G17" s="36">
        <f>SUMIFS(Variable!G$2:G$10000,Variable!$B$2:$B$10000,$A17)</f>
        <v>2.5999999999999999E-3</v>
      </c>
      <c r="H17" s="36">
        <f>SUMIFS(Variable!H$2:H$10000,Variable!$B$2:$B$10000,$A17)</f>
        <v>2.5999999999999999E-3</v>
      </c>
      <c r="I17" s="36">
        <f>SUMIFS(Variable!I$2:I$10000,Variable!$B$2:$B$10000,$A17)</f>
        <v>2.5999999999999999E-3</v>
      </c>
      <c r="J17" s="36">
        <f>SUMIFS(Variable!J$2:J$10000,Variable!$B$2:$B$10000,$A17)</f>
        <v>2.5999999999999999E-3</v>
      </c>
      <c r="K17" s="36">
        <f>SUMIFS(Variable!K$2:K$10000,Variable!$B$2:$B$10000,$A17)</f>
        <v>2.5999999999999999E-3</v>
      </c>
      <c r="L17" s="36">
        <f>SUMIFS(Variable!L$2:L$10000,Variable!$B$2:$B$10000,$A17)</f>
        <v>2.5999999999999999E-3</v>
      </c>
      <c r="M17" s="36">
        <f>SUMIFS(Variable!M$2:M$10000,Variable!$B$2:$B$10000,$A17)</f>
        <v>2.5999999999999999E-3</v>
      </c>
      <c r="N17" s="36">
        <f>SUMIFS(Variable!N$2:N$10000,Variable!$B$2:$B$10000,$A17)</f>
        <v>2.5999999999999999E-3</v>
      </c>
      <c r="O17" s="36">
        <f>SUMIFS(Variable!O$2:O$10000,Variable!$B$2:$B$10000,$A17)</f>
        <v>2.5999999999999999E-3</v>
      </c>
      <c r="P17" s="36">
        <f>SUMIFS(Variable!P$2:P$10000,Variable!$B$2:$B$10000,$A17)</f>
        <v>2.5999999999999999E-3</v>
      </c>
      <c r="Q17" s="36">
        <f>SUMIFS(Variable!Q$2:Q$10000,Variable!$B$2:$B$10000,$A17)</f>
        <v>2.5999999999999999E-3</v>
      </c>
      <c r="R17" s="36">
        <f>SUMIFS(Variable!R$2:R$10000,Variable!$B$2:$B$10000,$A17)</f>
        <v>2.5999999999999999E-3</v>
      </c>
      <c r="S17" s="36">
        <f>SUMIFS(Variable!S$2:S$10000,Variable!$B$2:$B$10000,$A17)</f>
        <v>2.5999999999999999E-3</v>
      </c>
      <c r="T17" s="36">
        <f>SUMIFS(Variable!T$2:T$10000,Variable!$B$2:$B$10000,$A17)</f>
        <v>2.5999999999999999E-3</v>
      </c>
      <c r="U17" s="36">
        <f>SUMIFS(Variable!U$2:U$10000,Variable!$B$2:$B$10000,$A17)</f>
        <v>2.5999999999999999E-3</v>
      </c>
      <c r="V17" s="36">
        <f>SUMIFS(Variable!V$2:V$10000,Variable!$B$2:$B$10000,$A17)</f>
        <v>2.5999999999999999E-3</v>
      </c>
      <c r="W17" s="36">
        <f>SUMIFS(Variable!W$2:W$10000,Variable!$B$2:$B$10000,$A17)</f>
        <v>2.5999999999999999E-3</v>
      </c>
      <c r="X17" s="36">
        <f>SUMIFS(Variable!X$2:X$10000,Variable!$B$2:$B$10000,$A17)</f>
        <v>2.5999999999999999E-3</v>
      </c>
      <c r="Y17" s="36">
        <f>SUMIFS(Variable!Y$2:Y$10000,Variable!$B$2:$B$10000,$A17)</f>
        <v>2.5999999999999999E-3</v>
      </c>
      <c r="Z17" s="36">
        <f>SUMIFS(Variable!Z$2:Z$10000,Variable!$B$2:$B$10000,$A17)</f>
        <v>2.5999999999999999E-3</v>
      </c>
      <c r="AA17" s="36">
        <f>SUMIFS(Variable!AA$2:AA$10000,Variable!$B$2:$B$10000,$A17)</f>
        <v>2.5999999999999999E-3</v>
      </c>
      <c r="AB17" s="36">
        <f>SUMIFS(Variable!AB$2:AB$10000,Variable!$B$2:$B$10000,$A17)</f>
        <v>2.5999999999999999E-3</v>
      </c>
      <c r="AC17" s="36">
        <f>SUMIFS(Variable!AC$2:AC$10000,Variable!$B$2:$B$10000,$A17)</f>
        <v>2.5999999999999999E-3</v>
      </c>
      <c r="AD17" s="36">
        <f>SUMIFS(Variable!AD$2:AD$10000,Variable!$B$2:$B$10000,$A17)</f>
        <v>2.5999999999999999E-3</v>
      </c>
      <c r="AE17" s="36">
        <f>SUMIFS(Variable!AE$2:AE$10000,Variable!$B$2:$B$10000,$A17)</f>
        <v>2.5999999999999999E-3</v>
      </c>
      <c r="AF17" s="36">
        <f>SUMIFS(Variable!AF$2:AF$10000,Variable!$B$2:$B$10000,$A17)</f>
        <v>2.5999999999999999E-3</v>
      </c>
      <c r="AG17" s="36">
        <f>SUMIFS(Variable!AG$2:AG$10000,Variable!$B$2:$B$10000,$A17)</f>
        <v>2.3999999999999998E-3</v>
      </c>
    </row>
    <row r="18" spans="1:33" s="36" customFormat="1">
      <c r="A18" t="s">
        <v>146</v>
      </c>
      <c r="C18" s="36">
        <f>SUMIFS(Variable!C$2:C$10000,Variable!$B$2:$B$10000,$A18)</f>
        <v>0</v>
      </c>
      <c r="D18" s="36">
        <f>SUMIFS(Variable!D$2:D$10000,Variable!$B$2:$B$10000,$A18)</f>
        <v>0</v>
      </c>
      <c r="E18" s="36">
        <f>SUMIFS(Variable!E$2:E$10000,Variable!$B$2:$B$10000,$A18)</f>
        <v>0</v>
      </c>
      <c r="F18" s="36">
        <f>SUMIFS(Variable!F$2:F$10000,Variable!$B$2:$B$10000,$A18)</f>
        <v>0</v>
      </c>
      <c r="G18" s="36">
        <f>SUMIFS(Variable!G$2:G$10000,Variable!$B$2:$B$10000,$A18)</f>
        <v>0</v>
      </c>
      <c r="H18" s="36">
        <f>SUMIFS(Variable!H$2:H$10000,Variable!$B$2:$B$10000,$A18)</f>
        <v>8.0000000000000004E-4</v>
      </c>
      <c r="I18" s="36">
        <f>SUMIFS(Variable!I$2:I$10000,Variable!$B$2:$B$10000,$A18)</f>
        <v>8.0000000000000004E-4</v>
      </c>
      <c r="J18" s="36">
        <f>SUMIFS(Variable!J$2:J$10000,Variable!$B$2:$B$10000,$A18)</f>
        <v>8.0000000000000004E-4</v>
      </c>
      <c r="K18" s="36">
        <f>SUMIFS(Variable!K$2:K$10000,Variable!$B$2:$B$10000,$A18)</f>
        <v>8.0000000000000004E-4</v>
      </c>
      <c r="L18" s="36">
        <f>SUMIFS(Variable!L$2:L$10000,Variable!$B$2:$B$10000,$A18)</f>
        <v>5.9999999999999995E-4</v>
      </c>
      <c r="M18" s="36">
        <f>SUMIFS(Variable!M$2:M$10000,Variable!$B$2:$B$10000,$A18)</f>
        <v>5.9999999999999995E-4</v>
      </c>
      <c r="N18" s="36">
        <f>SUMIFS(Variable!N$2:N$10000,Variable!$B$2:$B$10000,$A18)</f>
        <v>5.9999999999999995E-4</v>
      </c>
      <c r="O18" s="36">
        <f>SUMIFS(Variable!O$2:O$10000,Variable!$B$2:$B$10000,$A18)</f>
        <v>4.0000000000000002E-4</v>
      </c>
      <c r="P18" s="36">
        <f>SUMIFS(Variable!P$2:P$10000,Variable!$B$2:$B$10000,$A18)</f>
        <v>5.0000000000000001E-4</v>
      </c>
      <c r="Q18" s="36">
        <f>SUMIFS(Variable!Q$2:Q$10000,Variable!$B$2:$B$10000,$A18)</f>
        <v>4.0000000000000002E-4</v>
      </c>
      <c r="R18" s="36">
        <f>SUMIFS(Variable!R$2:R$10000,Variable!$B$2:$B$10000,$A18)</f>
        <v>4.0000000000000002E-4</v>
      </c>
      <c r="S18" s="36">
        <f>SUMIFS(Variable!S$2:S$10000,Variable!$B$2:$B$10000,$A18)</f>
        <v>2.9999999999999997E-4</v>
      </c>
      <c r="T18" s="36">
        <f>SUMIFS(Variable!T$2:T$10000,Variable!$B$2:$B$10000,$A18)</f>
        <v>2.9999999999999997E-4</v>
      </c>
      <c r="U18" s="36">
        <f>SUMIFS(Variable!U$2:U$10000,Variable!$B$2:$B$10000,$A18)</f>
        <v>4.0000000000000002E-4</v>
      </c>
      <c r="V18" s="36">
        <f>SUMIFS(Variable!V$2:V$10000,Variable!$B$2:$B$10000,$A18)</f>
        <v>8.9999999999999998E-4</v>
      </c>
      <c r="W18" s="36">
        <f>SUMIFS(Variable!W$2:W$10000,Variable!$B$2:$B$10000,$A18)</f>
        <v>1.2999999999999999E-3</v>
      </c>
      <c r="X18" s="36">
        <f>SUMIFS(Variable!X$2:X$10000,Variable!$B$2:$B$10000,$A18)</f>
        <v>8.0000000000000004E-4</v>
      </c>
      <c r="Y18" s="36">
        <f>SUMIFS(Variable!Y$2:Y$10000,Variable!$B$2:$B$10000,$A18)</f>
        <v>8.0000000000000004E-4</v>
      </c>
      <c r="Z18" s="36">
        <f>SUMIFS(Variable!Z$2:Z$10000,Variable!$B$2:$B$10000,$A18)</f>
        <v>8.0000000000000004E-4</v>
      </c>
      <c r="AA18" s="36">
        <f>SUMIFS(Variable!AA$2:AA$10000,Variable!$B$2:$B$10000,$A18)</f>
        <v>6.9999999999999999E-4</v>
      </c>
      <c r="AB18" s="36">
        <f>SUMIFS(Variable!AB$2:AB$10000,Variable!$B$2:$B$10000,$A18)</f>
        <v>6.9999999999999999E-4</v>
      </c>
      <c r="AC18" s="36">
        <f>SUMIFS(Variable!AC$2:AC$10000,Variable!$B$2:$B$10000,$A18)</f>
        <v>1.5E-3</v>
      </c>
      <c r="AD18" s="36">
        <f>SUMIFS(Variable!AD$2:AD$10000,Variable!$B$2:$B$10000,$A18)</f>
        <v>2E-3</v>
      </c>
      <c r="AE18" s="36">
        <f>SUMIFS(Variable!AE$2:AE$10000,Variable!$B$2:$B$10000,$A18)</f>
        <v>2.0999999999999999E-3</v>
      </c>
      <c r="AF18" s="36">
        <f>SUMIFS(Variable!AF$2:AF$10000,Variable!$B$2:$B$10000,$A18)</f>
        <v>2.3999999999999998E-3</v>
      </c>
      <c r="AG18" s="36">
        <f>SUMIFS(Variable!AG$2:AG$10000,Variable!$B$2:$B$10000,$A18)</f>
        <v>4.7999999999999996E-3</v>
      </c>
    </row>
    <row r="19" spans="1:33" s="36" customFormat="1">
      <c r="A19" t="s">
        <v>147</v>
      </c>
      <c r="C19" s="36">
        <f>SUMIFS(Variable!C$2:C$10000,Variable!$B$2:$B$10000,$A19)</f>
        <v>0</v>
      </c>
      <c r="D19" s="36">
        <f>SUMIFS(Variable!D$2:D$10000,Variable!$B$2:$B$10000,$A19)</f>
        <v>0</v>
      </c>
      <c r="E19" s="36">
        <f>SUMIFS(Variable!E$2:E$10000,Variable!$B$2:$B$10000,$A19)</f>
        <v>0</v>
      </c>
      <c r="F19" s="36">
        <f>SUMIFS(Variable!F$2:F$10000,Variable!$B$2:$B$10000,$A19)</f>
        <v>0</v>
      </c>
      <c r="G19" s="36">
        <f>SUMIFS(Variable!G$2:G$10000,Variable!$B$2:$B$10000,$A19)</f>
        <v>0</v>
      </c>
      <c r="H19" s="36">
        <f>SUMIFS(Variable!H$2:H$10000,Variable!$B$2:$B$10000,$A19)</f>
        <v>0</v>
      </c>
      <c r="I19" s="36">
        <f>SUMIFS(Variable!I$2:I$10000,Variable!$B$2:$B$10000,$A19)</f>
        <v>0</v>
      </c>
      <c r="J19" s="36">
        <f>SUMIFS(Variable!J$2:J$10000,Variable!$B$2:$B$10000,$A19)</f>
        <v>0</v>
      </c>
      <c r="K19" s="36">
        <f>SUMIFS(Variable!K$2:K$10000,Variable!$B$2:$B$10000,$A19)</f>
        <v>0</v>
      </c>
      <c r="L19" s="36">
        <f>SUMIFS(Variable!L$2:L$10000,Variable!$B$2:$B$10000,$A19)</f>
        <v>0</v>
      </c>
      <c r="M19" s="36">
        <f>SUMIFS(Variable!M$2:M$10000,Variable!$B$2:$B$10000,$A19)</f>
        <v>0</v>
      </c>
      <c r="N19" s="36">
        <f>SUMIFS(Variable!N$2:N$10000,Variable!$B$2:$B$10000,$A19)</f>
        <v>0</v>
      </c>
      <c r="O19" s="36">
        <f>SUMIFS(Variable!O$2:O$10000,Variable!$B$2:$B$10000,$A19)</f>
        <v>0</v>
      </c>
      <c r="P19" s="36">
        <f>SUMIFS(Variable!P$2:P$10000,Variable!$B$2:$B$10000,$A19)</f>
        <v>0</v>
      </c>
      <c r="Q19" s="36">
        <f>SUMIFS(Variable!Q$2:Q$10000,Variable!$B$2:$B$10000,$A19)</f>
        <v>0</v>
      </c>
      <c r="R19" s="36">
        <f>SUMIFS(Variable!R$2:R$10000,Variable!$B$2:$B$10000,$A19)</f>
        <v>0</v>
      </c>
      <c r="S19" s="36">
        <f>SUMIFS(Variable!S$2:S$10000,Variable!$B$2:$B$10000,$A19)</f>
        <v>0</v>
      </c>
      <c r="T19" s="36">
        <f>SUMIFS(Variable!T$2:T$10000,Variable!$B$2:$B$10000,$A19)</f>
        <v>0</v>
      </c>
      <c r="U19" s="36">
        <f>SUMIFS(Variable!U$2:U$10000,Variable!$B$2:$B$10000,$A19)</f>
        <v>0</v>
      </c>
      <c r="V19" s="36">
        <f>SUMIFS(Variable!V$2:V$10000,Variable!$B$2:$B$10000,$A19)</f>
        <v>0</v>
      </c>
      <c r="W19" s="36">
        <f>SUMIFS(Variable!W$2:W$10000,Variable!$B$2:$B$10000,$A19)</f>
        <v>0</v>
      </c>
      <c r="X19" s="36">
        <f>SUMIFS(Variable!X$2:X$10000,Variable!$B$2:$B$10000,$A19)</f>
        <v>0</v>
      </c>
      <c r="Y19" s="36">
        <f>SUMIFS(Variable!Y$2:Y$10000,Variable!$B$2:$B$10000,$A19)</f>
        <v>0</v>
      </c>
      <c r="Z19" s="36">
        <f>SUMIFS(Variable!Z$2:Z$10000,Variable!$B$2:$B$10000,$A19)</f>
        <v>0</v>
      </c>
      <c r="AA19" s="36">
        <f>SUMIFS(Variable!AA$2:AA$10000,Variable!$B$2:$B$10000,$A19)</f>
        <v>0</v>
      </c>
      <c r="AB19" s="36">
        <f>SUMIFS(Variable!AB$2:AB$10000,Variable!$B$2:$B$10000,$A19)</f>
        <v>0</v>
      </c>
      <c r="AC19" s="36">
        <f>SUMIFS(Variable!AC$2:AC$10000,Variable!$B$2:$B$10000,$A19)</f>
        <v>0</v>
      </c>
      <c r="AD19" s="36">
        <f>SUMIFS(Variable!AD$2:AD$10000,Variable!$B$2:$B$10000,$A19)</f>
        <v>0</v>
      </c>
      <c r="AE19" s="36">
        <f>SUMIFS(Variable!AE$2:AE$10000,Variable!$B$2:$B$10000,$A19)</f>
        <v>0</v>
      </c>
      <c r="AF19" s="36">
        <f>SUMIFS(Variable!AF$2:AF$10000,Variable!$B$2:$B$10000,$A19)</f>
        <v>0</v>
      </c>
      <c r="AG19" s="36">
        <f>SUMIFS(Variable!AG$2:AG$10000,Variable!$B$2:$B$10000,$A19)</f>
        <v>0</v>
      </c>
    </row>
    <row r="20" spans="1:33" s="36" customFormat="1">
      <c r="A20" t="s">
        <v>148</v>
      </c>
      <c r="C20" s="36">
        <f>SUMIFS(Variable!C$2:C$10000,Variable!$B$2:$B$10000,$A20)</f>
        <v>0</v>
      </c>
      <c r="D20" s="36">
        <f>SUMIFS(Variable!D$2:D$10000,Variable!$B$2:$B$10000,$A20)</f>
        <v>0</v>
      </c>
      <c r="E20" s="36">
        <f>SUMIFS(Variable!E$2:E$10000,Variable!$B$2:$B$10000,$A20)</f>
        <v>0</v>
      </c>
      <c r="F20" s="36">
        <f>SUMIFS(Variable!F$2:F$10000,Variable!$B$2:$B$10000,$A20)</f>
        <v>0</v>
      </c>
      <c r="G20" s="36">
        <f>SUMIFS(Variable!G$2:G$10000,Variable!$B$2:$B$10000,$A20)</f>
        <v>0</v>
      </c>
      <c r="H20" s="36">
        <f>SUMIFS(Variable!H$2:H$10000,Variable!$B$2:$B$10000,$A20)</f>
        <v>0</v>
      </c>
      <c r="I20" s="36">
        <f>SUMIFS(Variable!I$2:I$10000,Variable!$B$2:$B$10000,$A20)</f>
        <v>0</v>
      </c>
      <c r="J20" s="36">
        <f>SUMIFS(Variable!J$2:J$10000,Variable!$B$2:$B$10000,$A20)</f>
        <v>0</v>
      </c>
      <c r="K20" s="36">
        <f>SUMIFS(Variable!K$2:K$10000,Variable!$B$2:$B$10000,$A20)</f>
        <v>0</v>
      </c>
      <c r="L20" s="36">
        <f>SUMIFS(Variable!L$2:L$10000,Variable!$B$2:$B$10000,$A20)</f>
        <v>0</v>
      </c>
      <c r="M20" s="36">
        <f>SUMIFS(Variable!M$2:M$10000,Variable!$B$2:$B$10000,$A20)</f>
        <v>0</v>
      </c>
      <c r="N20" s="36">
        <f>SUMIFS(Variable!N$2:N$10000,Variable!$B$2:$B$10000,$A20)</f>
        <v>0</v>
      </c>
      <c r="O20" s="36">
        <f>SUMIFS(Variable!O$2:O$10000,Variable!$B$2:$B$10000,$A20)</f>
        <v>0</v>
      </c>
      <c r="P20" s="36">
        <f>SUMIFS(Variable!P$2:P$10000,Variable!$B$2:$B$10000,$A20)</f>
        <v>0</v>
      </c>
      <c r="Q20" s="36">
        <f>SUMIFS(Variable!Q$2:Q$10000,Variable!$B$2:$B$10000,$A20)</f>
        <v>0</v>
      </c>
      <c r="R20" s="36">
        <f>SUMIFS(Variable!R$2:R$10000,Variable!$B$2:$B$10000,$A20)</f>
        <v>0</v>
      </c>
      <c r="S20" s="36">
        <f>SUMIFS(Variable!S$2:S$10000,Variable!$B$2:$B$10000,$A20)</f>
        <v>0</v>
      </c>
      <c r="T20" s="36">
        <f>SUMIFS(Variable!T$2:T$10000,Variable!$B$2:$B$10000,$A20)</f>
        <v>0</v>
      </c>
      <c r="U20" s="36">
        <f>SUMIFS(Variable!U$2:U$10000,Variable!$B$2:$B$10000,$A20)</f>
        <v>0</v>
      </c>
      <c r="V20" s="36">
        <f>SUMIFS(Variable!V$2:V$10000,Variable!$B$2:$B$10000,$A20)</f>
        <v>0</v>
      </c>
      <c r="W20" s="36">
        <f>SUMIFS(Variable!W$2:W$10000,Variable!$B$2:$B$10000,$A20)</f>
        <v>0</v>
      </c>
      <c r="X20" s="36">
        <f>SUMIFS(Variable!X$2:X$10000,Variable!$B$2:$B$10000,$A20)</f>
        <v>0</v>
      </c>
      <c r="Y20" s="36">
        <f>SUMIFS(Variable!Y$2:Y$10000,Variable!$B$2:$B$10000,$A20)</f>
        <v>0</v>
      </c>
      <c r="Z20" s="36">
        <f>SUMIFS(Variable!Z$2:Z$10000,Variable!$B$2:$B$10000,$A20)</f>
        <v>0</v>
      </c>
      <c r="AA20" s="36">
        <f>SUMIFS(Variable!AA$2:AA$10000,Variable!$B$2:$B$10000,$A20)</f>
        <v>0</v>
      </c>
      <c r="AB20" s="36">
        <f>SUMIFS(Variable!AB$2:AB$10000,Variable!$B$2:$B$10000,$A20)</f>
        <v>0</v>
      </c>
      <c r="AC20" s="36">
        <f>SUMIFS(Variable!AC$2:AC$10000,Variable!$B$2:$B$10000,$A20)</f>
        <v>0</v>
      </c>
      <c r="AD20" s="36">
        <f>SUMIFS(Variable!AD$2:AD$10000,Variable!$B$2:$B$10000,$A20)</f>
        <v>0</v>
      </c>
      <c r="AE20" s="36">
        <f>SUMIFS(Variable!AE$2:AE$10000,Variable!$B$2:$B$10000,$A20)</f>
        <v>0</v>
      </c>
      <c r="AF20" s="36">
        <f>SUMIFS(Variable!AF$2:AF$10000,Variable!$B$2:$B$10000,$A20)</f>
        <v>0</v>
      </c>
      <c r="AG20" s="36">
        <f>SUMIFS(Variable!AG$2:AG$10000,Variable!$B$2:$B$10000,$A20)</f>
        <v>0</v>
      </c>
    </row>
    <row r="21" spans="1:33" s="36" customFormat="1">
      <c r="A21" t="s">
        <v>149</v>
      </c>
      <c r="C21" s="36">
        <f>SUMIFS(Variable!C$2:C$10000,Variable!$B$2:$B$10000,$A21)</f>
        <v>0</v>
      </c>
      <c r="D21" s="36">
        <f>SUMIFS(Variable!D$2:D$10000,Variable!$B$2:$B$10000,$A21)</f>
        <v>0</v>
      </c>
      <c r="E21" s="36">
        <f>SUMIFS(Variable!E$2:E$10000,Variable!$B$2:$B$10000,$A21)</f>
        <v>0</v>
      </c>
      <c r="F21" s="36">
        <f>SUMIFS(Variable!F$2:F$10000,Variable!$B$2:$B$10000,$A21)</f>
        <v>0</v>
      </c>
      <c r="G21" s="36">
        <f>SUMIFS(Variable!G$2:G$10000,Variable!$B$2:$B$10000,$A21)</f>
        <v>0</v>
      </c>
      <c r="H21" s="36">
        <f>SUMIFS(Variable!H$2:H$10000,Variable!$B$2:$B$10000,$A21)</f>
        <v>0</v>
      </c>
      <c r="I21" s="36">
        <f>SUMIFS(Variable!I$2:I$10000,Variable!$B$2:$B$10000,$A21)</f>
        <v>0</v>
      </c>
      <c r="J21" s="36">
        <f>SUMIFS(Variable!J$2:J$10000,Variable!$B$2:$B$10000,$A21)</f>
        <v>0</v>
      </c>
      <c r="K21" s="36">
        <f>SUMIFS(Variable!K$2:K$10000,Variable!$B$2:$B$10000,$A21)</f>
        <v>0</v>
      </c>
      <c r="L21" s="36">
        <f>SUMIFS(Variable!L$2:L$10000,Variable!$B$2:$B$10000,$A21)</f>
        <v>0</v>
      </c>
      <c r="M21" s="36">
        <f>SUMIFS(Variable!M$2:M$10000,Variable!$B$2:$B$10000,$A21)</f>
        <v>0</v>
      </c>
      <c r="N21" s="36">
        <f>SUMIFS(Variable!N$2:N$10000,Variable!$B$2:$B$10000,$A21)</f>
        <v>0</v>
      </c>
      <c r="O21" s="36">
        <f>SUMIFS(Variable!O$2:O$10000,Variable!$B$2:$B$10000,$A21)</f>
        <v>0</v>
      </c>
      <c r="P21" s="36">
        <f>SUMIFS(Variable!P$2:P$10000,Variable!$B$2:$B$10000,$A21)</f>
        <v>0</v>
      </c>
      <c r="Q21" s="36">
        <f>SUMIFS(Variable!Q$2:Q$10000,Variable!$B$2:$B$10000,$A21)</f>
        <v>0</v>
      </c>
      <c r="R21" s="36">
        <f>SUMIFS(Variable!R$2:R$10000,Variable!$B$2:$B$10000,$A21)</f>
        <v>0</v>
      </c>
      <c r="S21" s="36">
        <f>SUMIFS(Variable!S$2:S$10000,Variable!$B$2:$B$10000,$A21)</f>
        <v>0</v>
      </c>
      <c r="T21" s="36">
        <f>SUMIFS(Variable!T$2:T$10000,Variable!$B$2:$B$10000,$A21)</f>
        <v>0</v>
      </c>
      <c r="U21" s="36">
        <f>SUMIFS(Variable!U$2:U$10000,Variable!$B$2:$B$10000,$A21)</f>
        <v>0</v>
      </c>
      <c r="V21" s="36">
        <f>SUMIFS(Variable!V$2:V$10000,Variable!$B$2:$B$10000,$A21)</f>
        <v>0</v>
      </c>
      <c r="W21" s="36">
        <f>SUMIFS(Variable!W$2:W$10000,Variable!$B$2:$B$10000,$A21)</f>
        <v>0</v>
      </c>
      <c r="X21" s="36">
        <f>SUMIFS(Variable!X$2:X$10000,Variable!$B$2:$B$10000,$A21)</f>
        <v>0</v>
      </c>
      <c r="Y21" s="36">
        <f>SUMIFS(Variable!Y$2:Y$10000,Variable!$B$2:$B$10000,$A21)</f>
        <v>0</v>
      </c>
      <c r="Z21" s="36">
        <f>SUMIFS(Variable!Z$2:Z$10000,Variable!$B$2:$B$10000,$A21)</f>
        <v>0</v>
      </c>
      <c r="AA21" s="36">
        <f>SUMIFS(Variable!AA$2:AA$10000,Variable!$B$2:$B$10000,$A21)</f>
        <v>0</v>
      </c>
      <c r="AB21" s="36">
        <f>SUMIFS(Variable!AB$2:AB$10000,Variable!$B$2:$B$10000,$A21)</f>
        <v>0</v>
      </c>
      <c r="AC21" s="36">
        <f>SUMIFS(Variable!AC$2:AC$10000,Variable!$B$2:$B$10000,$A21)</f>
        <v>0</v>
      </c>
      <c r="AD21" s="36">
        <f>SUMIFS(Variable!AD$2:AD$10000,Variable!$B$2:$B$10000,$A21)</f>
        <v>0</v>
      </c>
      <c r="AE21" s="36">
        <f>SUMIFS(Variable!AE$2:AE$10000,Variable!$B$2:$B$10000,$A21)</f>
        <v>0</v>
      </c>
      <c r="AF21" s="36">
        <f>SUMIFS(Variable!AF$2:AF$10000,Variable!$B$2:$B$10000,$A21)</f>
        <v>0</v>
      </c>
      <c r="AG21" s="36">
        <f>SUMIFS(Variable!AG$2:AG$10000,Variable!$B$2:$B$10000,$A21)</f>
        <v>0</v>
      </c>
    </row>
    <row r="22" spans="1:33" s="36" customFormat="1">
      <c r="A22" t="s">
        <v>150</v>
      </c>
      <c r="C22" s="36">
        <f>SUMIFS(Variable!C$2:C$10000,Variable!$B$2:$B$10000,$A22)</f>
        <v>5.0000000000000001E-4</v>
      </c>
      <c r="D22" s="36">
        <f>SUMIFS(Variable!D$2:D$10000,Variable!$B$2:$B$10000,$A22)</f>
        <v>6.9999999999999999E-4</v>
      </c>
      <c r="E22" s="36">
        <f>SUMIFS(Variable!E$2:E$10000,Variable!$B$2:$B$10000,$A22)</f>
        <v>8.9999999999999998E-4</v>
      </c>
      <c r="F22" s="36">
        <f>SUMIFS(Variable!F$2:F$10000,Variable!$B$2:$B$10000,$A22)</f>
        <v>1E-3</v>
      </c>
      <c r="G22" s="36">
        <f>SUMIFS(Variable!G$2:G$10000,Variable!$B$2:$B$10000,$A22)</f>
        <v>1.6000000000000001E-3</v>
      </c>
      <c r="H22" s="36">
        <f>SUMIFS(Variable!H$2:H$10000,Variable!$B$2:$B$10000,$A22)</f>
        <v>1.6999999999999999E-3</v>
      </c>
      <c r="I22" s="36">
        <f>SUMIFS(Variable!I$2:I$10000,Variable!$B$2:$B$10000,$A22)</f>
        <v>1.6999999999999999E-3</v>
      </c>
      <c r="J22" s="36">
        <f>SUMIFS(Variable!J$2:J$10000,Variable!$B$2:$B$10000,$A22)</f>
        <v>1.6999999999999999E-3</v>
      </c>
      <c r="K22" s="36">
        <f>SUMIFS(Variable!K$2:K$10000,Variable!$B$2:$B$10000,$A22)</f>
        <v>1.6999999999999999E-3</v>
      </c>
      <c r="L22" s="36">
        <f>SUMIFS(Variable!L$2:L$10000,Variable!$B$2:$B$10000,$A22)</f>
        <v>1.6999999999999999E-3</v>
      </c>
      <c r="M22" s="36">
        <f>SUMIFS(Variable!M$2:M$10000,Variable!$B$2:$B$10000,$A22)</f>
        <v>5.8999999999999999E-3</v>
      </c>
      <c r="N22" s="36">
        <f>SUMIFS(Variable!N$2:N$10000,Variable!$B$2:$B$10000,$A22)</f>
        <v>5.8999999999999999E-3</v>
      </c>
      <c r="O22" s="36">
        <f>SUMIFS(Variable!O$2:O$10000,Variable!$B$2:$B$10000,$A22)</f>
        <v>5.8999999999999999E-3</v>
      </c>
      <c r="P22" s="36">
        <f>SUMIFS(Variable!P$2:P$10000,Variable!$B$2:$B$10000,$A22)</f>
        <v>5.8999999999999999E-3</v>
      </c>
      <c r="Q22" s="36">
        <f>SUMIFS(Variable!Q$2:Q$10000,Variable!$B$2:$B$10000,$A22)</f>
        <v>7.1999999999999998E-3</v>
      </c>
      <c r="R22" s="36">
        <f>SUMIFS(Variable!R$2:R$10000,Variable!$B$2:$B$10000,$A22)</f>
        <v>7.1999999999999998E-3</v>
      </c>
      <c r="S22" s="36">
        <f>SUMIFS(Variable!S$2:S$10000,Variable!$B$2:$B$10000,$A22)</f>
        <v>7.1999999999999998E-3</v>
      </c>
      <c r="T22" s="36">
        <f>SUMIFS(Variable!T$2:T$10000,Variable!$B$2:$B$10000,$A22)</f>
        <v>7.1999999999999998E-3</v>
      </c>
      <c r="U22" s="36">
        <f>SUMIFS(Variable!U$2:U$10000,Variable!$B$2:$B$10000,$A22)</f>
        <v>7.1999999999999998E-3</v>
      </c>
      <c r="V22" s="36">
        <f>SUMIFS(Variable!V$2:V$10000,Variable!$B$2:$B$10000,$A22)</f>
        <v>7.1999999999999998E-3</v>
      </c>
      <c r="W22" s="36">
        <f>SUMIFS(Variable!W$2:W$10000,Variable!$B$2:$B$10000,$A22)</f>
        <v>2.1999999999999999E-2</v>
      </c>
      <c r="X22" s="36">
        <f>SUMIFS(Variable!X$2:X$10000,Variable!$B$2:$B$10000,$A22)</f>
        <v>2.1999999999999999E-2</v>
      </c>
      <c r="Y22" s="36">
        <f>SUMIFS(Variable!Y$2:Y$10000,Variable!$B$2:$B$10000,$A22)</f>
        <v>2.1999999999999999E-2</v>
      </c>
      <c r="Z22" s="36">
        <f>SUMIFS(Variable!Z$2:Z$10000,Variable!$B$2:$B$10000,$A22)</f>
        <v>2.1999999999999999E-2</v>
      </c>
      <c r="AA22" s="36">
        <f>SUMIFS(Variable!AA$2:AA$10000,Variable!$B$2:$B$10000,$A22)</f>
        <v>2.1999999999999999E-2</v>
      </c>
      <c r="AB22" s="36">
        <f>SUMIFS(Variable!AB$2:AB$10000,Variable!$B$2:$B$10000,$A22)</f>
        <v>2.2100000000000002E-2</v>
      </c>
      <c r="AC22" s="36">
        <f>SUMIFS(Variable!AC$2:AC$10000,Variable!$B$2:$B$10000,$A22)</f>
        <v>2.2200000000000001E-2</v>
      </c>
      <c r="AD22" s="36">
        <f>SUMIFS(Variable!AD$2:AD$10000,Variable!$B$2:$B$10000,$A22)</f>
        <v>2.24E-2</v>
      </c>
      <c r="AE22" s="36">
        <f>SUMIFS(Variable!AE$2:AE$10000,Variable!$B$2:$B$10000,$A22)</f>
        <v>2.2499999999999999E-2</v>
      </c>
      <c r="AF22" s="36">
        <f>SUMIFS(Variable!AF$2:AF$10000,Variable!$B$2:$B$10000,$A22)</f>
        <v>2.2700000000000001E-2</v>
      </c>
      <c r="AG22" s="36">
        <f>SUMIFS(Variable!AG$2:AG$10000,Variable!$B$2:$B$10000,$A22)</f>
        <v>3.7699999999999997E-2</v>
      </c>
    </row>
    <row r="23" spans="1:33" s="36" customFormat="1">
      <c r="A23" t="s">
        <v>151</v>
      </c>
      <c r="C23" s="36">
        <f>SUMIFS(Variable!C$2:C$10000,Variable!$B$2:$B$10000,$A23)</f>
        <v>0</v>
      </c>
      <c r="D23" s="36">
        <f>SUMIFS(Variable!D$2:D$10000,Variable!$B$2:$B$10000,$A23)</f>
        <v>0</v>
      </c>
      <c r="E23" s="36">
        <f>SUMIFS(Variable!E$2:E$10000,Variable!$B$2:$B$10000,$A23)</f>
        <v>0</v>
      </c>
      <c r="F23" s="36">
        <f>SUMIFS(Variable!F$2:F$10000,Variable!$B$2:$B$10000,$A23)</f>
        <v>0</v>
      </c>
      <c r="G23" s="36">
        <f>SUMIFS(Variable!G$2:G$10000,Variable!$B$2:$B$10000,$A23)</f>
        <v>0</v>
      </c>
      <c r="H23" s="36">
        <f>SUMIFS(Variable!H$2:H$10000,Variable!$B$2:$B$10000,$A23)</f>
        <v>0</v>
      </c>
      <c r="I23" s="36">
        <f>SUMIFS(Variable!I$2:I$10000,Variable!$B$2:$B$10000,$A23)</f>
        <v>0</v>
      </c>
      <c r="J23" s="36">
        <f>SUMIFS(Variable!J$2:J$10000,Variable!$B$2:$B$10000,$A23)</f>
        <v>0</v>
      </c>
      <c r="K23" s="36">
        <f>SUMIFS(Variable!K$2:K$10000,Variable!$B$2:$B$10000,$A23)</f>
        <v>0</v>
      </c>
      <c r="L23" s="36">
        <f>SUMIFS(Variable!L$2:L$10000,Variable!$B$2:$B$10000,$A23)</f>
        <v>0</v>
      </c>
      <c r="M23" s="36">
        <f>SUMIFS(Variable!M$2:M$10000,Variable!$B$2:$B$10000,$A23)</f>
        <v>0</v>
      </c>
      <c r="N23" s="36">
        <f>SUMIFS(Variable!N$2:N$10000,Variable!$B$2:$B$10000,$A23)</f>
        <v>0</v>
      </c>
      <c r="O23" s="36">
        <f>SUMIFS(Variable!O$2:O$10000,Variable!$B$2:$B$10000,$A23)</f>
        <v>0</v>
      </c>
      <c r="P23" s="36">
        <f>SUMIFS(Variable!P$2:P$10000,Variable!$B$2:$B$10000,$A23)</f>
        <v>0</v>
      </c>
      <c r="Q23" s="36">
        <f>SUMIFS(Variable!Q$2:Q$10000,Variable!$B$2:$B$10000,$A23)</f>
        <v>0</v>
      </c>
      <c r="R23" s="36">
        <f>SUMIFS(Variable!R$2:R$10000,Variable!$B$2:$B$10000,$A23)</f>
        <v>0</v>
      </c>
      <c r="S23" s="36">
        <f>SUMIFS(Variable!S$2:S$10000,Variable!$B$2:$B$10000,$A23)</f>
        <v>0</v>
      </c>
      <c r="T23" s="36">
        <f>SUMIFS(Variable!T$2:T$10000,Variable!$B$2:$B$10000,$A23)</f>
        <v>0</v>
      </c>
      <c r="U23" s="36">
        <f>SUMIFS(Variable!U$2:U$10000,Variable!$B$2:$B$10000,$A23)</f>
        <v>0</v>
      </c>
      <c r="V23" s="36">
        <f>SUMIFS(Variable!V$2:V$10000,Variable!$B$2:$B$10000,$A23)</f>
        <v>0</v>
      </c>
      <c r="W23" s="36">
        <f>SUMIFS(Variable!W$2:W$10000,Variable!$B$2:$B$10000,$A23)</f>
        <v>0</v>
      </c>
      <c r="X23" s="36">
        <f>SUMIFS(Variable!X$2:X$10000,Variable!$B$2:$B$10000,$A23)</f>
        <v>0</v>
      </c>
      <c r="Y23" s="36">
        <f>SUMIFS(Variable!Y$2:Y$10000,Variable!$B$2:$B$10000,$A23)</f>
        <v>0</v>
      </c>
      <c r="Z23" s="36">
        <f>SUMIFS(Variable!Z$2:Z$10000,Variable!$B$2:$B$10000,$A23)</f>
        <v>0</v>
      </c>
      <c r="AA23" s="36">
        <f>SUMIFS(Variable!AA$2:AA$10000,Variable!$B$2:$B$10000,$A23)</f>
        <v>0</v>
      </c>
      <c r="AB23" s="36">
        <f>SUMIFS(Variable!AB$2:AB$10000,Variable!$B$2:$B$10000,$A23)</f>
        <v>0</v>
      </c>
      <c r="AC23" s="36">
        <f>SUMIFS(Variable!AC$2:AC$10000,Variable!$B$2:$B$10000,$A23)</f>
        <v>0</v>
      </c>
      <c r="AD23" s="36">
        <f>SUMIFS(Variable!AD$2:AD$10000,Variable!$B$2:$B$10000,$A23)</f>
        <v>0</v>
      </c>
      <c r="AE23" s="36">
        <f>SUMIFS(Variable!AE$2:AE$10000,Variable!$B$2:$B$10000,$A23)</f>
        <v>0</v>
      </c>
      <c r="AF23" s="36">
        <f>SUMIFS(Variable!AF$2:AF$10000,Variable!$B$2:$B$10000,$A23)</f>
        <v>0</v>
      </c>
      <c r="AG23" s="36">
        <f>SUMIFS(Variable!AG$2:AG$10000,Variable!$B$2:$B$10000,$A23)</f>
        <v>0</v>
      </c>
    </row>
    <row r="24" spans="1:33" s="36" customFormat="1">
      <c r="A24" t="s">
        <v>152</v>
      </c>
      <c r="C24" s="36">
        <f>SUMIFS(Variable!C$2:C$10000,Variable!$B$2:$B$10000,$A24)</f>
        <v>4.0000000000000002E-4</v>
      </c>
      <c r="D24" s="36">
        <f>SUMIFS(Variable!D$2:D$10000,Variable!$B$2:$B$10000,$A24)</f>
        <v>4.0000000000000002E-4</v>
      </c>
      <c r="E24" s="36">
        <f>SUMIFS(Variable!E$2:E$10000,Variable!$B$2:$B$10000,$A24)</f>
        <v>4.0000000000000002E-4</v>
      </c>
      <c r="F24" s="36">
        <f>SUMIFS(Variable!F$2:F$10000,Variable!$B$2:$B$10000,$A24)</f>
        <v>4.0000000000000002E-4</v>
      </c>
      <c r="G24" s="36">
        <f>SUMIFS(Variable!G$2:G$10000,Variable!$B$2:$B$10000,$A24)</f>
        <v>4.0000000000000002E-4</v>
      </c>
      <c r="H24" s="36">
        <f>SUMIFS(Variable!H$2:H$10000,Variable!$B$2:$B$10000,$A24)</f>
        <v>4.0000000000000002E-4</v>
      </c>
      <c r="I24" s="36">
        <f>SUMIFS(Variable!I$2:I$10000,Variable!$B$2:$B$10000,$A24)</f>
        <v>4.0000000000000002E-4</v>
      </c>
      <c r="J24" s="36">
        <f>SUMIFS(Variable!J$2:J$10000,Variable!$B$2:$B$10000,$A24)</f>
        <v>4.0000000000000002E-4</v>
      </c>
      <c r="K24" s="36">
        <f>SUMIFS(Variable!K$2:K$10000,Variable!$B$2:$B$10000,$A24)</f>
        <v>4.0000000000000002E-4</v>
      </c>
      <c r="L24" s="36">
        <f>SUMIFS(Variable!L$2:L$10000,Variable!$B$2:$B$10000,$A24)</f>
        <v>4.0000000000000002E-4</v>
      </c>
      <c r="M24" s="36">
        <f>SUMIFS(Variable!M$2:M$10000,Variable!$B$2:$B$10000,$A24)</f>
        <v>4.0000000000000002E-4</v>
      </c>
      <c r="N24" s="36">
        <f>SUMIFS(Variable!N$2:N$10000,Variable!$B$2:$B$10000,$A24)</f>
        <v>4.0000000000000002E-4</v>
      </c>
      <c r="O24" s="36">
        <f>SUMIFS(Variable!O$2:O$10000,Variable!$B$2:$B$10000,$A24)</f>
        <v>4.0000000000000002E-4</v>
      </c>
      <c r="P24" s="36">
        <f>SUMIFS(Variable!P$2:P$10000,Variable!$B$2:$B$10000,$A24)</f>
        <v>4.0000000000000002E-4</v>
      </c>
      <c r="Q24" s="36">
        <f>SUMIFS(Variable!Q$2:Q$10000,Variable!$B$2:$B$10000,$A24)</f>
        <v>4.0000000000000002E-4</v>
      </c>
      <c r="R24" s="36">
        <f>SUMIFS(Variable!R$2:R$10000,Variable!$B$2:$B$10000,$A24)</f>
        <v>4.0000000000000002E-4</v>
      </c>
      <c r="S24" s="36">
        <f>SUMIFS(Variable!S$2:S$10000,Variable!$B$2:$B$10000,$A24)</f>
        <v>4.0000000000000002E-4</v>
      </c>
      <c r="T24" s="36">
        <f>SUMIFS(Variable!T$2:T$10000,Variable!$B$2:$B$10000,$A24)</f>
        <v>4.0000000000000002E-4</v>
      </c>
      <c r="U24" s="36">
        <f>SUMIFS(Variable!U$2:U$10000,Variable!$B$2:$B$10000,$A24)</f>
        <v>4.0000000000000002E-4</v>
      </c>
      <c r="V24" s="36">
        <f>SUMIFS(Variable!V$2:V$10000,Variable!$B$2:$B$10000,$A24)</f>
        <v>2.0000000000000001E-4</v>
      </c>
      <c r="W24" s="36">
        <f>SUMIFS(Variable!W$2:W$10000,Variable!$B$2:$B$10000,$A24)</f>
        <v>1E-4</v>
      </c>
      <c r="X24" s="36">
        <f>SUMIFS(Variable!X$2:X$10000,Variable!$B$2:$B$10000,$A24)</f>
        <v>1E-4</v>
      </c>
      <c r="Y24" s="36">
        <f>SUMIFS(Variable!Y$2:Y$10000,Variable!$B$2:$B$10000,$A24)</f>
        <v>1E-4</v>
      </c>
      <c r="Z24" s="36">
        <f>SUMIFS(Variable!Z$2:Z$10000,Variable!$B$2:$B$10000,$A24)</f>
        <v>1E-4</v>
      </c>
      <c r="AA24" s="36">
        <f>SUMIFS(Variable!AA$2:AA$10000,Variable!$B$2:$B$10000,$A24)</f>
        <v>1E-4</v>
      </c>
      <c r="AB24" s="36">
        <f>SUMIFS(Variable!AB$2:AB$10000,Variable!$B$2:$B$10000,$A24)</f>
        <v>0</v>
      </c>
      <c r="AC24" s="36">
        <f>SUMIFS(Variable!AC$2:AC$10000,Variable!$B$2:$B$10000,$A24)</f>
        <v>0</v>
      </c>
      <c r="AD24" s="36">
        <f>SUMIFS(Variable!AD$2:AD$10000,Variable!$B$2:$B$10000,$A24)</f>
        <v>0</v>
      </c>
      <c r="AE24" s="36">
        <f>SUMIFS(Variable!AE$2:AE$10000,Variable!$B$2:$B$10000,$A24)</f>
        <v>0</v>
      </c>
      <c r="AF24" s="36">
        <f>SUMIFS(Variable!AF$2:AF$10000,Variable!$B$2:$B$10000,$A24)</f>
        <v>0</v>
      </c>
      <c r="AG24" s="36">
        <f>SUMIFS(Variable!AG$2:AG$10000,Variable!$B$2:$B$10000,$A24)</f>
        <v>0</v>
      </c>
    </row>
    <row r="25" spans="1:33" s="36" customFormat="1">
      <c r="A25" t="s">
        <v>135</v>
      </c>
      <c r="C25" s="36">
        <f>SUMIFS(Variable!C$2:C$10000,Variable!$B$2:$B$10000,$A25)</f>
        <v>8.9999999999999998E-4</v>
      </c>
      <c r="D25" s="36">
        <f>SUMIFS(Variable!D$2:D$10000,Variable!$B$2:$B$10000,$A25)</f>
        <v>0</v>
      </c>
      <c r="E25" s="36">
        <f>SUMIFS(Variable!E$2:E$10000,Variable!$B$2:$B$10000,$A25)</f>
        <v>0</v>
      </c>
      <c r="F25" s="36">
        <f>SUMIFS(Variable!F$2:F$10000,Variable!$B$2:$B$10000,$A25)</f>
        <v>0</v>
      </c>
      <c r="G25" s="36">
        <f>SUMIFS(Variable!G$2:G$10000,Variable!$B$2:$B$10000,$A25)</f>
        <v>0</v>
      </c>
      <c r="H25" s="36">
        <f>SUMIFS(Variable!H$2:H$10000,Variable!$B$2:$B$10000,$A25)</f>
        <v>0</v>
      </c>
      <c r="I25" s="36">
        <f>SUMIFS(Variable!I$2:I$10000,Variable!$B$2:$B$10000,$A25)</f>
        <v>0</v>
      </c>
      <c r="J25" s="36">
        <f>SUMIFS(Variable!J$2:J$10000,Variable!$B$2:$B$10000,$A25)</f>
        <v>0</v>
      </c>
      <c r="K25" s="36">
        <f>SUMIFS(Variable!K$2:K$10000,Variable!$B$2:$B$10000,$A25)</f>
        <v>0</v>
      </c>
      <c r="L25" s="36">
        <f>SUMIFS(Variable!L$2:L$10000,Variable!$B$2:$B$10000,$A25)</f>
        <v>0</v>
      </c>
      <c r="M25" s="36">
        <f>SUMIFS(Variable!M$2:M$10000,Variable!$B$2:$B$10000,$A25)</f>
        <v>0</v>
      </c>
      <c r="N25" s="36">
        <f>SUMIFS(Variable!N$2:N$10000,Variable!$B$2:$B$10000,$A25)</f>
        <v>0</v>
      </c>
      <c r="O25" s="36">
        <f>SUMIFS(Variable!O$2:O$10000,Variable!$B$2:$B$10000,$A25)</f>
        <v>0</v>
      </c>
      <c r="P25" s="36">
        <f>SUMIFS(Variable!P$2:P$10000,Variable!$B$2:$B$10000,$A25)</f>
        <v>0</v>
      </c>
      <c r="Q25" s="36">
        <f>SUMIFS(Variable!Q$2:Q$10000,Variable!$B$2:$B$10000,$A25)</f>
        <v>0</v>
      </c>
      <c r="R25" s="36">
        <f>SUMIFS(Variable!R$2:R$10000,Variable!$B$2:$B$10000,$A25)</f>
        <v>0</v>
      </c>
      <c r="S25" s="36">
        <f>SUMIFS(Variable!S$2:S$10000,Variable!$B$2:$B$10000,$A25)</f>
        <v>0</v>
      </c>
      <c r="T25" s="36">
        <f>SUMIFS(Variable!T$2:T$10000,Variable!$B$2:$B$10000,$A25)</f>
        <v>0</v>
      </c>
      <c r="U25" s="36">
        <f>SUMIFS(Variable!U$2:U$10000,Variable!$B$2:$B$10000,$A25)</f>
        <v>0</v>
      </c>
      <c r="V25" s="36">
        <f>SUMIFS(Variable!V$2:V$10000,Variable!$B$2:$B$10000,$A25)</f>
        <v>0</v>
      </c>
      <c r="W25" s="36">
        <f>SUMIFS(Variable!W$2:W$10000,Variable!$B$2:$B$10000,$A25)</f>
        <v>1E-4</v>
      </c>
      <c r="X25" s="36">
        <f>SUMIFS(Variable!X$2:X$10000,Variable!$B$2:$B$10000,$A25)</f>
        <v>0</v>
      </c>
      <c r="Y25" s="36">
        <f>SUMIFS(Variable!Y$2:Y$10000,Variable!$B$2:$B$10000,$A25)</f>
        <v>0</v>
      </c>
      <c r="Z25" s="36">
        <f>SUMIFS(Variable!Z$2:Z$10000,Variable!$B$2:$B$10000,$A25)</f>
        <v>0</v>
      </c>
      <c r="AA25" s="36">
        <f>SUMIFS(Variable!AA$2:AA$10000,Variable!$B$2:$B$10000,$A25)</f>
        <v>0</v>
      </c>
      <c r="AB25" s="36">
        <f>SUMIFS(Variable!AB$2:AB$10000,Variable!$B$2:$B$10000,$A25)</f>
        <v>0</v>
      </c>
      <c r="AC25" s="36">
        <f>SUMIFS(Variable!AC$2:AC$10000,Variable!$B$2:$B$10000,$A25)</f>
        <v>0</v>
      </c>
      <c r="AD25" s="36">
        <f>SUMIFS(Variable!AD$2:AD$10000,Variable!$B$2:$B$10000,$A25)</f>
        <v>0</v>
      </c>
      <c r="AE25" s="36">
        <f>SUMIFS(Variable!AE$2:AE$10000,Variable!$B$2:$B$10000,$A25)</f>
        <v>0</v>
      </c>
      <c r="AF25" s="36">
        <f>SUMIFS(Variable!AF$2:AF$10000,Variable!$B$2:$B$10000,$A25)</f>
        <v>0</v>
      </c>
      <c r="AG25" s="36">
        <f>SUMIFS(Variable!AG$2:AG$10000,Variable!$B$2:$B$10000,$A25)</f>
        <v>0</v>
      </c>
    </row>
    <row r="26" spans="1:33" s="36" customFormat="1">
      <c r="A26" t="s">
        <v>134</v>
      </c>
      <c r="C26" s="36">
        <f>SUMIFS(Variable!C$2:C$10000,Variable!$B$2:$B$10000,$A26)</f>
        <v>7.0000000000000001E-3</v>
      </c>
      <c r="D26" s="36">
        <f>SUMIFS(Variable!D$2:D$10000,Variable!$B$2:$B$10000,$A26)</f>
        <v>0</v>
      </c>
      <c r="E26" s="36">
        <f>SUMIFS(Variable!E$2:E$10000,Variable!$B$2:$B$10000,$A26)</f>
        <v>0</v>
      </c>
      <c r="F26" s="36">
        <f>SUMIFS(Variable!F$2:F$10000,Variable!$B$2:$B$10000,$A26)</f>
        <v>2.9999999999999997E-4</v>
      </c>
      <c r="G26" s="36">
        <f>SUMIFS(Variable!G$2:G$10000,Variable!$B$2:$B$10000,$A26)</f>
        <v>8.0000000000000004E-4</v>
      </c>
      <c r="H26" s="36">
        <f>SUMIFS(Variable!H$2:H$10000,Variable!$B$2:$B$10000,$A26)</f>
        <v>5.9999999999999995E-4</v>
      </c>
      <c r="I26" s="36">
        <f>SUMIFS(Variable!I$2:I$10000,Variable!$B$2:$B$10000,$A26)</f>
        <v>1.4E-3</v>
      </c>
      <c r="J26" s="36">
        <f>SUMIFS(Variable!J$2:J$10000,Variable!$B$2:$B$10000,$A26)</f>
        <v>1.6000000000000001E-3</v>
      </c>
      <c r="K26" s="36">
        <f>SUMIFS(Variable!K$2:K$10000,Variable!$B$2:$B$10000,$A26)</f>
        <v>2E-3</v>
      </c>
      <c r="L26" s="36">
        <f>SUMIFS(Variable!L$2:L$10000,Variable!$B$2:$B$10000,$A26)</f>
        <v>2.0000000000000001E-4</v>
      </c>
      <c r="M26" s="36">
        <f>SUMIFS(Variable!M$2:M$10000,Variable!$B$2:$B$10000,$A26)</f>
        <v>2.9999999999999997E-4</v>
      </c>
      <c r="N26" s="36">
        <f>SUMIFS(Variable!N$2:N$10000,Variable!$B$2:$B$10000,$A26)</f>
        <v>5.9999999999999995E-4</v>
      </c>
      <c r="O26" s="36">
        <f>SUMIFS(Variable!O$2:O$10000,Variable!$B$2:$B$10000,$A26)</f>
        <v>1E-4</v>
      </c>
      <c r="P26" s="36">
        <f>SUMIFS(Variable!P$2:P$10000,Variable!$B$2:$B$10000,$A26)</f>
        <v>1E-4</v>
      </c>
      <c r="Q26" s="36">
        <f>SUMIFS(Variable!Q$2:Q$10000,Variable!$B$2:$B$10000,$A26)</f>
        <v>1E-4</v>
      </c>
      <c r="R26" s="36">
        <f>SUMIFS(Variable!R$2:R$10000,Variable!$B$2:$B$10000,$A26)</f>
        <v>1E-4</v>
      </c>
      <c r="S26" s="36">
        <f>SUMIFS(Variable!S$2:S$10000,Variable!$B$2:$B$10000,$A26)</f>
        <v>1E-4</v>
      </c>
      <c r="T26" s="36">
        <f>SUMIFS(Variable!T$2:T$10000,Variable!$B$2:$B$10000,$A26)</f>
        <v>1E-4</v>
      </c>
      <c r="U26" s="36">
        <f>SUMIFS(Variable!U$2:U$10000,Variable!$B$2:$B$10000,$A26)</f>
        <v>1E-4</v>
      </c>
      <c r="V26" s="36">
        <f>SUMIFS(Variable!V$2:V$10000,Variable!$B$2:$B$10000,$A26)</f>
        <v>1E-4</v>
      </c>
      <c r="W26" s="36">
        <f>SUMIFS(Variable!W$2:W$10000,Variable!$B$2:$B$10000,$A26)</f>
        <v>2.9999999999999997E-4</v>
      </c>
      <c r="X26" s="36">
        <f>SUMIFS(Variable!X$2:X$10000,Variable!$B$2:$B$10000,$A26)</f>
        <v>1E-4</v>
      </c>
      <c r="Y26" s="36">
        <f>SUMIFS(Variable!Y$2:Y$10000,Variable!$B$2:$B$10000,$A26)</f>
        <v>1E-4</v>
      </c>
      <c r="Z26" s="36">
        <f>SUMIFS(Variable!Z$2:Z$10000,Variable!$B$2:$B$10000,$A26)</f>
        <v>1E-4</v>
      </c>
      <c r="AA26" s="36">
        <f>SUMIFS(Variable!AA$2:AA$10000,Variable!$B$2:$B$10000,$A26)</f>
        <v>1E-4</v>
      </c>
      <c r="AB26" s="36">
        <f>SUMIFS(Variable!AB$2:AB$10000,Variable!$B$2:$B$10000,$A26)</f>
        <v>1E-4</v>
      </c>
      <c r="AC26" s="36">
        <f>SUMIFS(Variable!AC$2:AC$10000,Variable!$B$2:$B$10000,$A26)</f>
        <v>0</v>
      </c>
      <c r="AD26" s="36">
        <f>SUMIFS(Variable!AD$2:AD$10000,Variable!$B$2:$B$10000,$A26)</f>
        <v>0</v>
      </c>
      <c r="AE26" s="36">
        <f>SUMIFS(Variable!AE$2:AE$10000,Variable!$B$2:$B$10000,$A26)</f>
        <v>0</v>
      </c>
      <c r="AF26" s="36">
        <f>SUMIFS(Variable!AF$2:AF$10000,Variable!$B$2:$B$10000,$A26)</f>
        <v>0</v>
      </c>
      <c r="AG26" s="36">
        <f>SUMIFS(Variable!AG$2:AG$10000,Variable!$B$2:$B$10000,$A26)</f>
        <v>0</v>
      </c>
    </row>
    <row r="27" spans="1:33">
      <c r="A27" t="s">
        <v>154</v>
      </c>
      <c r="C27" s="36">
        <f>SUMIFS(Variable!C$2:C$10000,Variable!$B$2:$B$10000,$A27)</f>
        <v>0.03</v>
      </c>
      <c r="D27" s="36">
        <f>SUMIFS(Variable!D$2:D$10000,Variable!$B$2:$B$10000,$A27)</f>
        <v>0.03</v>
      </c>
      <c r="E27" s="36">
        <f>SUMIFS(Variable!E$2:E$10000,Variable!$B$2:$B$10000,$A27)</f>
        <v>3.15E-2</v>
      </c>
      <c r="F27" s="36">
        <f>SUMIFS(Variable!F$2:F$10000,Variable!$B$2:$B$10000,$A27)</f>
        <v>3.2800000000000003E-2</v>
      </c>
      <c r="G27" s="36">
        <f>SUMIFS(Variable!G$2:G$10000,Variable!$B$2:$B$10000,$A27)</f>
        <v>3.4299999999999997E-2</v>
      </c>
      <c r="H27" s="36">
        <f>SUMIFS(Variable!H$2:H$10000,Variable!$B$2:$B$10000,$A27)</f>
        <v>3.5799999999999998E-2</v>
      </c>
      <c r="I27" s="36">
        <f>SUMIFS(Variable!I$2:I$10000,Variable!$B$2:$B$10000,$A27)</f>
        <v>3.7699999999999997E-2</v>
      </c>
      <c r="J27" s="36">
        <f>SUMIFS(Variable!J$2:J$10000,Variable!$B$2:$B$10000,$A27)</f>
        <v>3.9600000000000003E-2</v>
      </c>
      <c r="K27" s="36">
        <f>SUMIFS(Variable!K$2:K$10000,Variable!$B$2:$B$10000,$A27)</f>
        <v>4.1300000000000003E-2</v>
      </c>
      <c r="L27" s="36">
        <f>SUMIFS(Variable!L$2:L$10000,Variable!$B$2:$B$10000,$A27)</f>
        <v>4.3400000000000001E-2</v>
      </c>
      <c r="M27" s="36">
        <f>SUMIFS(Variable!M$2:M$10000,Variable!$B$2:$B$10000,$A27)</f>
        <v>4.53E-2</v>
      </c>
      <c r="N27" s="36">
        <f>SUMIFS(Variable!N$2:N$10000,Variable!$B$2:$B$10000,$A27)</f>
        <v>4.7500000000000001E-2</v>
      </c>
      <c r="O27" s="36">
        <f>SUMIFS(Variable!O$2:O$10000,Variable!$B$2:$B$10000,$A27)</f>
        <v>4.99E-2</v>
      </c>
      <c r="P27" s="36">
        <f>SUMIFS(Variable!P$2:P$10000,Variable!$B$2:$B$10000,$A27)</f>
        <v>5.21E-2</v>
      </c>
      <c r="Q27" s="36">
        <f>SUMIFS(Variable!Q$2:Q$10000,Variable!$B$2:$B$10000,$A27)</f>
        <v>5.4399999999999997E-2</v>
      </c>
      <c r="R27" s="36">
        <f>SUMIFS(Variable!R$2:R$10000,Variable!$B$2:$B$10000,$A27)</f>
        <v>5.5899999999999998E-2</v>
      </c>
      <c r="S27" s="36">
        <f>SUMIFS(Variable!S$2:S$10000,Variable!$B$2:$B$10000,$A27)</f>
        <v>5.8700000000000002E-2</v>
      </c>
      <c r="T27" s="36">
        <f>SUMIFS(Variable!T$2:T$10000,Variable!$B$2:$B$10000,$A27)</f>
        <v>6.1600000000000002E-2</v>
      </c>
      <c r="U27" s="36">
        <f>SUMIFS(Variable!U$2:U$10000,Variable!$B$2:$B$10000,$A27)</f>
        <v>6.4500000000000002E-2</v>
      </c>
      <c r="V27" s="36">
        <f>SUMIFS(Variable!V$2:V$10000,Variable!$B$2:$B$10000,$A27)</f>
        <v>6.7400000000000002E-2</v>
      </c>
      <c r="W27" s="36">
        <f>SUMIFS(Variable!W$2:W$10000,Variable!$B$2:$B$10000,$A27)</f>
        <v>7.0300000000000001E-2</v>
      </c>
      <c r="X27" s="36">
        <f>SUMIFS(Variable!X$2:X$10000,Variable!$B$2:$B$10000,$A27)</f>
        <v>6.7000000000000004E-2</v>
      </c>
      <c r="Y27" s="36">
        <f>SUMIFS(Variable!Y$2:Y$10000,Variable!$B$2:$B$10000,$A27)</f>
        <v>6.6900000000000001E-2</v>
      </c>
      <c r="Z27" s="36">
        <f>SUMIFS(Variable!Z$2:Z$10000,Variable!$B$2:$B$10000,$A27)</f>
        <v>6.6799999999999998E-2</v>
      </c>
      <c r="AA27" s="36">
        <f>SUMIFS(Variable!AA$2:AA$10000,Variable!$B$2:$B$10000,$A27)</f>
        <v>6.6699999999999995E-2</v>
      </c>
      <c r="AB27" s="36">
        <f>SUMIFS(Variable!AB$2:AB$10000,Variable!$B$2:$B$10000,$A27)</f>
        <v>6.6699999999999995E-2</v>
      </c>
      <c r="AC27" s="36">
        <f>SUMIFS(Variable!AC$2:AC$10000,Variable!$B$2:$B$10000,$A27)</f>
        <v>6.6900000000000001E-2</v>
      </c>
      <c r="AD27" s="36">
        <f>SUMIFS(Variable!AD$2:AD$10000,Variable!$B$2:$B$10000,$A27)</f>
        <v>6.7100000000000007E-2</v>
      </c>
      <c r="AE27" s="36">
        <f>SUMIFS(Variable!AE$2:AE$10000,Variable!$B$2:$B$10000,$A27)</f>
        <v>6.7500000000000004E-2</v>
      </c>
      <c r="AF27" s="36">
        <f>SUMIFS(Variable!AF$2:AF$10000,Variable!$B$2:$B$10000,$A27)</f>
        <v>6.7900000000000002E-2</v>
      </c>
      <c r="AG27" s="36">
        <f>SUMIFS(Variable!AG$2:AG$10000,Variable!$B$2:$B$10000,$A27)</f>
        <v>0.10199999999999999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2026.2812385417942</v>
      </c>
      <c r="D30">
        <f t="shared" ref="D30:AG30" si="1">SUM(D225,D228:D229)*D120</f>
        <v>2760.2930818280843</v>
      </c>
      <c r="E30">
        <f t="shared" si="1"/>
        <v>2872.6021211094658</v>
      </c>
      <c r="F30">
        <f t="shared" si="1"/>
        <v>3101.0707226101676</v>
      </c>
      <c r="G30">
        <f t="shared" si="1"/>
        <v>3130.2286896665196</v>
      </c>
      <c r="H30">
        <f t="shared" si="1"/>
        <v>3241.6725299916898</v>
      </c>
      <c r="I30">
        <f t="shared" si="1"/>
        <v>3399.163107690445</v>
      </c>
      <c r="J30">
        <f t="shared" si="1"/>
        <v>3563.4373387918004</v>
      </c>
      <c r="K30">
        <f t="shared" si="1"/>
        <v>3717.0699319036771</v>
      </c>
      <c r="L30">
        <f t="shared" si="1"/>
        <v>3915.3016293633605</v>
      </c>
      <c r="M30">
        <f t="shared" si="1"/>
        <v>3686.4089704871863</v>
      </c>
      <c r="N30">
        <f t="shared" si="1"/>
        <v>3917.4501653509128</v>
      </c>
      <c r="O30">
        <f t="shared" si="1"/>
        <v>4157.8227013049318</v>
      </c>
      <c r="P30">
        <f t="shared" si="1"/>
        <v>4440.710387114993</v>
      </c>
      <c r="Q30">
        <f t="shared" si="1"/>
        <v>4575.0925150758039</v>
      </c>
      <c r="R30">
        <f t="shared" si="1"/>
        <v>4734.5747590701458</v>
      </c>
      <c r="S30">
        <f t="shared" si="1"/>
        <v>5026.919724484861</v>
      </c>
      <c r="T30">
        <f t="shared" si="1"/>
        <v>5502.8304160652888</v>
      </c>
      <c r="U30">
        <f t="shared" si="1"/>
        <v>5793.498216975916</v>
      </c>
      <c r="V30">
        <f t="shared" si="1"/>
        <v>6058.0343084716096</v>
      </c>
      <c r="W30">
        <f t="shared" si="1"/>
        <v>5128.6910001604756</v>
      </c>
      <c r="X30">
        <f t="shared" si="1"/>
        <v>4842.867769676478</v>
      </c>
      <c r="Y30">
        <f t="shared" si="1"/>
        <v>4843.5536105520696</v>
      </c>
      <c r="Z30">
        <f t="shared" si="1"/>
        <v>4843.0610550384208</v>
      </c>
      <c r="AA30">
        <f t="shared" si="1"/>
        <v>4842.0980571815489</v>
      </c>
      <c r="AB30">
        <f t="shared" si="1"/>
        <v>4854.4076161709536</v>
      </c>
      <c r="AC30">
        <f t="shared" si="1"/>
        <v>4842.8417223847491</v>
      </c>
      <c r="AD30">
        <f t="shared" si="1"/>
        <v>4852.5973401771771</v>
      </c>
      <c r="AE30">
        <f t="shared" si="1"/>
        <v>4882.716529669573</v>
      </c>
      <c r="AF30">
        <f t="shared" si="1"/>
        <v>4912.0371285927949</v>
      </c>
      <c r="AG30">
        <f t="shared" si="1"/>
        <v>6947.5684984698519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129.43509606271999</v>
      </c>
      <c r="I31">
        <f t="shared" si="2"/>
        <v>134.13412057214398</v>
      </c>
      <c r="J31">
        <f t="shared" si="2"/>
        <v>134.71496030884404</v>
      </c>
      <c r="K31">
        <f t="shared" si="2"/>
        <v>135.28507026391702</v>
      </c>
      <c r="L31">
        <f t="shared" si="2"/>
        <v>101.25273717228001</v>
      </c>
      <c r="M31">
        <f t="shared" si="2"/>
        <v>101.62740036564</v>
      </c>
      <c r="N31">
        <f t="shared" si="2"/>
        <v>101.97864719520001</v>
      </c>
      <c r="O31">
        <f t="shared" si="2"/>
        <v>76.691057590368004</v>
      </c>
      <c r="P31">
        <f t="shared" si="2"/>
        <v>84.430206863798006</v>
      </c>
      <c r="Q31">
        <f t="shared" si="2"/>
        <v>70.10700295094999</v>
      </c>
      <c r="R31">
        <f t="shared" si="2"/>
        <v>65.048172852923997</v>
      </c>
      <c r="S31">
        <f t="shared" si="2"/>
        <v>61.582798315043995</v>
      </c>
      <c r="T31">
        <f t="shared" si="2"/>
        <v>58.090336321876002</v>
      </c>
      <c r="U31">
        <f t="shared" si="2"/>
        <v>65.01237221996999</v>
      </c>
      <c r="V31">
        <f t="shared" si="2"/>
        <v>153.619434831962</v>
      </c>
      <c r="W31">
        <f t="shared" si="2"/>
        <v>229.78916598067198</v>
      </c>
      <c r="X31">
        <f t="shared" si="2"/>
        <v>149.391074840784</v>
      </c>
      <c r="Y31">
        <f t="shared" si="2"/>
        <v>140.73817526316799</v>
      </c>
      <c r="Z31">
        <f t="shared" si="2"/>
        <v>136.983487207872</v>
      </c>
      <c r="AA31">
        <f t="shared" si="2"/>
        <v>133.30439662012799</v>
      </c>
      <c r="AB31">
        <f t="shared" si="2"/>
        <v>133.04847850943003</v>
      </c>
      <c r="AC31">
        <f t="shared" si="2"/>
        <v>262.77781975660599</v>
      </c>
      <c r="AD31">
        <f t="shared" si="2"/>
        <v>365.7706075783799</v>
      </c>
      <c r="AE31">
        <f t="shared" si="2"/>
        <v>381.172947825243</v>
      </c>
      <c r="AF31">
        <f t="shared" si="2"/>
        <v>436.01336178557301</v>
      </c>
      <c r="AG31">
        <f t="shared" si="2"/>
        <v>865.76633720131508</v>
      </c>
    </row>
    <row r="32" spans="1:33">
      <c r="A32" t="s">
        <v>85</v>
      </c>
      <c r="C32">
        <f>C239*C121</f>
        <v>713.04759448013817</v>
      </c>
      <c r="D32">
        <f t="shared" ref="D32:AG32" si="3">D239*D121</f>
        <v>0</v>
      </c>
      <c r="E32">
        <f t="shared" si="3"/>
        <v>0</v>
      </c>
      <c r="F32">
        <f t="shared" si="3"/>
        <v>0</v>
      </c>
      <c r="G32">
        <f t="shared" si="3"/>
        <v>0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139.694114872928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215.67359999999996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</row>
    <row r="35" spans="1:58">
      <c r="A35" s="41" t="s">
        <v>23</v>
      </c>
      <c r="B35" s="33"/>
      <c r="C35" s="33">
        <f>SUM(C38:C55)+SUM(C30:C34)+SUM(C10:C27)</f>
        <v>4162.8638330219328</v>
      </c>
      <c r="D35" s="33">
        <f t="shared" ref="D35:AG35" si="6">SUM(D38:D55)+SUM(D30:D34)+SUM(D10:D27)</f>
        <v>3853.8405818280839</v>
      </c>
      <c r="E35" s="33">
        <f t="shared" si="6"/>
        <v>4014.6511211094657</v>
      </c>
      <c r="F35" s="33">
        <f t="shared" si="6"/>
        <v>4210.1257226101679</v>
      </c>
      <c r="G35" s="33">
        <f t="shared" si="6"/>
        <v>4252.9124896665189</v>
      </c>
      <c r="H35" s="33">
        <f t="shared" si="6"/>
        <v>4518.7706260544101</v>
      </c>
      <c r="I35" s="33">
        <f t="shared" si="6"/>
        <v>4679.6315282625892</v>
      </c>
      <c r="J35" s="33">
        <f t="shared" si="6"/>
        <v>4872.7073991006446</v>
      </c>
      <c r="K35" s="33">
        <f t="shared" si="6"/>
        <v>5048.0164021675946</v>
      </c>
      <c r="L35" s="33">
        <f t="shared" si="6"/>
        <v>5352.05036653564</v>
      </c>
      <c r="M35" s="33">
        <f t="shared" si="6"/>
        <v>5204.7413708528265</v>
      </c>
      <c r="N35" s="33">
        <f t="shared" si="6"/>
        <v>5441.9010125461127</v>
      </c>
      <c r="O35" s="33">
        <f t="shared" si="6"/>
        <v>5702.2502588952993</v>
      </c>
      <c r="P35" s="33">
        <f t="shared" si="6"/>
        <v>6025.9681939787897</v>
      </c>
      <c r="Q35" s="33">
        <f t="shared" si="6"/>
        <v>6187.526318026753</v>
      </c>
      <c r="R35" s="33">
        <f t="shared" si="6"/>
        <v>6393.23233192307</v>
      </c>
      <c r="S35" s="33">
        <f t="shared" si="6"/>
        <v>6736.0335227999049</v>
      </c>
      <c r="T35" s="33">
        <f t="shared" si="6"/>
        <v>7223.009052387165</v>
      </c>
      <c r="U35" s="33">
        <f t="shared" si="6"/>
        <v>7575.0121891958852</v>
      </c>
      <c r="V35" s="33">
        <f t="shared" si="6"/>
        <v>7965.9009433035717</v>
      </c>
      <c r="W35" s="33">
        <f t="shared" si="6"/>
        <v>7627.9416810140756</v>
      </c>
      <c r="X35" s="33">
        <f t="shared" si="6"/>
        <v>6901.6321445172625</v>
      </c>
      <c r="Y35" s="33">
        <f t="shared" si="6"/>
        <v>6889.7444858152376</v>
      </c>
      <c r="Z35" s="33">
        <f t="shared" si="6"/>
        <v>6881.9990422462924</v>
      </c>
      <c r="AA35" s="33">
        <f t="shared" si="6"/>
        <v>6874.0545538016759</v>
      </c>
      <c r="AB35" s="33">
        <f t="shared" si="6"/>
        <v>6873.6624946803831</v>
      </c>
      <c r="AC35" s="33">
        <f t="shared" si="6"/>
        <v>6960.7380421413554</v>
      </c>
      <c r="AD35" s="33">
        <f t="shared" si="6"/>
        <v>7055.4747477555566</v>
      </c>
      <c r="AE35" s="33">
        <f t="shared" si="6"/>
        <v>7102.6419774948154</v>
      </c>
      <c r="AF35" s="33">
        <f t="shared" si="6"/>
        <v>7180.217490378368</v>
      </c>
      <c r="AG35" s="33">
        <f t="shared" si="6"/>
        <v>10472.024935671167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108.53700000000001</v>
      </c>
      <c r="G40">
        <f>SUMIFS(Fixed!G$2:G$10000,Fixed!$B$2:$B$10000,$A40)</f>
        <v>108.53700000000001</v>
      </c>
      <c r="H40">
        <f>SUMIFS(Fixed!H$2:H$10000,Fixed!$B$2:$B$10000,$A40)</f>
        <v>112.6425</v>
      </c>
      <c r="I40">
        <f>SUMIFS(Fixed!I$2:I$10000,Fixed!$B$2:$B$10000,$A40)</f>
        <v>112.6425</v>
      </c>
      <c r="J40">
        <f>SUMIFS(Fixed!J$2:J$10000,Fixed!$B$2:$B$10000,$A40)</f>
        <v>112.6425</v>
      </c>
      <c r="K40">
        <f>SUMIFS(Fixed!K$2:K$10000,Fixed!$B$2:$B$10000,$A40)</f>
        <v>112.6425</v>
      </c>
      <c r="L40">
        <f>SUMIFS(Fixed!L$2:L$10000,Fixed!$B$2:$B$10000,$A40)</f>
        <v>112.6425</v>
      </c>
      <c r="M40">
        <f>SUMIFS(Fixed!M$2:M$10000,Fixed!$B$2:$B$10000,$A40)</f>
        <v>112.6425</v>
      </c>
      <c r="N40">
        <f>SUMIFS(Fixed!N$2:N$10000,Fixed!$B$2:$B$10000,$A40)</f>
        <v>112.6425</v>
      </c>
      <c r="O40">
        <f>SUMIFS(Fixed!O$2:O$10000,Fixed!$B$2:$B$10000,$A40)</f>
        <v>112.6425</v>
      </c>
      <c r="P40">
        <f>SUMIFS(Fixed!P$2:P$10000,Fixed!$B$2:$B$10000,$A40)</f>
        <v>96.542500000000004</v>
      </c>
      <c r="Q40">
        <f>SUMIFS(Fixed!Q$2:Q$10000,Fixed!$B$2:$B$10000,$A40)</f>
        <v>96.542500000000004</v>
      </c>
      <c r="R40">
        <f>SUMIFS(Fixed!R$2:R$10000,Fixed!$B$2:$B$10000,$A40)</f>
        <v>96.542500000000004</v>
      </c>
      <c r="S40">
        <f>SUMIFS(Fixed!S$2:S$10000,Fixed!$B$2:$B$10000,$A40)</f>
        <v>84.064999999999998</v>
      </c>
      <c r="T40">
        <f>SUMIFS(Fixed!T$2:T$10000,Fixed!$B$2:$B$10000,$A40)</f>
        <v>13.891999999999999</v>
      </c>
      <c r="U40">
        <f>SUMIFS(Fixed!U$2:U$10000,Fixed!$B$2:$B$10000,$A40)</f>
        <v>13.891999999999999</v>
      </c>
      <c r="V40">
        <f>SUMIFS(Fixed!V$2:V$10000,Fixed!$B$2:$B$10000,$A40)</f>
        <v>13.891999999999999</v>
      </c>
      <c r="W40">
        <f>SUMIFS(Fixed!W$2:W$10000,Fixed!$B$2:$B$10000,$A40)</f>
        <v>13.891999999999999</v>
      </c>
      <c r="X40">
        <f>SUMIFS(Fixed!X$2:X$10000,Fixed!$B$2:$B$10000,$A40)</f>
        <v>13.891999999999999</v>
      </c>
      <c r="Y40">
        <f>SUMIFS(Fixed!Y$2:Y$10000,Fixed!$B$2:$B$10000,$A40)</f>
        <v>13.891999999999999</v>
      </c>
      <c r="Z40">
        <f>SUMIFS(Fixed!Z$2:Z$10000,Fixed!$B$2:$B$10000,$A40)</f>
        <v>13.891999999999999</v>
      </c>
      <c r="AA40">
        <f>SUMIFS(Fixed!AA$2:AA$10000,Fixed!$B$2:$B$10000,$A40)</f>
        <v>13.891999999999999</v>
      </c>
      <c r="AB40">
        <f>SUMIFS(Fixed!AB$2:AB$10000,Fixed!$B$2:$B$10000,$A40)</f>
        <v>13.891999999999999</v>
      </c>
      <c r="AC40">
        <f>SUMIFS(Fixed!AC$2:AC$10000,Fixed!$B$2:$B$10000,$A40)</f>
        <v>13.891999999999999</v>
      </c>
      <c r="AD40">
        <f>SUMIFS(Fixed!AD$2:AD$10000,Fixed!$B$2:$B$10000,$A40)</f>
        <v>13.891999999999999</v>
      </c>
      <c r="AE40">
        <f>SUMIFS(Fixed!AE$2:AE$10000,Fixed!$B$2:$B$10000,$A40)</f>
        <v>13.891999999999999</v>
      </c>
      <c r="AF40">
        <f>SUMIFS(Fixed!AF$2:AF$10000,Fixed!$B$2:$B$10000,$A40)</f>
        <v>13.891999999999999</v>
      </c>
      <c r="AG40">
        <f>SUMIFS(Fixed!AG$2:AG$10000,Fixed!$B$2:$B$10000,$A40)</f>
        <v>13.891999999999999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67.767499999999998</v>
      </c>
      <c r="G42">
        <f>SUMIFS(Fixed!G$2:G$10000,Fixed!$B$2:$B$10000,$A42)</f>
        <v>94.976100000000002</v>
      </c>
      <c r="H42">
        <f>SUMIFS(Fixed!H$2:H$10000,Fixed!$B$2:$B$10000,$A42)</f>
        <v>94.976100000000002</v>
      </c>
      <c r="I42">
        <f>SUMIFS(Fixed!I$2:I$10000,Fixed!$B$2:$B$10000,$A42)</f>
        <v>94.976100000000002</v>
      </c>
      <c r="J42">
        <f>SUMIFS(Fixed!J$2:J$10000,Fixed!$B$2:$B$10000,$A42)</f>
        <v>124.44450000000001</v>
      </c>
      <c r="K42">
        <f>SUMIFS(Fixed!K$2:K$10000,Fixed!$B$2:$B$10000,$A42)</f>
        <v>146.72399999999999</v>
      </c>
      <c r="L42">
        <f>SUMIFS(Fixed!L$2:L$10000,Fixed!$B$2:$B$10000,$A42)</f>
        <v>288.34370000000001</v>
      </c>
      <c r="M42">
        <f>SUMIFS(Fixed!M$2:M$10000,Fixed!$B$2:$B$10000,$A42)</f>
        <v>316.41669999999999</v>
      </c>
      <c r="N42">
        <f>SUMIFS(Fixed!N$2:N$10000,Fixed!$B$2:$B$10000,$A42)</f>
        <v>348.56150000000002</v>
      </c>
      <c r="O42">
        <f>SUMIFS(Fixed!O$2:O$10000,Fixed!$B$2:$B$10000,$A42)</f>
        <v>439.7627</v>
      </c>
      <c r="P42">
        <f>SUMIFS(Fixed!P$2:P$10000,Fixed!$B$2:$B$10000,$A42)</f>
        <v>490.8605</v>
      </c>
      <c r="Q42">
        <f>SUMIFS(Fixed!Q$2:Q$10000,Fixed!$B$2:$B$10000,$A42)</f>
        <v>545.74419999999998</v>
      </c>
      <c r="R42">
        <f>SUMIFS(Fixed!R$2:R$10000,Fixed!$B$2:$B$10000,$A42)</f>
        <v>599.4683</v>
      </c>
      <c r="S42">
        <f>SUMIFS(Fixed!S$2:S$10000,Fixed!$B$2:$B$10000,$A42)</f>
        <v>702.37419999999997</v>
      </c>
      <c r="T42">
        <f>SUMIFS(Fixed!T$2:T$10000,Fixed!$B$2:$B$10000,$A42)</f>
        <v>793.36800000000005</v>
      </c>
      <c r="U42">
        <f>SUMIFS(Fixed!U$2:U$10000,Fixed!$B$2:$B$10000,$A42)</f>
        <v>883.82259999999997</v>
      </c>
      <c r="V42">
        <f>SUMIFS(Fixed!V$2:V$10000,Fixed!$B$2:$B$10000,$A42)</f>
        <v>974.92129999999997</v>
      </c>
      <c r="W42">
        <f>SUMIFS(Fixed!W$2:W$10000,Fixed!$B$2:$B$10000,$A42)</f>
        <v>974.92129999999997</v>
      </c>
      <c r="X42">
        <f>SUMIFS(Fixed!X$2:X$10000,Fixed!$B$2:$B$10000,$A42)</f>
        <v>974.92129999999997</v>
      </c>
      <c r="Y42">
        <f>SUMIFS(Fixed!Y$2:Y$10000,Fixed!$B$2:$B$10000,$A42)</f>
        <v>974.92129999999997</v>
      </c>
      <c r="Z42">
        <f>SUMIFS(Fixed!Z$2:Z$10000,Fixed!$B$2:$B$10000,$A42)</f>
        <v>974.92129999999997</v>
      </c>
      <c r="AA42">
        <f>SUMIFS(Fixed!AA$2:AA$10000,Fixed!$B$2:$B$10000,$A42)</f>
        <v>974.92129999999997</v>
      </c>
      <c r="AB42">
        <f>SUMIFS(Fixed!AB$2:AB$10000,Fixed!$B$2:$B$10000,$A42)</f>
        <v>974.92129999999997</v>
      </c>
      <c r="AC42">
        <f>SUMIFS(Fixed!AC$2:AC$10000,Fixed!$B$2:$B$10000,$A42)</f>
        <v>942.04420000000005</v>
      </c>
      <c r="AD42">
        <f>SUMIFS(Fixed!AD$2:AD$10000,Fixed!$B$2:$B$10000,$A42)</f>
        <v>907.15380000000005</v>
      </c>
      <c r="AE42">
        <f>SUMIFS(Fixed!AE$2:AE$10000,Fixed!$B$2:$B$10000,$A42)</f>
        <v>907.15380000000005</v>
      </c>
      <c r="AF42">
        <f>SUMIFS(Fixed!AF$2:AF$10000,Fixed!$B$2:$B$10000,$A42)</f>
        <v>894.06380000000001</v>
      </c>
      <c r="AG42">
        <f>SUMIFS(Fixed!AG$2:AG$10000,Fixed!$B$2:$B$10000,$A42)</f>
        <v>1503.4431999999999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191.6825</v>
      </c>
      <c r="E45">
        <f>SUMIFS(Fixed!E$2:E$10000,Fixed!$B$2:$B$10000,$A45)</f>
        <v>192.27680000000001</v>
      </c>
      <c r="F45">
        <f>SUMIFS(Fixed!F$2:F$10000,Fixed!$B$2:$B$10000,$A45)</f>
        <v>194.02610000000001</v>
      </c>
      <c r="G45">
        <f>SUMIFS(Fixed!G$2:G$10000,Fixed!$B$2:$B$10000,$A45)</f>
        <v>195.34180000000001</v>
      </c>
      <c r="H45">
        <f>SUMIFS(Fixed!H$2:H$10000,Fixed!$B$2:$B$10000,$A45)</f>
        <v>195.34180000000001</v>
      </c>
      <c r="I45">
        <f>SUMIFS(Fixed!I$2:I$10000,Fixed!$B$2:$B$10000,$A45)</f>
        <v>195.34180000000001</v>
      </c>
      <c r="J45">
        <f>SUMIFS(Fixed!J$2:J$10000,Fixed!$B$2:$B$10000,$A45)</f>
        <v>195.34180000000001</v>
      </c>
      <c r="K45">
        <f>SUMIFS(Fixed!K$2:K$10000,Fixed!$B$2:$B$10000,$A45)</f>
        <v>195.34180000000001</v>
      </c>
      <c r="L45">
        <f>SUMIFS(Fixed!L$2:L$10000,Fixed!$B$2:$B$10000,$A45)</f>
        <v>195.34180000000001</v>
      </c>
      <c r="M45">
        <f>SUMIFS(Fixed!M$2:M$10000,Fixed!$B$2:$B$10000,$A45)</f>
        <v>195.34180000000001</v>
      </c>
      <c r="N45">
        <f>SUMIFS(Fixed!N$2:N$10000,Fixed!$B$2:$B$10000,$A45)</f>
        <v>195.34180000000001</v>
      </c>
      <c r="O45">
        <f>SUMIFS(Fixed!O$2:O$10000,Fixed!$B$2:$B$10000,$A45)</f>
        <v>195.34180000000001</v>
      </c>
      <c r="P45">
        <f>SUMIFS(Fixed!P$2:P$10000,Fixed!$B$2:$B$10000,$A45)</f>
        <v>195.34180000000001</v>
      </c>
      <c r="Q45">
        <f>SUMIFS(Fixed!Q$2:Q$10000,Fixed!$B$2:$B$10000,$A45)</f>
        <v>195.34180000000001</v>
      </c>
      <c r="R45">
        <f>SUMIFS(Fixed!R$2:R$10000,Fixed!$B$2:$B$10000,$A45)</f>
        <v>195.34180000000001</v>
      </c>
      <c r="S45">
        <f>SUMIFS(Fixed!S$2:S$10000,Fixed!$B$2:$B$10000,$A45)</f>
        <v>195.34180000000001</v>
      </c>
      <c r="T45">
        <f>SUMIFS(Fixed!T$2:T$10000,Fixed!$B$2:$B$10000,$A45)</f>
        <v>195.34180000000001</v>
      </c>
      <c r="U45">
        <f>SUMIFS(Fixed!U$2:U$10000,Fixed!$B$2:$B$10000,$A45)</f>
        <v>195.34180000000001</v>
      </c>
      <c r="V45">
        <f>SUMIFS(Fixed!V$2:V$10000,Fixed!$B$2:$B$10000,$A45)</f>
        <v>195.34180000000001</v>
      </c>
      <c r="W45">
        <f>SUMIFS(Fixed!W$2:W$10000,Fixed!$B$2:$B$10000,$A45)</f>
        <v>195.34180000000001</v>
      </c>
      <c r="X45">
        <f>SUMIFS(Fixed!X$2:X$10000,Fixed!$B$2:$B$10000,$A45)</f>
        <v>195.34180000000001</v>
      </c>
      <c r="Y45">
        <f>SUMIFS(Fixed!Y$2:Y$10000,Fixed!$B$2:$B$10000,$A45)</f>
        <v>195.34180000000001</v>
      </c>
      <c r="Z45">
        <f>SUMIFS(Fixed!Z$2:Z$10000,Fixed!$B$2:$B$10000,$A45)</f>
        <v>195.34180000000001</v>
      </c>
      <c r="AA45">
        <f>SUMIFS(Fixed!AA$2:AA$10000,Fixed!$B$2:$B$10000,$A45)</f>
        <v>195.34180000000001</v>
      </c>
      <c r="AB45">
        <f>SUMIFS(Fixed!AB$2:AB$10000,Fixed!$B$2:$B$10000,$A45)</f>
        <v>195.34180000000001</v>
      </c>
      <c r="AC45">
        <f>SUMIFS(Fixed!AC$2:AC$10000,Fixed!$B$2:$B$10000,$A45)</f>
        <v>195.34180000000001</v>
      </c>
      <c r="AD45">
        <f>SUMIFS(Fixed!AD$2:AD$10000,Fixed!$B$2:$B$10000,$A45)</f>
        <v>194.4896</v>
      </c>
      <c r="AE45">
        <f>SUMIFS(Fixed!AE$2:AE$10000,Fixed!$B$2:$B$10000,$A45)</f>
        <v>194.4896</v>
      </c>
      <c r="AF45">
        <f>SUMIFS(Fixed!AF$2:AF$10000,Fixed!$B$2:$B$10000,$A45)</f>
        <v>194.4896</v>
      </c>
      <c r="AG45">
        <f>SUMIFS(Fixed!AG$2:AG$10000,Fixed!$B$2:$B$10000,$A45)</f>
        <v>194.4896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19.019200000000001</v>
      </c>
      <c r="V46">
        <f>SUMIFS(Fixed!V$2:V$10000,Fixed!$B$2:$B$10000,$A46)</f>
        <v>36.274900000000002</v>
      </c>
      <c r="W46">
        <f>SUMIFS(Fixed!W$2:W$10000,Fixed!$B$2:$B$10000,$A46)</f>
        <v>42.819299999999998</v>
      </c>
      <c r="X46">
        <f>SUMIFS(Fixed!X$2:X$10000,Fixed!$B$2:$B$10000,$A46)</f>
        <v>42.819299999999998</v>
      </c>
      <c r="Y46">
        <f>SUMIFS(Fixed!Y$2:Y$10000,Fixed!$B$2:$B$10000,$A46)</f>
        <v>42.819299999999998</v>
      </c>
      <c r="Z46">
        <f>SUMIFS(Fixed!Z$2:Z$10000,Fixed!$B$2:$B$10000,$A46)</f>
        <v>42.819299999999998</v>
      </c>
      <c r="AA46">
        <f>SUMIFS(Fixed!AA$2:AA$10000,Fixed!$B$2:$B$10000,$A46)</f>
        <v>42.819299999999998</v>
      </c>
      <c r="AB46">
        <f>SUMIFS(Fixed!AB$2:AB$10000,Fixed!$B$2:$B$10000,$A46)</f>
        <v>42.819299999999998</v>
      </c>
      <c r="AC46">
        <f>SUMIFS(Fixed!AC$2:AC$10000,Fixed!$B$2:$B$10000,$A46)</f>
        <v>71.759100000000004</v>
      </c>
      <c r="AD46">
        <f>SUMIFS(Fixed!AD$2:AD$10000,Fixed!$B$2:$B$10000,$A46)</f>
        <v>90.3643</v>
      </c>
      <c r="AE46">
        <f>SUMIFS(Fixed!AE$2:AE$10000,Fixed!$B$2:$B$10000,$A46)</f>
        <v>93.182100000000005</v>
      </c>
      <c r="AF46">
        <f>SUMIFS(Fixed!AF$2:AF$10000,Fixed!$B$2:$B$10000,$A46)</f>
        <v>103.13639999999999</v>
      </c>
      <c r="AG46">
        <f>SUMIFS(Fixed!AG$2:AG$10000,Fixed!$B$2:$B$10000,$A46)</f>
        <v>194.07329999999999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0</v>
      </c>
      <c r="T49">
        <f>SUMIFS(Fixed!T$2:T$10000,Fixed!$B$2:$B$10000,$A49)</f>
        <v>0</v>
      </c>
      <c r="U49">
        <f>SUMIFS(Fixed!U$2:U$10000,Fixed!$B$2:$B$10000,$A49)</f>
        <v>0</v>
      </c>
      <c r="V49">
        <f>SUMIFS(Fixed!V$2:V$10000,Fixed!$B$2:$B$10000,$A49)</f>
        <v>0</v>
      </c>
      <c r="W49">
        <f>SUMIFS(Fixed!W$2:W$10000,Fixed!$B$2:$B$10000,$A49)</f>
        <v>0</v>
      </c>
      <c r="X49">
        <f>SUMIFS(Fixed!X$2:X$10000,Fixed!$B$2:$B$10000,$A49)</f>
        <v>0</v>
      </c>
      <c r="Y49">
        <f>SUMIFS(Fixed!Y$2:Y$10000,Fixed!$B$2:$B$10000,$A49)</f>
        <v>0</v>
      </c>
      <c r="Z49">
        <f>SUMIFS(Fixed!Z$2:Z$10000,Fixed!$B$2:$B$10000,$A49)</f>
        <v>0</v>
      </c>
      <c r="AA49">
        <f>SUMIFS(Fixed!AA$2:AA$10000,Fixed!$B$2:$B$10000,$A49)</f>
        <v>0</v>
      </c>
      <c r="AB49">
        <f>SUMIFS(Fixed!AB$2:AB$10000,Fixed!$B$2:$B$10000,$A49)</f>
        <v>0</v>
      </c>
      <c r="AC49">
        <f>SUMIFS(Fixed!AC$2:AC$10000,Fixed!$B$2:$B$10000,$A49)</f>
        <v>0</v>
      </c>
      <c r="AD49">
        <f>SUMIFS(Fixed!AD$2:AD$10000,Fixed!$B$2:$B$10000,$A49)</f>
        <v>0</v>
      </c>
      <c r="AE49">
        <f>SUMIFS(Fixed!AE$2:AE$10000,Fixed!$B$2:$B$10000,$A49)</f>
        <v>0</v>
      </c>
      <c r="AF49">
        <f>SUMIFS(Fixed!AF$2:AF$10000,Fixed!$B$2:$B$10000,$A49)</f>
        <v>0</v>
      </c>
      <c r="AG49">
        <f>SUMIFS(Fixed!AG$2:AG$10000,Fixed!$B$2:$B$10000,$A49)</f>
        <v>0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31.201899999999998</v>
      </c>
      <c r="L50">
        <f>SUMIFS(Fixed!L$2:L$10000,Fixed!$B$2:$B$10000,$A50)</f>
        <v>30.287800000000001</v>
      </c>
      <c r="M50">
        <f>SUMIFS(Fixed!M$2:M$10000,Fixed!$B$2:$B$10000,$A50)</f>
        <v>84.868200000000002</v>
      </c>
      <c r="N50">
        <f>SUMIFS(Fixed!N$2:N$10000,Fixed!$B$2:$B$10000,$A50)</f>
        <v>83.630899999999997</v>
      </c>
      <c r="O50">
        <f>SUMIFS(Fixed!O$2:O$10000,Fixed!$B$2:$B$10000,$A50)</f>
        <v>82.393699999999995</v>
      </c>
      <c r="P50">
        <f>SUMIFS(Fixed!P$2:P$10000,Fixed!$B$2:$B$10000,$A50)</f>
        <v>81.168899999999994</v>
      </c>
      <c r="Q50">
        <f>SUMIFS(Fixed!Q$2:Q$10000,Fixed!$B$2:$B$10000,$A50)</f>
        <v>97.726699999999994</v>
      </c>
      <c r="R50">
        <f>SUMIFS(Fixed!R$2:R$10000,Fixed!$B$2:$B$10000,$A50)</f>
        <v>96.293899999999994</v>
      </c>
      <c r="S50">
        <f>SUMIFS(Fixed!S$2:S$10000,Fixed!$B$2:$B$10000,$A50)</f>
        <v>94.905199999999994</v>
      </c>
      <c r="T50">
        <f>SUMIFS(Fixed!T$2:T$10000,Fixed!$B$2:$B$10000,$A50)</f>
        <v>93.566000000000003</v>
      </c>
      <c r="U50">
        <f>SUMIFS(Fixed!U$2:U$10000,Fixed!$B$2:$B$10000,$A50)</f>
        <v>92.280500000000004</v>
      </c>
      <c r="V50">
        <f>SUMIFS(Fixed!V$2:V$10000,Fixed!$B$2:$B$10000,$A50)</f>
        <v>91.051199999999994</v>
      </c>
      <c r="W50">
        <f>SUMIFS(Fixed!W$2:W$10000,Fixed!$B$2:$B$10000,$A50)</f>
        <v>271.959</v>
      </c>
      <c r="X50">
        <f>SUMIFS(Fixed!X$2:X$10000,Fixed!$B$2:$B$10000,$A50)</f>
        <v>267.31900000000002</v>
      </c>
      <c r="Y50">
        <f>SUMIFS(Fixed!Y$2:Y$10000,Fixed!$B$2:$B$10000,$A50)</f>
        <v>263.48610000000002</v>
      </c>
      <c r="Z50">
        <f>SUMIFS(Fixed!Z$2:Z$10000,Fixed!$B$2:$B$10000,$A50)</f>
        <v>260.04730000000001</v>
      </c>
      <c r="AA50">
        <f>SUMIFS(Fixed!AA$2:AA$10000,Fixed!$B$2:$B$10000,$A50)</f>
        <v>256.79829999999998</v>
      </c>
      <c r="AB50">
        <f>SUMIFS(Fixed!AB$2:AB$10000,Fixed!$B$2:$B$10000,$A50)</f>
        <v>254.6138</v>
      </c>
      <c r="AC50">
        <f>SUMIFS(Fixed!AC$2:AC$10000,Fixed!$B$2:$B$10000,$A50)</f>
        <v>253.13919999999999</v>
      </c>
      <c r="AD50">
        <f>SUMIFS(Fixed!AD$2:AD$10000,Fixed!$B$2:$B$10000,$A50)</f>
        <v>252.26439999999999</v>
      </c>
      <c r="AE50">
        <f>SUMIFS(Fixed!AE$2:AE$10000,Fixed!$B$2:$B$10000,$A50)</f>
        <v>251.85919999999999</v>
      </c>
      <c r="AF50">
        <f>SUMIFS(Fixed!AF$2:AF$10000,Fixed!$B$2:$B$10000,$A50)</f>
        <v>251.93549999999999</v>
      </c>
      <c r="AG50">
        <f>SUMIFS(Fixed!AG$2:AG$10000,Fixed!$B$2:$B$10000,$A50)</f>
        <v>398.9194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27.5809</v>
      </c>
      <c r="E52">
        <f>SUMIFS(Fixed!E$2:E$10000,Fixed!$B$2:$B$10000,$A52)</f>
        <v>27.385999999999999</v>
      </c>
      <c r="F52">
        <f>SUMIFS(Fixed!F$2:F$10000,Fixed!$B$2:$B$10000,$A52)</f>
        <v>27.189800000000002</v>
      </c>
      <c r="G52">
        <f>SUMIFS(Fixed!G$2:G$10000,Fixed!$B$2:$B$10000,$A52)</f>
        <v>26.9925</v>
      </c>
      <c r="H52">
        <f>SUMIFS(Fixed!H$2:H$10000,Fixed!$B$2:$B$10000,$A52)</f>
        <v>26.794699999999999</v>
      </c>
      <c r="I52">
        <f>SUMIFS(Fixed!I$2:I$10000,Fixed!$B$2:$B$10000,$A52)</f>
        <v>26.597000000000001</v>
      </c>
      <c r="J52">
        <f>SUMIFS(Fixed!J$2:J$10000,Fixed!$B$2:$B$10000,$A52)</f>
        <v>26.400099999999998</v>
      </c>
      <c r="K52">
        <f>SUMIFS(Fixed!K$2:K$10000,Fixed!$B$2:$B$10000,$A52)</f>
        <v>26.2044</v>
      </c>
      <c r="L52">
        <f>SUMIFS(Fixed!L$2:L$10000,Fixed!$B$2:$B$10000,$A52)</f>
        <v>26.0108</v>
      </c>
      <c r="M52">
        <f>SUMIFS(Fixed!M$2:M$10000,Fixed!$B$2:$B$10000,$A52)</f>
        <v>24.562100000000001</v>
      </c>
      <c r="N52">
        <f>SUMIFS(Fixed!N$2:N$10000,Fixed!$B$2:$B$10000,$A52)</f>
        <v>24.3627</v>
      </c>
      <c r="O52">
        <f>SUMIFS(Fixed!O$2:O$10000,Fixed!$B$2:$B$10000,$A52)</f>
        <v>24.163900000000002</v>
      </c>
      <c r="P52">
        <f>SUMIFS(Fixed!P$2:P$10000,Fixed!$B$2:$B$10000,$A52)</f>
        <v>23.967600000000001</v>
      </c>
      <c r="Q52">
        <f>SUMIFS(Fixed!Q$2:Q$10000,Fixed!$B$2:$B$10000,$A52)</f>
        <v>23.775300000000001</v>
      </c>
      <c r="R52">
        <f>SUMIFS(Fixed!R$2:R$10000,Fixed!$B$2:$B$10000,$A52)</f>
        <v>23.588200000000001</v>
      </c>
      <c r="S52">
        <f>SUMIFS(Fixed!S$2:S$10000,Fixed!$B$2:$B$10000,$A52)</f>
        <v>23.4071</v>
      </c>
      <c r="T52">
        <f>SUMIFS(Fixed!T$2:T$10000,Fixed!$B$2:$B$10000,$A52)</f>
        <v>23.232700000000001</v>
      </c>
      <c r="U52">
        <f>SUMIFS(Fixed!U$2:U$10000,Fixed!$B$2:$B$10000,$A52)</f>
        <v>23.0655</v>
      </c>
      <c r="V52">
        <f>SUMIFS(Fixed!V$2:V$10000,Fixed!$B$2:$B$10000,$A52)</f>
        <v>11.909599999999999</v>
      </c>
      <c r="W52">
        <f>SUMIFS(Fixed!W$2:W$10000,Fixed!$B$2:$B$10000,$A52)</f>
        <v>8.5254999999999992</v>
      </c>
      <c r="X52">
        <f>SUMIFS(Fixed!X$2:X$10000,Fixed!$B$2:$B$10000,$A52)</f>
        <v>8.4525000000000006</v>
      </c>
      <c r="Y52">
        <f>SUMIFS(Fixed!Y$2:Y$10000,Fixed!$B$2:$B$10000,$A52)</f>
        <v>8.3869000000000007</v>
      </c>
      <c r="Z52">
        <f>SUMIFS(Fixed!Z$2:Z$10000,Fixed!$B$2:$B$10000,$A52)</f>
        <v>8.3277999999999999</v>
      </c>
      <c r="AA52">
        <f>SUMIFS(Fixed!AA$2:AA$10000,Fixed!$B$2:$B$10000,$A52)</f>
        <v>8.2745999999999995</v>
      </c>
      <c r="AB52">
        <f>SUMIFS(Fixed!AB$2:AB$10000,Fixed!$B$2:$B$10000,$A52)</f>
        <v>0</v>
      </c>
      <c r="AC52">
        <f>SUMIFS(Fixed!AC$2:AC$10000,Fixed!$B$2:$B$10000,$A52)</f>
        <v>0</v>
      </c>
      <c r="AD52">
        <f>SUMIFS(Fixed!AD$2:AD$10000,Fixed!$B$2:$B$10000,$A52)</f>
        <v>0</v>
      </c>
      <c r="AE52">
        <f>SUMIFS(Fixed!AE$2:AE$10000,Fixed!$B$2:$B$10000,$A52)</f>
        <v>0</v>
      </c>
      <c r="AF52">
        <f>SUMIFS(Fixed!AF$2:AF$10000,Fixed!$B$2:$B$10000,$A52)</f>
        <v>0</v>
      </c>
      <c r="AG52">
        <f>SUMIFS(Fixed!AG$2:AG$10000,Fixed!$B$2:$B$10000,$A52)</f>
        <v>0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2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820</v>
      </c>
      <c r="F59">
        <f>SUMIFS(Capital_Investments!F$2:F$10000,Capital_Investments!$B$2:$B$10000,$A59)</f>
        <v>60</v>
      </c>
      <c r="G59">
        <f>SUMIFS(Capital_Investments!G$2:G$10000,Capital_Investments!$B$2:$B$10000,$A59)</f>
        <v>99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37</v>
      </c>
      <c r="F61">
        <f>SUMIFS(Capital_Investments!F$2:F$10000,Capital_Investments!$B$2:$B$10000,$A61)</f>
        <v>0</v>
      </c>
      <c r="G61">
        <f>SUMIFS(Capital_Investments!G$2:G$10000,Capital_Investments!$B$2:$B$10000,$A61)</f>
        <v>0</v>
      </c>
      <c r="H61">
        <f>SUMIFS(Capital_Investments!H$2:H$10000,Capital_Investments!$B$2:$B$10000,$A61)</f>
        <v>357</v>
      </c>
      <c r="I61">
        <f>SUMIFS(Capital_Investments!I$2:I$10000,Capital_Investments!$B$2:$B$10000,$A61)</f>
        <v>0</v>
      </c>
      <c r="J61">
        <f>SUMIFS(Capital_Investments!J$2:J$10000,Capital_Investments!$B$2:$B$10000,$A61)</f>
        <v>0</v>
      </c>
      <c r="K61">
        <f>SUMIFS(Capital_Investments!K$2:K$10000,Capital_Investments!$B$2:$B$10000,$A61)</f>
        <v>0</v>
      </c>
      <c r="L61">
        <f>SUMIFS(Capital_Investments!L$2:L$10000,Capital_Investments!$B$2:$B$10000,$A61)</f>
        <v>0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0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0</v>
      </c>
      <c r="T61">
        <f>SUMIFS(Capital_Investments!T$2:T$10000,Capital_Investments!$B$2:$B$10000,$A61)</f>
        <v>0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0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1129.1443999999999</v>
      </c>
      <c r="E63">
        <f>SUMIFS(Capital_Investments!E$2:E$10000,Capital_Investments!$B$2:$B$10000,$A63)</f>
        <v>1198.2947999999999</v>
      </c>
      <c r="F63">
        <f>SUMIFS(Capital_Investments!F$2:F$10000,Capital_Investments!$B$2:$B$10000,$A63)</f>
        <v>0</v>
      </c>
      <c r="G63">
        <f>SUMIFS(Capital_Investments!G$2:G$10000,Capital_Investments!$B$2:$B$10000,$A63)</f>
        <v>934.46439999999996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1012.0767</v>
      </c>
      <c r="K63">
        <f>SUMIFS(Capital_Investments!K$2:K$10000,Capital_Investments!$B$2:$B$10000,$A63)</f>
        <v>765.18</v>
      </c>
      <c r="L63">
        <f>SUMIFS(Capital_Investments!L$2:L$10000,Capital_Investments!$B$2:$B$10000,$A63)</f>
        <v>4863.8531000000003</v>
      </c>
      <c r="M63">
        <f>SUMIFS(Capital_Investments!M$2:M$10000,Capital_Investments!$B$2:$B$10000,$A63)</f>
        <v>964.15260000000001</v>
      </c>
      <c r="N63">
        <f>SUMIFS(Capital_Investments!N$2:N$10000,Capital_Investments!$B$2:$B$10000,$A63)</f>
        <v>1103.9965</v>
      </c>
      <c r="O63">
        <f>SUMIFS(Capital_Investments!O$2:O$10000,Capital_Investments!$B$2:$B$10000,$A63)</f>
        <v>3132.2561999999998</v>
      </c>
      <c r="P63">
        <f>SUMIFS(Capital_Investments!P$2:P$10000,Capital_Investments!$B$2:$B$10000,$A63)</f>
        <v>1754.9277</v>
      </c>
      <c r="Q63">
        <f>SUMIFS(Capital_Investments!Q$2:Q$10000,Capital_Investments!$B$2:$B$10000,$A63)</f>
        <v>1884.9522999999999</v>
      </c>
      <c r="R63">
        <f>SUMIFS(Capital_Investments!R$2:R$10000,Capital_Investments!$B$2:$B$10000,$A63)</f>
        <v>1845.1280999999999</v>
      </c>
      <c r="S63">
        <f>SUMIFS(Capital_Investments!S$2:S$10000,Capital_Investments!$B$2:$B$10000,$A63)</f>
        <v>3534.2465000000002</v>
      </c>
      <c r="T63">
        <f>SUMIFS(Capital_Investments!T$2:T$10000,Capital_Investments!$B$2:$B$10000,$A63)</f>
        <v>3125.1370000000002</v>
      </c>
      <c r="U63">
        <f>SUMIFS(Capital_Investments!U$2:U$10000,Capital_Investments!$B$2:$B$10000,$A63)</f>
        <v>3106.6158</v>
      </c>
      <c r="V63">
        <f>SUMIFS(Capital_Investments!V$2:V$10000,Capital_Investments!$B$2:$B$10000,$A63)</f>
        <v>3128.7356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0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484.8974</v>
      </c>
      <c r="AG63">
        <f>SUMIFS(Capital_Investments!AG$2:AG$10000,Capital_Investments!$B$2:$B$10000,$A63)</f>
        <v>20928.813999999998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2486.1774999999998</v>
      </c>
      <c r="D66">
        <f>SUMIFS(Capital_Investments!D$2:D$10000,Capital_Investments!$B$2:$B$10000,$A66)</f>
        <v>0</v>
      </c>
      <c r="E66">
        <f>SUMIFS(Capital_Investments!E$2:E$10000,Capital_Investments!$B$2:$B$10000,$A66)</f>
        <v>27.014099999999999</v>
      </c>
      <c r="F66">
        <f>SUMIFS(Capital_Investments!F$2:F$10000,Capital_Investments!$B$2:$B$10000,$A66)</f>
        <v>79.513199999999998</v>
      </c>
      <c r="G66">
        <f>SUMIFS(Capital_Investments!G$2:G$10000,Capital_Investments!$B$2:$B$10000,$A66)</f>
        <v>59.8048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587.05499999999995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0</v>
      </c>
      <c r="V67">
        <f>SUMIFS(Capital_Investments!V$2:V$10000,Capital_Investments!$B$2:$B$10000,$A67)</f>
        <v>532.62440000000004</v>
      </c>
      <c r="W67">
        <f>SUMIFS(Capital_Investments!W$2:W$10000,Capital_Investments!$B$2:$B$10000,$A67)</f>
        <v>202.00239999999999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893.2681</v>
      </c>
      <c r="AD67">
        <f>SUMIFS(Capital_Investments!AD$2:AD$10000,Capital_Investments!$B$2:$B$10000,$A67)</f>
        <v>574.27769999999998</v>
      </c>
      <c r="AE67">
        <f>SUMIFS(Capital_Investments!AE$2:AE$10000,Capital_Investments!$B$2:$B$10000,$A67)</f>
        <v>86.975999999999999</v>
      </c>
      <c r="AF67">
        <f>SUMIFS(Capital_Investments!AF$2:AF$10000,Capital_Investments!$B$2:$B$10000,$A67)</f>
        <v>307.25459999999998</v>
      </c>
      <c r="AG67">
        <f>SUMIFS(Capital_Investments!AG$2:AG$10000,Capital_Investments!$B$2:$B$10000,$A67)</f>
        <v>3393.9580999999998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0</v>
      </c>
      <c r="AE70">
        <f>SUMIFS(Capital_Investments!AE$2:AE$10000,Capital_Investments!$B$2:$B$10000,$A70)</f>
        <v>0</v>
      </c>
      <c r="AF70">
        <f>SUMIFS(Capital_Investments!AF$2:AF$10000,Capital_Investments!$B$2:$B$10000,$A70)</f>
        <v>0</v>
      </c>
      <c r="AG70">
        <f>SUMIFS(Capital_Investments!AG$2:AG$10000,Capital_Investments!$B$2:$B$10000,$A70)</f>
        <v>0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4252.6674999999996</v>
      </c>
      <c r="N71">
        <f>SUMIFS(Capital_Investments!N$2:N$10000,Capital_Investments!$B$2:$B$10000,$A71)</f>
        <v>0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1216.0231000000001</v>
      </c>
      <c r="R71">
        <f>SUMIFS(Capital_Investments!R$2:R$10000,Capital_Investments!$B$2:$B$10000,$A71)</f>
        <v>0</v>
      </c>
      <c r="S71">
        <f>SUMIFS(Capital_Investments!S$2:S$10000,Capital_Investments!$B$2:$B$10000,$A71)</f>
        <v>0</v>
      </c>
      <c r="T71">
        <f>SUMIFS(Capital_Investments!T$2:T$10000,Capital_Investments!$B$2:$B$10000,$A71)</f>
        <v>0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11778.893</v>
      </c>
      <c r="X71">
        <f>SUMIFS(Capital_Investments!X$2:X$10000,Capital_Investments!$B$2:$B$10000,$A71)</f>
        <v>0</v>
      </c>
      <c r="Y71">
        <f>SUMIFS(Capital_Investments!Y$2:Y$10000,Capital_Investments!$B$2:$B$10000,$A71)</f>
        <v>21.5258</v>
      </c>
      <c r="Z71">
        <f>SUMIFS(Capital_Investments!Z$2:Z$10000,Capital_Investments!$B$2:$B$10000,$A71)</f>
        <v>20.137499999999999</v>
      </c>
      <c r="AA71">
        <f>SUMIFS(Capital_Investments!AA$2:AA$10000,Capital_Investments!$B$2:$B$10000,$A71)</f>
        <v>17.750800000000002</v>
      </c>
      <c r="AB71">
        <f>SUMIFS(Capital_Investments!AB$2:AB$10000,Capital_Investments!$B$2:$B$10000,$A71)</f>
        <v>81.8108</v>
      </c>
      <c r="AC71">
        <f>SUMIFS(Capital_Investments!AC$2:AC$10000,Capital_Investments!$B$2:$B$10000,$A71)</f>
        <v>330.33249999999998</v>
      </c>
      <c r="AD71">
        <f>SUMIFS(Capital_Investments!AD$2:AD$10000,Capital_Investments!$B$2:$B$10000,$A71)</f>
        <v>130.45349999999999</v>
      </c>
      <c r="AE71">
        <f>SUMIFS(Capital_Investments!AE$2:AE$10000,Capital_Investments!$B$2:$B$10000,$A71)</f>
        <v>110.1559</v>
      </c>
      <c r="AF71">
        <f>SUMIFS(Capital_Investments!AF$2:AF$10000,Capital_Investments!$B$2:$B$10000,$A71)</f>
        <v>143.35040000000001</v>
      </c>
      <c r="AG71">
        <f>SUMIFS(Capital_Investments!AG$2:AG$10000,Capital_Investments!$B$2:$B$10000,$A71)</f>
        <v>9128.9716000000008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0</v>
      </c>
      <c r="E73">
        <f>SUMIFS(Capital_Investments!E$2:E$10000,Capital_Investments!$B$2:$B$10000,$A73)</f>
        <v>0</v>
      </c>
      <c r="F73">
        <f>SUMIFS(Capital_Investments!F$2:F$10000,Capital_Investments!$B$2:$B$10000,$A73)</f>
        <v>0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1798</v>
      </c>
      <c r="E74">
        <f>SUMIFS(Capital_Investments!E$2:E$10000,Capital_Investments!$B$2:$B$10000,$A74)</f>
        <v>973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112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2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0</v>
      </c>
      <c r="I76">
        <f>SUMIFS(Capital_Investments!I$2:I$10000,Capital_Investments!$B$2:$B$10000,$A76)</f>
        <v>0</v>
      </c>
      <c r="J76">
        <f>SUMIFS(Capital_Investments!J$2:J$10000,Capital_Investments!$B$2:$B$10000,$A76)</f>
        <v>0</v>
      </c>
      <c r="K76">
        <f>SUMIFS(Capital_Investments!K$2:K$10000,Capital_Investments!$B$2:$B$10000,$A76)</f>
        <v>0</v>
      </c>
      <c r="L76">
        <f>SUMIFS(Capital_Investments!L$2:L$10000,Capital_Investments!$B$2:$B$10000,$A76)</f>
        <v>0</v>
      </c>
      <c r="M76">
        <f>SUMIFS(Capital_Investments!M$2:M$10000,Capital_Investments!$B$2:$B$10000,$A76)</f>
        <v>0</v>
      </c>
      <c r="N76">
        <f>SUMIFS(Capital_Investments!N$2:N$10000,Capital_Investments!$B$2:$B$10000,$A76)</f>
        <v>0</v>
      </c>
      <c r="O76">
        <f>SUMIFS(Capital_Investments!O$2:O$10000,Capital_Investments!$B$2:$B$10000,$A76)</f>
        <v>0</v>
      </c>
      <c r="P76">
        <f>SUMIFS(Capital_Investments!P$2:P$10000,Capital_Investments!$B$2:$B$10000,$A76)</f>
        <v>0</v>
      </c>
      <c r="Q76">
        <f>SUMIFS(Capital_Investments!Q$2:Q$10000,Capital_Investments!$B$2:$B$10000,$A76)</f>
        <v>0</v>
      </c>
      <c r="R76">
        <f>SUMIFS(Capital_Investments!R$2:R$10000,Capital_Investments!$B$2:$B$10000,$A76)</f>
        <v>0</v>
      </c>
      <c r="S76">
        <f>SUMIFS(Capital_Investments!S$2:S$10000,Capital_Investments!$B$2:$B$10000,$A76)</f>
        <v>0</v>
      </c>
      <c r="T76">
        <f>SUMIFS(Capital_Investments!T$2:T$10000,Capital_Investments!$B$2:$B$10000,$A76)</f>
        <v>0</v>
      </c>
      <c r="U76">
        <f>SUMIFS(Capital_Investments!U$2:U$10000,Capital_Investments!$B$2:$B$10000,$A76)</f>
        <v>0</v>
      </c>
      <c r="V76">
        <f>SUMIFS(Capital_Investments!V$2:V$10000,Capital_Investments!$B$2:$B$10000,$A76)</f>
        <v>0</v>
      </c>
      <c r="W76">
        <f>SUMIFS(Capital_Investments!W$2:W$10000,Capital_Investments!$B$2:$B$10000,$A76)</f>
        <v>0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0</v>
      </c>
    </row>
    <row r="77" spans="1:58">
      <c r="A77" t="s">
        <v>269</v>
      </c>
      <c r="C77" s="27">
        <f t="shared" ref="C77:T77" si="7">SUM(C59:C76)</f>
        <v>2844.1750999999999</v>
      </c>
      <c r="D77" s="27">
        <f t="shared" si="7"/>
        <v>3215.6944999999996</v>
      </c>
      <c r="E77" s="27">
        <f t="shared" si="7"/>
        <v>3334.6460999999995</v>
      </c>
      <c r="F77" s="27">
        <f t="shared" si="7"/>
        <v>277.59190000000001</v>
      </c>
      <c r="G77" s="27">
        <f t="shared" si="7"/>
        <v>2053.5827999999997</v>
      </c>
      <c r="H77" s="27">
        <f t="shared" si="7"/>
        <v>1168.3835999999999</v>
      </c>
      <c r="I77" s="27">
        <f t="shared" si="7"/>
        <v>0</v>
      </c>
      <c r="J77" s="27">
        <f t="shared" si="7"/>
        <v>1012.0767</v>
      </c>
      <c r="K77" s="27">
        <f t="shared" si="7"/>
        <v>765.18</v>
      </c>
      <c r="L77" s="27">
        <f t="shared" si="7"/>
        <v>4863.8531000000003</v>
      </c>
      <c r="M77" s="27">
        <f t="shared" si="7"/>
        <v>5216.8200999999999</v>
      </c>
      <c r="N77" s="27">
        <f t="shared" si="7"/>
        <v>1103.9965</v>
      </c>
      <c r="O77" s="27">
        <f t="shared" si="7"/>
        <v>3132.2561999999998</v>
      </c>
      <c r="P77" s="27">
        <f t="shared" si="7"/>
        <v>1754.9277</v>
      </c>
      <c r="Q77" s="27">
        <f t="shared" si="7"/>
        <v>3100.9754000000003</v>
      </c>
      <c r="R77" s="27">
        <f t="shared" si="7"/>
        <v>1845.1280999999999</v>
      </c>
      <c r="S77" s="27">
        <f t="shared" si="7"/>
        <v>3534.2465000000002</v>
      </c>
      <c r="T77" s="27">
        <f t="shared" si="7"/>
        <v>3125.1370000000002</v>
      </c>
      <c r="U77" s="27">
        <f>SUM(U59:U76)</f>
        <v>3106.6158</v>
      </c>
      <c r="V77" s="27">
        <f t="shared" ref="V77:AG77" si="8">SUM(V59:V76)</f>
        <v>3661.36</v>
      </c>
      <c r="W77" s="27">
        <f t="shared" si="8"/>
        <v>11980.895399999999</v>
      </c>
      <c r="X77" s="27">
        <f t="shared" si="8"/>
        <v>0</v>
      </c>
      <c r="Y77" s="27">
        <f t="shared" si="8"/>
        <v>21.5258</v>
      </c>
      <c r="Z77" s="27">
        <f t="shared" si="8"/>
        <v>20.137499999999999</v>
      </c>
      <c r="AA77" s="27">
        <f t="shared" si="8"/>
        <v>17.750800000000002</v>
      </c>
      <c r="AB77" s="27">
        <f t="shared" si="8"/>
        <v>81.8108</v>
      </c>
      <c r="AC77" s="27">
        <f t="shared" si="8"/>
        <v>1223.6006</v>
      </c>
      <c r="AD77" s="27">
        <f t="shared" si="8"/>
        <v>704.73119999999994</v>
      </c>
      <c r="AE77" s="27">
        <f t="shared" si="8"/>
        <v>197.1319</v>
      </c>
      <c r="AF77" s="27">
        <f t="shared" si="8"/>
        <v>935.50240000000008</v>
      </c>
      <c r="AG77" s="27">
        <f t="shared" si="8"/>
        <v>33451.743699999999</v>
      </c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SUMIFS(Annualized_Investments!C$2:C$9989,Annualized_Investments!$B$2:$B$9989,$A80)</f>
        <v>0</v>
      </c>
      <c r="D80">
        <f>SUMIFS(Annualized_Investments!D$2:D$9989,Annualized_Investments!$B$2:$B$9989,$A80)</f>
        <v>0</v>
      </c>
      <c r="E80">
        <f>SUMIFS(Annualized_Investments!E$2:E$9989,Annualized_Investments!$B$2:$B$9989,$A80)</f>
        <v>45.512468720100003</v>
      </c>
      <c r="F80">
        <f>SUMIFS(Annualized_Investments!F$2:F$9989,Annualized_Investments!$B$2:$B$9989,$A80)</f>
        <v>48.842649358199999</v>
      </c>
      <c r="G80">
        <f>SUMIFS(Annualized_Investments!G$2:G$9989,Annualized_Investments!$B$2:$B$9989,$A80)</f>
        <v>54.337447410999999</v>
      </c>
      <c r="H80">
        <f>SUMIFS(Annualized_Investments!H$2:H$9989,Annualized_Investments!$B$2:$B$9989,$A80)</f>
        <v>54.337447410999999</v>
      </c>
      <c r="I80">
        <f>SUMIFS(Annualized_Investments!I$2:I$9989,Annualized_Investments!$B$2:$B$9989,$A80)</f>
        <v>54.337447410999999</v>
      </c>
      <c r="J80">
        <f>SUMIFS(Annualized_Investments!J$2:J$9989,Annualized_Investments!$B$2:$B$9989,$A80)</f>
        <v>54.337447410999999</v>
      </c>
      <c r="K80">
        <f>SUMIFS(Annualized_Investments!K$2:K$9989,Annualized_Investments!$B$2:$B$9989,$A80)</f>
        <v>54.337447410999999</v>
      </c>
      <c r="L80">
        <f>SUMIFS(Annualized_Investments!L$2:L$9989,Annualized_Investments!$B$2:$B$9989,$A80)</f>
        <v>54.337447410999999</v>
      </c>
      <c r="M80">
        <f>SUMIFS(Annualized_Investments!M$2:M$9989,Annualized_Investments!$B$2:$B$9989,$A80)</f>
        <v>54.337447410999999</v>
      </c>
      <c r="N80">
        <f>SUMIFS(Annualized_Investments!N$2:N$9989,Annualized_Investments!$B$2:$B$9989,$A80)</f>
        <v>54.337447410999999</v>
      </c>
      <c r="O80">
        <f>SUMIFS(Annualized_Investments!O$2:O$9989,Annualized_Investments!$B$2:$B$9989,$A80)</f>
        <v>54.337447410999999</v>
      </c>
      <c r="P80">
        <f>SUMIFS(Annualized_Investments!P$2:P$9989,Annualized_Investments!$B$2:$B$9989,$A80)</f>
        <v>54.337447410999999</v>
      </c>
      <c r="Q80">
        <f>SUMIFS(Annualized_Investments!Q$2:Q$9989,Annualized_Investments!$B$2:$B$9989,$A80)</f>
        <v>54.337447410999999</v>
      </c>
      <c r="R80">
        <f>SUMIFS(Annualized_Investments!R$2:R$9989,Annualized_Investments!$B$2:$B$9989,$A80)</f>
        <v>54.337447410999999</v>
      </c>
      <c r="S80">
        <f>SUMIFS(Annualized_Investments!S$2:S$9989,Annualized_Investments!$B$2:$B$9989,$A80)</f>
        <v>54.337447410999999</v>
      </c>
      <c r="T80">
        <f>SUMIFS(Annualized_Investments!T$2:T$9989,Annualized_Investments!$B$2:$B$9989,$A80)</f>
        <v>54.337447410999999</v>
      </c>
      <c r="U80">
        <f>SUMIFS(Annualized_Investments!U$2:U$9989,Annualized_Investments!$B$2:$B$9989,$A80)</f>
        <v>54.337447410999999</v>
      </c>
      <c r="V80">
        <f>SUMIFS(Annualized_Investments!V$2:V$9989,Annualized_Investments!$B$2:$B$9989,$A80)</f>
        <v>54.337447410999999</v>
      </c>
      <c r="W80">
        <f>SUMIFS(Annualized_Investments!W$2:W$9989,Annualized_Investments!$B$2:$B$9989,$A80)</f>
        <v>54.337447410999999</v>
      </c>
      <c r="X80">
        <f>SUMIFS(Annualized_Investments!X$2:X$9989,Annualized_Investments!$B$2:$B$9989,$A80)</f>
        <v>54.337447410999999</v>
      </c>
      <c r="Y80">
        <f>SUMIFS(Annualized_Investments!Y$2:Y$9989,Annualized_Investments!$B$2:$B$9989,$A80)</f>
        <v>54.337447410999999</v>
      </c>
      <c r="Z80">
        <f>SUMIFS(Annualized_Investments!Z$2:Z$9989,Annualized_Investments!$B$2:$B$9989,$A80)</f>
        <v>54.337447410999999</v>
      </c>
      <c r="AA80">
        <f>SUMIFS(Annualized_Investments!AA$2:AA$9989,Annualized_Investments!$B$2:$B$9989,$A80)</f>
        <v>54.337447410999999</v>
      </c>
      <c r="AB80">
        <f>SUMIFS(Annualized_Investments!AB$2:AB$9989,Annualized_Investments!$B$2:$B$9989,$A80)</f>
        <v>54.337447410999999</v>
      </c>
      <c r="AC80">
        <f>SUMIFS(Annualized_Investments!AC$2:AC$9989,Annualized_Investments!$B$2:$B$9989,$A80)</f>
        <v>54.337447410999999</v>
      </c>
      <c r="AD80">
        <f>SUMIFS(Annualized_Investments!AD$2:AD$9989,Annualized_Investments!$B$2:$B$9989,$A80)</f>
        <v>54.337447410999999</v>
      </c>
      <c r="AE80">
        <f>SUMIFS(Annualized_Investments!AE$2:AE$9989,Annualized_Investments!$B$2:$B$9989,$A80)</f>
        <v>54.337447410999999</v>
      </c>
      <c r="AF80">
        <f>SUMIFS(Annualized_Investments!AF$2:AF$9989,Annualized_Investments!$B$2:$B$9989,$A80)</f>
        <v>54.337447410999999</v>
      </c>
      <c r="AG80">
        <f>SUMIFS(Annualized_Investments!AG$2:AG$9989,Annualized_Investments!$B$2:$B$9989,$A80)</f>
        <v>54.337447410999999</v>
      </c>
    </row>
    <row r="81" spans="1:33">
      <c r="A81" t="s">
        <v>133</v>
      </c>
      <c r="C81">
        <f>SUMIFS(Annualized_Investments!C$2:C$9989,Annualized_Investments!$B$2:$B$9989,$A81)</f>
        <v>0</v>
      </c>
      <c r="D81">
        <f>SUMIFS(Annualized_Investments!D$2:D$9989,Annualized_Investments!$B$2:$B$9989,$A81)</f>
        <v>0</v>
      </c>
      <c r="E81">
        <f>SUMIFS(Annualized_Investments!E$2:E$9989,Annualized_Investments!$B$2:$B$9989,$A81)</f>
        <v>0</v>
      </c>
      <c r="F81">
        <f>SUMIFS(Annualized_Investments!F$2:F$9989,Annualized_Investments!$B$2:$B$9989,$A81)</f>
        <v>0</v>
      </c>
      <c r="G81">
        <f>SUMIFS(Annualized_Investments!G$2:G$9989,Annualized_Investments!$B$2:$B$9989,$A81)</f>
        <v>0</v>
      </c>
      <c r="H81">
        <f>SUMIFS(Annualized_Investments!H$2:H$9989,Annualized_Investments!$B$2:$B$9989,$A81)</f>
        <v>0</v>
      </c>
      <c r="I81">
        <f>SUMIFS(Annualized_Investments!I$2:I$9989,Annualized_Investments!$B$2:$B$9989,$A81)</f>
        <v>0</v>
      </c>
      <c r="J81">
        <f>SUMIFS(Annualized_Investments!J$2:J$9989,Annualized_Investments!$B$2:$B$9989,$A81)</f>
        <v>0</v>
      </c>
      <c r="K81">
        <f>SUMIFS(Annualized_Investments!K$2:K$9989,Annualized_Investments!$B$2:$B$9989,$A81)</f>
        <v>0</v>
      </c>
      <c r="L81">
        <f>SUMIFS(Annualized_Investments!L$2:L$9989,Annualized_Investments!$B$2:$B$9989,$A81)</f>
        <v>0</v>
      </c>
      <c r="M81">
        <f>SUMIFS(Annualized_Investments!M$2:M$9989,Annualized_Investments!$B$2:$B$9989,$A81)</f>
        <v>0</v>
      </c>
      <c r="N81">
        <f>SUMIFS(Annualized_Investments!N$2:N$9989,Annualized_Investments!$B$2:$B$9989,$A81)</f>
        <v>0</v>
      </c>
      <c r="O81">
        <f>SUMIFS(Annualized_Investments!O$2:O$9989,Annualized_Investments!$B$2:$B$9989,$A81)</f>
        <v>0</v>
      </c>
      <c r="P81">
        <f>SUMIFS(Annualized_Investments!P$2:P$9989,Annualized_Investments!$B$2:$B$9989,$A81)</f>
        <v>0</v>
      </c>
      <c r="Q81">
        <f>SUMIFS(Annualized_Investments!Q$2:Q$9989,Annualized_Investments!$B$2:$B$9989,$A81)</f>
        <v>0</v>
      </c>
      <c r="R81">
        <f>SUMIFS(Annualized_Investments!R$2:R$9989,Annualized_Investments!$B$2:$B$9989,$A81)</f>
        <v>0</v>
      </c>
      <c r="S81">
        <f>SUMIFS(Annualized_Investments!S$2:S$9989,Annualized_Investments!$B$2:$B$9989,$A81)</f>
        <v>0</v>
      </c>
      <c r="T81">
        <f>SUMIFS(Annualized_Investments!T$2:T$9989,Annualized_Investments!$B$2:$B$9989,$A81)</f>
        <v>0</v>
      </c>
      <c r="U81">
        <f>SUMIFS(Annualized_Investments!U$2:U$9989,Annualized_Investments!$B$2:$B$9989,$A81)</f>
        <v>0</v>
      </c>
      <c r="V81">
        <f>SUMIFS(Annualized_Investments!V$2:V$9989,Annualized_Investments!$B$2:$B$9989,$A81)</f>
        <v>0</v>
      </c>
      <c r="W81">
        <f>SUMIFS(Annualized_Investments!W$2:W$9989,Annualized_Investments!$B$2:$B$9989,$A81)</f>
        <v>0</v>
      </c>
      <c r="X81">
        <f>SUMIFS(Annualized_Investments!X$2:X$9989,Annualized_Investments!$B$2:$B$9989,$A81)</f>
        <v>0</v>
      </c>
      <c r="Y81">
        <f>SUMIFS(Annualized_Investments!Y$2:Y$9989,Annualized_Investments!$B$2:$B$9989,$A81)</f>
        <v>0</v>
      </c>
      <c r="Z81">
        <f>SUMIFS(Annualized_Investments!Z$2:Z$9989,Annualized_Investments!$B$2:$B$9989,$A81)</f>
        <v>0</v>
      </c>
      <c r="AA81">
        <f>SUMIFS(Annualized_Investments!AA$2:AA$9989,Annualized_Investments!$B$2:$B$9989,$A81)</f>
        <v>0</v>
      </c>
      <c r="AB81">
        <f>SUMIFS(Annualized_Investments!AB$2:AB$9989,Annualized_Investments!$B$2:$B$9989,$A81)</f>
        <v>0</v>
      </c>
      <c r="AC81">
        <f>SUMIFS(Annualized_Investments!AC$2:AC$9989,Annualized_Investments!$B$2:$B$9989,$A81)</f>
        <v>0</v>
      </c>
      <c r="AD81">
        <f>SUMIFS(Annualized_Investments!AD$2:AD$9989,Annualized_Investments!$B$2:$B$9989,$A81)</f>
        <v>0</v>
      </c>
      <c r="AE81">
        <f>SUMIFS(Annualized_Investments!AE$2:AE$9989,Annualized_Investments!$B$2:$B$9989,$A81)</f>
        <v>0</v>
      </c>
      <c r="AF81">
        <f>SUMIFS(Annualized_Investments!AF$2:AF$9989,Annualized_Investments!$B$2:$B$9989,$A81)</f>
        <v>0</v>
      </c>
      <c r="AG81">
        <f>SUMIFS(Annualized_Investments!AG$2:AG$9989,Annualized_Investments!$B$2:$B$9989,$A81)</f>
        <v>0</v>
      </c>
    </row>
    <row r="82" spans="1:33">
      <c r="A82" t="s">
        <v>138</v>
      </c>
      <c r="C82">
        <f>SUMIFS(Annualized_Investments!C$2:C$9989,Annualized_Investments!$B$2:$B$9989,$A82)</f>
        <v>0</v>
      </c>
      <c r="D82">
        <f>SUMIFS(Annualized_Investments!D$2:D$9989,Annualized_Investments!$B$2:$B$9989,$A82)</f>
        <v>0</v>
      </c>
      <c r="E82">
        <f>SUMIFS(Annualized_Investments!E$2:E$9989,Annualized_Investments!$B$2:$B$9989,$A82)</f>
        <v>2.0536113935000002</v>
      </c>
      <c r="F82">
        <f>SUMIFS(Annualized_Investments!F$2:F$9989,Annualized_Investments!$B$2:$B$9989,$A82)</f>
        <v>2.0536113935000002</v>
      </c>
      <c r="G82">
        <f>SUMIFS(Annualized_Investments!G$2:G$9989,Annualized_Investments!$B$2:$B$9989,$A82)</f>
        <v>2.0536113935000002</v>
      </c>
      <c r="H82">
        <f>SUMIFS(Annualized_Investments!H$2:H$9989,Annualized_Investments!$B$2:$B$9989,$A82)</f>
        <v>21.868186189900001</v>
      </c>
      <c r="I82">
        <f>SUMIFS(Annualized_Investments!I$2:I$9989,Annualized_Investments!$B$2:$B$9989,$A82)</f>
        <v>21.868186189900001</v>
      </c>
      <c r="J82">
        <f>SUMIFS(Annualized_Investments!J$2:J$9989,Annualized_Investments!$B$2:$B$9989,$A82)</f>
        <v>21.868186189900001</v>
      </c>
      <c r="K82">
        <f>SUMIFS(Annualized_Investments!K$2:K$9989,Annualized_Investments!$B$2:$B$9989,$A82)</f>
        <v>21.868186189900001</v>
      </c>
      <c r="L82">
        <f>SUMIFS(Annualized_Investments!L$2:L$9989,Annualized_Investments!$B$2:$B$9989,$A82)</f>
        <v>21.868186189900001</v>
      </c>
      <c r="M82">
        <f>SUMIFS(Annualized_Investments!M$2:M$9989,Annualized_Investments!$B$2:$B$9989,$A82)</f>
        <v>21.868186189900001</v>
      </c>
      <c r="N82">
        <f>SUMIFS(Annualized_Investments!N$2:N$9989,Annualized_Investments!$B$2:$B$9989,$A82)</f>
        <v>21.868186189900001</v>
      </c>
      <c r="O82">
        <f>SUMIFS(Annualized_Investments!O$2:O$9989,Annualized_Investments!$B$2:$B$9989,$A82)</f>
        <v>21.868186189900001</v>
      </c>
      <c r="P82">
        <f>SUMIFS(Annualized_Investments!P$2:P$9989,Annualized_Investments!$B$2:$B$9989,$A82)</f>
        <v>21.868186189900001</v>
      </c>
      <c r="Q82">
        <f>SUMIFS(Annualized_Investments!Q$2:Q$9989,Annualized_Investments!$B$2:$B$9989,$A82)</f>
        <v>21.868186189900001</v>
      </c>
      <c r="R82">
        <f>SUMIFS(Annualized_Investments!R$2:R$9989,Annualized_Investments!$B$2:$B$9989,$A82)</f>
        <v>21.868186189900001</v>
      </c>
      <c r="S82">
        <f>SUMIFS(Annualized_Investments!S$2:S$9989,Annualized_Investments!$B$2:$B$9989,$A82)</f>
        <v>21.868186189900001</v>
      </c>
      <c r="T82">
        <f>SUMIFS(Annualized_Investments!T$2:T$9989,Annualized_Investments!$B$2:$B$9989,$A82)</f>
        <v>21.868186189900001</v>
      </c>
      <c r="U82">
        <f>SUMIFS(Annualized_Investments!U$2:U$9989,Annualized_Investments!$B$2:$B$9989,$A82)</f>
        <v>21.868186189900001</v>
      </c>
      <c r="V82">
        <f>SUMIFS(Annualized_Investments!V$2:V$9989,Annualized_Investments!$B$2:$B$9989,$A82)</f>
        <v>21.868186189900001</v>
      </c>
      <c r="W82">
        <f>SUMIFS(Annualized_Investments!W$2:W$9989,Annualized_Investments!$B$2:$B$9989,$A82)</f>
        <v>21.868186189900001</v>
      </c>
      <c r="X82">
        <f>SUMIFS(Annualized_Investments!X$2:X$9989,Annualized_Investments!$B$2:$B$9989,$A82)</f>
        <v>21.868186189900001</v>
      </c>
      <c r="Y82">
        <f>SUMIFS(Annualized_Investments!Y$2:Y$9989,Annualized_Investments!$B$2:$B$9989,$A82)</f>
        <v>21.868186189900001</v>
      </c>
      <c r="Z82">
        <f>SUMIFS(Annualized_Investments!Z$2:Z$9989,Annualized_Investments!$B$2:$B$9989,$A82)</f>
        <v>21.868186189900001</v>
      </c>
      <c r="AA82">
        <f>SUMIFS(Annualized_Investments!AA$2:AA$9989,Annualized_Investments!$B$2:$B$9989,$A82)</f>
        <v>21.868186189900001</v>
      </c>
      <c r="AB82">
        <f>SUMIFS(Annualized_Investments!AB$2:AB$9989,Annualized_Investments!$B$2:$B$9989,$A82)</f>
        <v>21.868186189900001</v>
      </c>
      <c r="AC82">
        <f>SUMIFS(Annualized_Investments!AC$2:AC$9989,Annualized_Investments!$B$2:$B$9989,$A82)</f>
        <v>21.868186189900001</v>
      </c>
      <c r="AD82">
        <f>SUMIFS(Annualized_Investments!AD$2:AD$9989,Annualized_Investments!$B$2:$B$9989,$A82)</f>
        <v>21.868186189900001</v>
      </c>
      <c r="AE82">
        <f>SUMIFS(Annualized_Investments!AE$2:AE$9989,Annualized_Investments!$B$2:$B$9989,$A82)</f>
        <v>21.868186189900001</v>
      </c>
      <c r="AF82">
        <f>SUMIFS(Annualized_Investments!AF$2:AF$9989,Annualized_Investments!$B$2:$B$9989,$A82)</f>
        <v>21.868186189900001</v>
      </c>
      <c r="AG82">
        <f>SUMIFS(Annualized_Investments!AG$2:AG$9989,Annualized_Investments!$B$2:$B$9989,$A82)</f>
        <v>21.868186189900001</v>
      </c>
    </row>
    <row r="83" spans="1:33">
      <c r="A83" t="s">
        <v>141</v>
      </c>
      <c r="C83">
        <f>SUMIFS(Annualized_Investments!C$2:C$9989,Annualized_Investments!$B$2:$B$9989,$A83)</f>
        <v>0</v>
      </c>
      <c r="D83">
        <f>SUMIFS(Annualized_Investments!D$2:D$9989,Annualized_Investments!$B$2:$B$9989,$A83)</f>
        <v>0</v>
      </c>
      <c r="E83">
        <f>SUMIFS(Annualized_Investments!E$2:E$9989,Annualized_Investments!$B$2:$B$9989,$A83)</f>
        <v>0</v>
      </c>
      <c r="F83">
        <f>SUMIFS(Annualized_Investments!F$2:F$9989,Annualized_Investments!$B$2:$B$9989,$A83)</f>
        <v>0</v>
      </c>
      <c r="G83">
        <f>SUMIFS(Annualized_Investments!G$2:G$9989,Annualized_Investments!$B$2:$B$9989,$A83)</f>
        <v>0</v>
      </c>
      <c r="H83">
        <f>SUMIFS(Annualized_Investments!H$2:H$9989,Annualized_Investments!$B$2:$B$9989,$A83)</f>
        <v>0</v>
      </c>
      <c r="I83">
        <f>SUMIFS(Annualized_Investments!I$2:I$9989,Annualized_Investments!$B$2:$B$9989,$A83)</f>
        <v>0</v>
      </c>
      <c r="J83">
        <f>SUMIFS(Annualized_Investments!J$2:J$9989,Annualized_Investments!$B$2:$B$9989,$A83)</f>
        <v>0</v>
      </c>
      <c r="K83">
        <f>SUMIFS(Annualized_Investments!K$2:K$9989,Annualized_Investments!$B$2:$B$9989,$A83)</f>
        <v>0</v>
      </c>
      <c r="L83">
        <f>SUMIFS(Annualized_Investments!L$2:L$9989,Annualized_Investments!$B$2:$B$9989,$A83)</f>
        <v>0</v>
      </c>
      <c r="M83">
        <f>SUMIFS(Annualized_Investments!M$2:M$9989,Annualized_Investments!$B$2:$B$9989,$A83)</f>
        <v>0</v>
      </c>
      <c r="N83">
        <f>SUMIFS(Annualized_Investments!N$2:N$9989,Annualized_Investments!$B$2:$B$9989,$A83)</f>
        <v>0</v>
      </c>
      <c r="O83">
        <f>SUMIFS(Annualized_Investments!O$2:O$9989,Annualized_Investments!$B$2:$B$9989,$A83)</f>
        <v>0</v>
      </c>
      <c r="P83">
        <f>SUMIFS(Annualized_Investments!P$2:P$9989,Annualized_Investments!$B$2:$B$9989,$A83)</f>
        <v>0</v>
      </c>
      <c r="Q83">
        <f>SUMIFS(Annualized_Investments!Q$2:Q$9989,Annualized_Investments!$B$2:$B$9989,$A83)</f>
        <v>0</v>
      </c>
      <c r="R83">
        <f>SUMIFS(Annualized_Investments!R$2:R$9989,Annualized_Investments!$B$2:$B$9989,$A83)</f>
        <v>0</v>
      </c>
      <c r="S83">
        <f>SUMIFS(Annualized_Investments!S$2:S$9989,Annualized_Investments!$B$2:$B$9989,$A83)</f>
        <v>0</v>
      </c>
      <c r="T83">
        <f>SUMIFS(Annualized_Investments!T$2:T$9989,Annualized_Investments!$B$2:$B$9989,$A83)</f>
        <v>0</v>
      </c>
      <c r="U83">
        <f>SUMIFS(Annualized_Investments!U$2:U$9989,Annualized_Investments!$B$2:$B$9989,$A83)</f>
        <v>0</v>
      </c>
      <c r="V83">
        <f>SUMIFS(Annualized_Investments!V$2:V$9989,Annualized_Investments!$B$2:$B$9989,$A83)</f>
        <v>0</v>
      </c>
      <c r="W83">
        <f>SUMIFS(Annualized_Investments!W$2:W$9989,Annualized_Investments!$B$2:$B$9989,$A83)</f>
        <v>0</v>
      </c>
      <c r="X83">
        <f>SUMIFS(Annualized_Investments!X$2:X$9989,Annualized_Investments!$B$2:$B$9989,$A83)</f>
        <v>0</v>
      </c>
      <c r="Y83">
        <f>SUMIFS(Annualized_Investments!Y$2:Y$9989,Annualized_Investments!$B$2:$B$9989,$A83)</f>
        <v>0</v>
      </c>
      <c r="Z83">
        <f>SUMIFS(Annualized_Investments!Z$2:Z$9989,Annualized_Investments!$B$2:$B$9989,$A83)</f>
        <v>0</v>
      </c>
      <c r="AA83">
        <f>SUMIFS(Annualized_Investments!AA$2:AA$9989,Annualized_Investments!$B$2:$B$9989,$A83)</f>
        <v>0</v>
      </c>
      <c r="AB83">
        <f>SUMIFS(Annualized_Investments!AB$2:AB$9989,Annualized_Investments!$B$2:$B$9989,$A83)</f>
        <v>0</v>
      </c>
      <c r="AC83">
        <f>SUMIFS(Annualized_Investments!AC$2:AC$9989,Annualized_Investments!$B$2:$B$9989,$A83)</f>
        <v>0</v>
      </c>
      <c r="AD83">
        <f>SUMIFS(Annualized_Investments!AD$2:AD$9989,Annualized_Investments!$B$2:$B$9989,$A83)</f>
        <v>0</v>
      </c>
      <c r="AE83">
        <f>SUMIFS(Annualized_Investments!AE$2:AE$9989,Annualized_Investments!$B$2:$B$9989,$A83)</f>
        <v>0</v>
      </c>
      <c r="AF83">
        <f>SUMIFS(Annualized_Investments!AF$2:AF$9989,Annualized_Investments!$B$2:$B$9989,$A83)</f>
        <v>0</v>
      </c>
      <c r="AG83">
        <f>SUMIFS(Annualized_Investments!AG$2:AG$9989,Annualized_Investments!$B$2:$B$9989,$A83)</f>
        <v>0</v>
      </c>
    </row>
    <row r="84" spans="1:33">
      <c r="A84" t="s">
        <v>142</v>
      </c>
      <c r="C84">
        <f>SUMIFS(Annualized_Investments!C$2:C$9989,Annualized_Investments!$B$2:$B$9989,$A84)</f>
        <v>0</v>
      </c>
      <c r="D84">
        <f>SUMIFS(Annualized_Investments!D$2:D$9989,Annualized_Investments!$B$2:$B$9989,$A84)</f>
        <v>76.300542691100006</v>
      </c>
      <c r="E84">
        <f>SUMIFS(Annualized_Investments!E$2:E$9989,Annualized_Investments!$B$2:$B$9989,$A84)</f>
        <v>157.27383852809999</v>
      </c>
      <c r="F84">
        <f>SUMIFS(Annualized_Investments!F$2:F$9989,Annualized_Investments!$B$2:$B$9989,$A84)</f>
        <v>157.27383852809999</v>
      </c>
      <c r="G84">
        <f>SUMIFS(Annualized_Investments!G$2:G$9989,Annualized_Investments!$B$2:$B$9989,$A84)</f>
        <v>220.41911989830001</v>
      </c>
      <c r="H84">
        <f>SUMIFS(Annualized_Investments!H$2:H$9989,Annualized_Investments!$B$2:$B$9989,$A84)</f>
        <v>220.41911989830001</v>
      </c>
      <c r="I84">
        <f>SUMIFS(Annualized_Investments!I$2:I$9989,Annualized_Investments!$B$2:$B$9989,$A84)</f>
        <v>220.41911989830001</v>
      </c>
      <c r="J84">
        <f>SUMIFS(Annualized_Investments!J$2:J$9989,Annualized_Investments!$B$2:$B$9989,$A84)</f>
        <v>288.808956889</v>
      </c>
      <c r="K84">
        <f>SUMIFS(Annualized_Investments!K$2:K$9989,Annualized_Investments!$B$2:$B$9989,$A84)</f>
        <v>340.51505334260003</v>
      </c>
      <c r="L84">
        <f>SUMIFS(Annualized_Investments!L$2:L$9989,Annualized_Investments!$B$2:$B$9989,$A84)</f>
        <v>669.18393847350001</v>
      </c>
      <c r="M84">
        <f>SUMIFS(Annualized_Investments!M$2:M$9989,Annualized_Investments!$B$2:$B$9989,$A84)</f>
        <v>734.33536340820001</v>
      </c>
      <c r="N84">
        <f>SUMIFS(Annualized_Investments!N$2:N$9989,Annualized_Investments!$B$2:$B$9989,$A84)</f>
        <v>808.9365677175</v>
      </c>
      <c r="O84">
        <f>SUMIFS(Annualized_Investments!O$2:O$9989,Annualized_Investments!$B$2:$B$9989,$A84)</f>
        <v>1020.5949241754</v>
      </c>
      <c r="P84">
        <f>SUMIFS(Annualized_Investments!P$2:P$9989,Annualized_Investments!$B$2:$B$9989,$A84)</f>
        <v>1139.1820029349001</v>
      </c>
      <c r="Q84">
        <f>SUMIFS(Annualized_Investments!Q$2:Q$9989,Annualized_Investments!$B$2:$B$9989,$A84)</f>
        <v>1266.5553339604</v>
      </c>
      <c r="R84">
        <f>SUMIFS(Annualized_Investments!R$2:R$9989,Annualized_Investments!$B$2:$B$9989,$A84)</f>
        <v>1391.2375937003001</v>
      </c>
      <c r="S84">
        <f>SUMIFS(Annualized_Investments!S$2:S$9989,Annualized_Investments!$B$2:$B$9989,$A84)</f>
        <v>1630.0599497728999</v>
      </c>
      <c r="T84">
        <f>SUMIFS(Annualized_Investments!T$2:T$9989,Annualized_Investments!$B$2:$B$9989,$A84)</f>
        <v>1841.2372350554999</v>
      </c>
      <c r="U84">
        <f>SUMIFS(Annualized_Investments!U$2:U$9989,Annualized_Investments!$B$2:$B$9989,$A84)</f>
        <v>2051.1629730504001</v>
      </c>
      <c r="V84">
        <f>SUMIFS(Annualized_Investments!V$2:V$9989,Annualized_Investments!$B$2:$B$9989,$A84)</f>
        <v>2262.5834292976001</v>
      </c>
      <c r="W84">
        <f>SUMIFS(Annualized_Investments!W$2:W$9989,Annualized_Investments!$B$2:$B$9989,$A84)</f>
        <v>2262.5834292976001</v>
      </c>
      <c r="X84">
        <f>SUMIFS(Annualized_Investments!X$2:X$9989,Annualized_Investments!$B$2:$B$9989,$A84)</f>
        <v>2262.5834292976001</v>
      </c>
      <c r="Y84">
        <f>SUMIFS(Annualized_Investments!Y$2:Y$9989,Annualized_Investments!$B$2:$B$9989,$A84)</f>
        <v>2262.5834292976001</v>
      </c>
      <c r="Z84">
        <f>SUMIFS(Annualized_Investments!Z$2:Z$9989,Annualized_Investments!$B$2:$B$9989,$A84)</f>
        <v>2262.5834292976001</v>
      </c>
      <c r="AA84">
        <f>SUMIFS(Annualized_Investments!AA$2:AA$9989,Annualized_Investments!$B$2:$B$9989,$A84)</f>
        <v>2262.5834292976001</v>
      </c>
      <c r="AB84">
        <f>SUMIFS(Annualized_Investments!AB$2:AB$9989,Annualized_Investments!$B$2:$B$9989,$A84)</f>
        <v>2275.7997773055999</v>
      </c>
      <c r="AC84">
        <f>SUMIFS(Annualized_Investments!AC$2:AC$9989,Annualized_Investments!$B$2:$B$9989,$A84)</f>
        <v>2199.4992346145</v>
      </c>
      <c r="AD84">
        <f>SUMIFS(Annualized_Investments!AD$2:AD$9989,Annualized_Investments!$B$2:$B$9989,$A84)</f>
        <v>2118.5259387773999</v>
      </c>
      <c r="AE84">
        <f>SUMIFS(Annualized_Investments!AE$2:AE$9989,Annualized_Investments!$B$2:$B$9989,$A84)</f>
        <v>2098.0277535915998</v>
      </c>
      <c r="AF84">
        <f>SUMIFS(Annualized_Investments!AF$2:AF$9989,Annualized_Investments!$B$2:$B$9989,$A84)</f>
        <v>2034.8824722213999</v>
      </c>
      <c r="AG84">
        <f>SUMIFS(Annualized_Investments!AG$2:AG$9989,Annualized_Investments!$B$2:$B$9989,$A84)</f>
        <v>2021.1856679595001</v>
      </c>
    </row>
    <row r="85" spans="1:33">
      <c r="A85" t="s">
        <v>143</v>
      </c>
      <c r="C85">
        <f>SUMIFS(Annualized_Investments!C$2:C$9989,Annualized_Investments!$B$2:$B$9989,$A85)</f>
        <v>0</v>
      </c>
      <c r="D85">
        <f>SUMIFS(Annualized_Investments!D$2:D$9989,Annualized_Investments!$B$2:$B$9989,$A85)</f>
        <v>0</v>
      </c>
      <c r="E85">
        <f>SUMIFS(Annualized_Investments!E$2:E$9989,Annualized_Investments!$B$2:$B$9989,$A85)</f>
        <v>0</v>
      </c>
      <c r="F85">
        <f>SUMIFS(Annualized_Investments!F$2:F$9989,Annualized_Investments!$B$2:$B$9989,$A85)</f>
        <v>0</v>
      </c>
      <c r="G85">
        <f>SUMIFS(Annualized_Investments!G$2:G$9989,Annualized_Investments!$B$2:$B$9989,$A85)</f>
        <v>0</v>
      </c>
      <c r="H85">
        <f>SUMIFS(Annualized_Investments!H$2:H$9989,Annualized_Investments!$B$2:$B$9989,$A85)</f>
        <v>0</v>
      </c>
      <c r="I85">
        <f>SUMIFS(Annualized_Investments!I$2:I$9989,Annualized_Investments!$B$2:$B$9989,$A85)</f>
        <v>0</v>
      </c>
      <c r="J85">
        <f>SUMIFS(Annualized_Investments!J$2:J$9989,Annualized_Investments!$B$2:$B$9989,$A85)</f>
        <v>0</v>
      </c>
      <c r="K85">
        <f>SUMIFS(Annualized_Investments!K$2:K$9989,Annualized_Investments!$B$2:$B$9989,$A85)</f>
        <v>0</v>
      </c>
      <c r="L85">
        <f>SUMIFS(Annualized_Investments!L$2:L$9989,Annualized_Investments!$B$2:$B$9989,$A85)</f>
        <v>0</v>
      </c>
      <c r="M85">
        <f>SUMIFS(Annualized_Investments!M$2:M$9989,Annualized_Investments!$B$2:$B$9989,$A85)</f>
        <v>0</v>
      </c>
      <c r="N85">
        <f>SUMIFS(Annualized_Investments!N$2:N$9989,Annualized_Investments!$B$2:$B$9989,$A85)</f>
        <v>0</v>
      </c>
      <c r="O85">
        <f>SUMIFS(Annualized_Investments!O$2:O$9989,Annualized_Investments!$B$2:$B$9989,$A85)</f>
        <v>0</v>
      </c>
      <c r="P85">
        <f>SUMIFS(Annualized_Investments!P$2:P$9989,Annualized_Investments!$B$2:$B$9989,$A85)</f>
        <v>0</v>
      </c>
      <c r="Q85">
        <f>SUMIFS(Annualized_Investments!Q$2:Q$9989,Annualized_Investments!$B$2:$B$9989,$A85)</f>
        <v>0</v>
      </c>
      <c r="R85">
        <f>SUMIFS(Annualized_Investments!R$2:R$9989,Annualized_Investments!$B$2:$B$9989,$A85)</f>
        <v>0</v>
      </c>
      <c r="S85">
        <f>SUMIFS(Annualized_Investments!S$2:S$9989,Annualized_Investments!$B$2:$B$9989,$A85)</f>
        <v>0</v>
      </c>
      <c r="T85">
        <f>SUMIFS(Annualized_Investments!T$2:T$9989,Annualized_Investments!$B$2:$B$9989,$A85)</f>
        <v>0</v>
      </c>
      <c r="U85">
        <f>SUMIFS(Annualized_Investments!U$2:U$9989,Annualized_Investments!$B$2:$B$9989,$A85)</f>
        <v>0</v>
      </c>
      <c r="V85">
        <f>SUMIFS(Annualized_Investments!V$2:V$9989,Annualized_Investments!$B$2:$B$9989,$A85)</f>
        <v>0</v>
      </c>
      <c r="W85">
        <f>SUMIFS(Annualized_Investments!W$2:W$9989,Annualized_Investments!$B$2:$B$9989,$A85)</f>
        <v>0</v>
      </c>
      <c r="X85">
        <f>SUMIFS(Annualized_Investments!X$2:X$9989,Annualized_Investments!$B$2:$B$9989,$A85)</f>
        <v>0</v>
      </c>
      <c r="Y85">
        <f>SUMIFS(Annualized_Investments!Y$2:Y$9989,Annualized_Investments!$B$2:$B$9989,$A85)</f>
        <v>0</v>
      </c>
      <c r="Z85">
        <f>SUMIFS(Annualized_Investments!Z$2:Z$9989,Annualized_Investments!$B$2:$B$9989,$A85)</f>
        <v>0</v>
      </c>
      <c r="AA85">
        <f>SUMIFS(Annualized_Investments!AA$2:AA$9989,Annualized_Investments!$B$2:$B$9989,$A85)</f>
        <v>0</v>
      </c>
      <c r="AB85">
        <f>SUMIFS(Annualized_Investments!AB$2:AB$9989,Annualized_Investments!$B$2:$B$9989,$A85)</f>
        <v>0</v>
      </c>
      <c r="AC85">
        <f>SUMIFS(Annualized_Investments!AC$2:AC$9989,Annualized_Investments!$B$2:$B$9989,$A85)</f>
        <v>0</v>
      </c>
      <c r="AD85">
        <f>SUMIFS(Annualized_Investments!AD$2:AD$9989,Annualized_Investments!$B$2:$B$9989,$A85)</f>
        <v>0</v>
      </c>
      <c r="AE85">
        <f>SUMIFS(Annualized_Investments!AE$2:AE$9989,Annualized_Investments!$B$2:$B$9989,$A85)</f>
        <v>0</v>
      </c>
      <c r="AF85">
        <f>SUMIFS(Annualized_Investments!AF$2:AF$9989,Annualized_Investments!$B$2:$B$9989,$A85)</f>
        <v>0</v>
      </c>
      <c r="AG85">
        <f>SUMIFS(Annualized_Investments!AG$2:AG$9989,Annualized_Investments!$B$2:$B$9989,$A85)</f>
        <v>0</v>
      </c>
    </row>
    <row r="86" spans="1:33">
      <c r="A86" t="s">
        <v>144</v>
      </c>
      <c r="C86">
        <f>SUMIFS(Annualized_Investments!C$2:C$9989,Annualized_Investments!$B$2:$B$9989,$A86)</f>
        <v>0</v>
      </c>
      <c r="D86">
        <f>SUMIFS(Annualized_Investments!D$2:D$9989,Annualized_Investments!$B$2:$B$9989,$A86)</f>
        <v>0</v>
      </c>
      <c r="E86">
        <f>SUMIFS(Annualized_Investments!E$2:E$9989,Annualized_Investments!$B$2:$B$9989,$A86)</f>
        <v>0</v>
      </c>
      <c r="F86">
        <f>SUMIFS(Annualized_Investments!F$2:F$9989,Annualized_Investments!$B$2:$B$9989,$A86)</f>
        <v>0</v>
      </c>
      <c r="G86">
        <f>SUMIFS(Annualized_Investments!G$2:G$9989,Annualized_Investments!$B$2:$B$9989,$A86)</f>
        <v>0</v>
      </c>
      <c r="H86">
        <f>SUMIFS(Annualized_Investments!H$2:H$9989,Annualized_Investments!$B$2:$B$9989,$A86)</f>
        <v>0</v>
      </c>
      <c r="I86">
        <f>SUMIFS(Annualized_Investments!I$2:I$9989,Annualized_Investments!$B$2:$B$9989,$A86)</f>
        <v>0</v>
      </c>
      <c r="J86">
        <f>SUMIFS(Annualized_Investments!J$2:J$9989,Annualized_Investments!$B$2:$B$9989,$A86)</f>
        <v>0</v>
      </c>
      <c r="K86">
        <f>SUMIFS(Annualized_Investments!K$2:K$9989,Annualized_Investments!$B$2:$B$9989,$A86)</f>
        <v>0</v>
      </c>
      <c r="L86">
        <f>SUMIFS(Annualized_Investments!L$2:L$9989,Annualized_Investments!$B$2:$B$9989,$A86)</f>
        <v>0</v>
      </c>
      <c r="M86">
        <f>SUMIFS(Annualized_Investments!M$2:M$9989,Annualized_Investments!$B$2:$B$9989,$A86)</f>
        <v>0</v>
      </c>
      <c r="N86">
        <f>SUMIFS(Annualized_Investments!N$2:N$9989,Annualized_Investments!$B$2:$B$9989,$A86)</f>
        <v>0</v>
      </c>
      <c r="O86">
        <f>SUMIFS(Annualized_Investments!O$2:O$9989,Annualized_Investments!$B$2:$B$9989,$A86)</f>
        <v>0</v>
      </c>
      <c r="P86">
        <f>SUMIFS(Annualized_Investments!P$2:P$9989,Annualized_Investments!$B$2:$B$9989,$A86)</f>
        <v>0</v>
      </c>
      <c r="Q86">
        <f>SUMIFS(Annualized_Investments!Q$2:Q$9989,Annualized_Investments!$B$2:$B$9989,$A86)</f>
        <v>0</v>
      </c>
      <c r="R86">
        <f>SUMIFS(Annualized_Investments!R$2:R$9989,Annualized_Investments!$B$2:$B$9989,$A86)</f>
        <v>0</v>
      </c>
      <c r="S86">
        <f>SUMIFS(Annualized_Investments!S$2:S$9989,Annualized_Investments!$B$2:$B$9989,$A86)</f>
        <v>0</v>
      </c>
      <c r="T86">
        <f>SUMIFS(Annualized_Investments!T$2:T$9989,Annualized_Investments!$B$2:$B$9989,$A86)</f>
        <v>0</v>
      </c>
      <c r="U86">
        <f>SUMIFS(Annualized_Investments!U$2:U$9989,Annualized_Investments!$B$2:$B$9989,$A86)</f>
        <v>0</v>
      </c>
      <c r="V86">
        <f>SUMIFS(Annualized_Investments!V$2:V$9989,Annualized_Investments!$B$2:$B$9989,$A86)</f>
        <v>0</v>
      </c>
      <c r="W86">
        <f>SUMIFS(Annualized_Investments!W$2:W$9989,Annualized_Investments!$B$2:$B$9989,$A86)</f>
        <v>0</v>
      </c>
      <c r="X86">
        <f>SUMIFS(Annualized_Investments!X$2:X$9989,Annualized_Investments!$B$2:$B$9989,$A86)</f>
        <v>0</v>
      </c>
      <c r="Y86">
        <f>SUMIFS(Annualized_Investments!Y$2:Y$9989,Annualized_Investments!$B$2:$B$9989,$A86)</f>
        <v>0</v>
      </c>
      <c r="Z86">
        <f>SUMIFS(Annualized_Investments!Z$2:Z$9989,Annualized_Investments!$B$2:$B$9989,$A86)</f>
        <v>0</v>
      </c>
      <c r="AA86">
        <f>SUMIFS(Annualized_Investments!AA$2:AA$9989,Annualized_Investments!$B$2:$B$9989,$A86)</f>
        <v>0</v>
      </c>
      <c r="AB86">
        <f>SUMIFS(Annualized_Investments!AB$2:AB$9989,Annualized_Investments!$B$2:$B$9989,$A86)</f>
        <v>0</v>
      </c>
      <c r="AC86">
        <f>SUMIFS(Annualized_Investments!AC$2:AC$9989,Annualized_Investments!$B$2:$B$9989,$A86)</f>
        <v>0</v>
      </c>
      <c r="AD86">
        <f>SUMIFS(Annualized_Investments!AD$2:AD$9989,Annualized_Investments!$B$2:$B$9989,$A86)</f>
        <v>0</v>
      </c>
      <c r="AE86">
        <f>SUMIFS(Annualized_Investments!AE$2:AE$9989,Annualized_Investments!$B$2:$B$9989,$A86)</f>
        <v>0</v>
      </c>
      <c r="AF86">
        <f>SUMIFS(Annualized_Investments!AF$2:AF$9989,Annualized_Investments!$B$2:$B$9989,$A86)</f>
        <v>0</v>
      </c>
      <c r="AG86">
        <f>SUMIFS(Annualized_Investments!AG$2:AG$9989,Annualized_Investments!$B$2:$B$9989,$A86)</f>
        <v>0</v>
      </c>
    </row>
    <row r="87" spans="1:33">
      <c r="A87" t="s">
        <v>145</v>
      </c>
      <c r="C87">
        <f>SUMIFS(Annualized_Investments!C$2:C$9989,Annualized_Investments!$B$2:$B$9989,$A87)</f>
        <v>119.2965945217</v>
      </c>
      <c r="D87">
        <f>SUMIFS(Annualized_Investments!D$2:D$9989,Annualized_Investments!$B$2:$B$9989,$A87)</f>
        <v>119.2965945217</v>
      </c>
      <c r="E87">
        <f>SUMIFS(Annualized_Investments!E$2:E$9989,Annualized_Investments!$B$2:$B$9989,$A87)</f>
        <v>120.59283750279999</v>
      </c>
      <c r="F87">
        <f>SUMIFS(Annualized_Investments!F$2:F$9989,Annualized_Investments!$B$2:$B$9989,$A87)</f>
        <v>124.4081942018</v>
      </c>
      <c r="G87">
        <f>SUMIFS(Annualized_Investments!G$2:G$9989,Annualized_Investments!$B$2:$B$9989,$A87)</f>
        <v>127.2778641976</v>
      </c>
      <c r="H87">
        <f>SUMIFS(Annualized_Investments!H$2:H$9989,Annualized_Investments!$B$2:$B$9989,$A87)</f>
        <v>127.2778641976</v>
      </c>
      <c r="I87">
        <f>SUMIFS(Annualized_Investments!I$2:I$9989,Annualized_Investments!$B$2:$B$9989,$A87)</f>
        <v>127.2778641976</v>
      </c>
      <c r="J87">
        <f>SUMIFS(Annualized_Investments!J$2:J$9989,Annualized_Investments!$B$2:$B$9989,$A87)</f>
        <v>127.2778641976</v>
      </c>
      <c r="K87">
        <f>SUMIFS(Annualized_Investments!K$2:K$9989,Annualized_Investments!$B$2:$B$9989,$A87)</f>
        <v>127.2778641976</v>
      </c>
      <c r="L87">
        <f>SUMIFS(Annualized_Investments!L$2:L$9989,Annualized_Investments!$B$2:$B$9989,$A87)</f>
        <v>127.2778641976</v>
      </c>
      <c r="M87">
        <f>SUMIFS(Annualized_Investments!M$2:M$9989,Annualized_Investments!$B$2:$B$9989,$A87)</f>
        <v>127.2778641976</v>
      </c>
      <c r="N87">
        <f>SUMIFS(Annualized_Investments!N$2:N$9989,Annualized_Investments!$B$2:$B$9989,$A87)</f>
        <v>127.2778641976</v>
      </c>
      <c r="O87">
        <f>SUMIFS(Annualized_Investments!O$2:O$9989,Annualized_Investments!$B$2:$B$9989,$A87)</f>
        <v>127.2778641976</v>
      </c>
      <c r="P87">
        <f>SUMIFS(Annualized_Investments!P$2:P$9989,Annualized_Investments!$B$2:$B$9989,$A87)</f>
        <v>127.2778641976</v>
      </c>
      <c r="Q87">
        <f>SUMIFS(Annualized_Investments!Q$2:Q$9989,Annualized_Investments!$B$2:$B$9989,$A87)</f>
        <v>127.2778641976</v>
      </c>
      <c r="R87">
        <f>SUMIFS(Annualized_Investments!R$2:R$9989,Annualized_Investments!$B$2:$B$9989,$A87)</f>
        <v>127.2778641976</v>
      </c>
      <c r="S87">
        <f>SUMIFS(Annualized_Investments!S$2:S$9989,Annualized_Investments!$B$2:$B$9989,$A87)</f>
        <v>127.2778641976</v>
      </c>
      <c r="T87">
        <f>SUMIFS(Annualized_Investments!T$2:T$9989,Annualized_Investments!$B$2:$B$9989,$A87)</f>
        <v>127.2778641976</v>
      </c>
      <c r="U87">
        <f>SUMIFS(Annualized_Investments!U$2:U$9989,Annualized_Investments!$B$2:$B$9989,$A87)</f>
        <v>127.2778641976</v>
      </c>
      <c r="V87">
        <f>SUMIFS(Annualized_Investments!V$2:V$9989,Annualized_Investments!$B$2:$B$9989,$A87)</f>
        <v>127.2778641976</v>
      </c>
      <c r="W87">
        <f>SUMIFS(Annualized_Investments!W$2:W$9989,Annualized_Investments!$B$2:$B$9989,$A87)</f>
        <v>127.2778641976</v>
      </c>
      <c r="X87">
        <f>SUMIFS(Annualized_Investments!X$2:X$9989,Annualized_Investments!$B$2:$B$9989,$A87)</f>
        <v>127.2778641976</v>
      </c>
      <c r="Y87">
        <f>SUMIFS(Annualized_Investments!Y$2:Y$9989,Annualized_Investments!$B$2:$B$9989,$A87)</f>
        <v>127.2778641976</v>
      </c>
      <c r="Z87">
        <f>SUMIFS(Annualized_Investments!Z$2:Z$9989,Annualized_Investments!$B$2:$B$9989,$A87)</f>
        <v>127.2778641976</v>
      </c>
      <c r="AA87">
        <f>SUMIFS(Annualized_Investments!AA$2:AA$9989,Annualized_Investments!$B$2:$B$9989,$A87)</f>
        <v>127.2778641976</v>
      </c>
      <c r="AB87">
        <f>SUMIFS(Annualized_Investments!AB$2:AB$9989,Annualized_Investments!$B$2:$B$9989,$A87)</f>
        <v>127.2778641976</v>
      </c>
      <c r="AC87">
        <f>SUMIFS(Annualized_Investments!AC$2:AC$9989,Annualized_Investments!$B$2:$B$9989,$A87)</f>
        <v>127.2778641976</v>
      </c>
      <c r="AD87">
        <f>SUMIFS(Annualized_Investments!AD$2:AD$9989,Annualized_Investments!$B$2:$B$9989,$A87)</f>
        <v>127.2778641976</v>
      </c>
      <c r="AE87">
        <f>SUMIFS(Annualized_Investments!AE$2:AE$9989,Annualized_Investments!$B$2:$B$9989,$A87)</f>
        <v>127.2778641976</v>
      </c>
      <c r="AF87">
        <f>SUMIFS(Annualized_Investments!AF$2:AF$9989,Annualized_Investments!$B$2:$B$9989,$A87)</f>
        <v>127.2778641976</v>
      </c>
      <c r="AG87">
        <f>SUMIFS(Annualized_Investments!AG$2:AG$9989,Annualized_Investments!$B$2:$B$9989,$A87)</f>
        <v>127.2778641976</v>
      </c>
    </row>
    <row r="88" spans="1:33">
      <c r="A88" t="s">
        <v>146</v>
      </c>
      <c r="C88">
        <f>SUMIFS(Annualized_Investments!C$2:C$9989,Annualized_Investments!$B$2:$B$9989,$A88)</f>
        <v>0</v>
      </c>
      <c r="D88">
        <f>SUMIFS(Annualized_Investments!D$2:D$9989,Annualized_Investments!$B$2:$B$9989,$A88)</f>
        <v>0</v>
      </c>
      <c r="E88">
        <f>SUMIFS(Annualized_Investments!E$2:E$9989,Annualized_Investments!$B$2:$B$9989,$A88)</f>
        <v>0</v>
      </c>
      <c r="F88">
        <f>SUMIFS(Annualized_Investments!F$2:F$9989,Annualized_Investments!$B$2:$B$9989,$A88)</f>
        <v>0</v>
      </c>
      <c r="G88">
        <f>SUMIFS(Annualized_Investments!G$2:G$9989,Annualized_Investments!$B$2:$B$9989,$A88)</f>
        <v>0</v>
      </c>
      <c r="H88">
        <f>SUMIFS(Annualized_Investments!H$2:H$9989,Annualized_Investments!$B$2:$B$9989,$A88)</f>
        <v>39.669518875999998</v>
      </c>
      <c r="I88">
        <f>SUMIFS(Annualized_Investments!I$2:I$9989,Annualized_Investments!$B$2:$B$9989,$A88)</f>
        <v>39.669518875999998</v>
      </c>
      <c r="J88">
        <f>SUMIFS(Annualized_Investments!J$2:J$9989,Annualized_Investments!$B$2:$B$9989,$A88)</f>
        <v>39.669518875999998</v>
      </c>
      <c r="K88">
        <f>SUMIFS(Annualized_Investments!K$2:K$9989,Annualized_Investments!$B$2:$B$9989,$A88)</f>
        <v>39.669518875999998</v>
      </c>
      <c r="L88">
        <f>SUMIFS(Annualized_Investments!L$2:L$9989,Annualized_Investments!$B$2:$B$9989,$A88)</f>
        <v>39.669518875999998</v>
      </c>
      <c r="M88">
        <f>SUMIFS(Annualized_Investments!M$2:M$9989,Annualized_Investments!$B$2:$B$9989,$A88)</f>
        <v>39.669518875999998</v>
      </c>
      <c r="N88">
        <f>SUMIFS(Annualized_Investments!N$2:N$9989,Annualized_Investments!$B$2:$B$9989,$A88)</f>
        <v>39.669518875999998</v>
      </c>
      <c r="O88">
        <f>SUMIFS(Annualized_Investments!O$2:O$9989,Annualized_Investments!$B$2:$B$9989,$A88)</f>
        <v>39.669518875999998</v>
      </c>
      <c r="P88">
        <f>SUMIFS(Annualized_Investments!P$2:P$9989,Annualized_Investments!$B$2:$B$9989,$A88)</f>
        <v>39.669518875999998</v>
      </c>
      <c r="Q88">
        <f>SUMIFS(Annualized_Investments!Q$2:Q$9989,Annualized_Investments!$B$2:$B$9989,$A88)</f>
        <v>39.669518875999998</v>
      </c>
      <c r="R88">
        <f>SUMIFS(Annualized_Investments!R$2:R$9989,Annualized_Investments!$B$2:$B$9989,$A88)</f>
        <v>39.669518875999998</v>
      </c>
      <c r="S88">
        <f>SUMIFS(Annualized_Investments!S$2:S$9989,Annualized_Investments!$B$2:$B$9989,$A88)</f>
        <v>39.669518875999998</v>
      </c>
      <c r="T88">
        <f>SUMIFS(Annualized_Investments!T$2:T$9989,Annualized_Investments!$B$2:$B$9989,$A88)</f>
        <v>39.669518875999998</v>
      </c>
      <c r="U88">
        <f>SUMIFS(Annualized_Investments!U$2:U$9989,Annualized_Investments!$B$2:$B$9989,$A88)</f>
        <v>39.669518875999998</v>
      </c>
      <c r="V88">
        <f>SUMIFS(Annualized_Investments!V$2:V$9989,Annualized_Investments!$B$2:$B$9989,$A88)</f>
        <v>75.660956968899995</v>
      </c>
      <c r="W88">
        <f>SUMIFS(Annualized_Investments!W$2:W$9989,Annualized_Investments!$B$2:$B$9989,$A88)</f>
        <v>89.311020454900003</v>
      </c>
      <c r="X88">
        <f>SUMIFS(Annualized_Investments!X$2:X$9989,Annualized_Investments!$B$2:$B$9989,$A88)</f>
        <v>89.311020454900003</v>
      </c>
      <c r="Y88">
        <f>SUMIFS(Annualized_Investments!Y$2:Y$9989,Annualized_Investments!$B$2:$B$9989,$A88)</f>
        <v>89.311020454900003</v>
      </c>
      <c r="Z88">
        <f>SUMIFS(Annualized_Investments!Z$2:Z$9989,Annualized_Investments!$B$2:$B$9989,$A88)</f>
        <v>89.311020454900003</v>
      </c>
      <c r="AA88">
        <f>SUMIFS(Annualized_Investments!AA$2:AA$9989,Annualized_Investments!$B$2:$B$9989,$A88)</f>
        <v>89.311020454900003</v>
      </c>
      <c r="AB88">
        <f>SUMIFS(Annualized_Investments!AB$2:AB$9989,Annualized_Investments!$B$2:$B$9989,$A88)</f>
        <v>182.72849884319999</v>
      </c>
      <c r="AC88">
        <f>SUMIFS(Annualized_Investments!AC$2:AC$9989,Annualized_Investments!$B$2:$B$9989,$A88)</f>
        <v>182.72849884319999</v>
      </c>
      <c r="AD88">
        <f>SUMIFS(Annualized_Investments!AD$2:AD$9989,Annualized_Investments!$B$2:$B$9989,$A88)</f>
        <v>182.72849884319999</v>
      </c>
      <c r="AE88">
        <f>SUMIFS(Annualized_Investments!AE$2:AE$9989,Annualized_Investments!$B$2:$B$9989,$A88)</f>
        <v>182.72849884319999</v>
      </c>
      <c r="AF88">
        <f>SUMIFS(Annualized_Investments!AF$2:AF$9989,Annualized_Investments!$B$2:$B$9989,$A88)</f>
        <v>182.72849884319999</v>
      </c>
      <c r="AG88">
        <f>SUMIFS(Annualized_Investments!AG$2:AG$9989,Annualized_Investments!$B$2:$B$9989,$A88)</f>
        <v>300.29201069639998</v>
      </c>
    </row>
    <row r="89" spans="1:33">
      <c r="A89" t="s">
        <v>147</v>
      </c>
      <c r="C89">
        <f>SUMIFS(Annualized_Investments!C$2:C$9989,Annualized_Investments!$B$2:$B$9989,$A89)</f>
        <v>0</v>
      </c>
      <c r="D89">
        <f>SUMIFS(Annualized_Investments!D$2:D$9989,Annualized_Investments!$B$2:$B$9989,$A89)</f>
        <v>0</v>
      </c>
      <c r="E89">
        <f>SUMIFS(Annualized_Investments!E$2:E$9989,Annualized_Investments!$B$2:$B$9989,$A89)</f>
        <v>0</v>
      </c>
      <c r="F89">
        <f>SUMIFS(Annualized_Investments!F$2:F$9989,Annualized_Investments!$B$2:$B$9989,$A89)</f>
        <v>0</v>
      </c>
      <c r="G89">
        <f>SUMIFS(Annualized_Investments!G$2:G$9989,Annualized_Investments!$B$2:$B$9989,$A89)</f>
        <v>0</v>
      </c>
      <c r="H89">
        <f>SUMIFS(Annualized_Investments!H$2:H$9989,Annualized_Investments!$B$2:$B$9989,$A89)</f>
        <v>0</v>
      </c>
      <c r="I89">
        <f>SUMIFS(Annualized_Investments!I$2:I$9989,Annualized_Investments!$B$2:$B$9989,$A89)</f>
        <v>0</v>
      </c>
      <c r="J89">
        <f>SUMIFS(Annualized_Investments!J$2:J$9989,Annualized_Investments!$B$2:$B$9989,$A89)</f>
        <v>0</v>
      </c>
      <c r="K89">
        <f>SUMIFS(Annualized_Investments!K$2:K$9989,Annualized_Investments!$B$2:$B$9989,$A89)</f>
        <v>0</v>
      </c>
      <c r="L89">
        <f>SUMIFS(Annualized_Investments!L$2:L$9989,Annualized_Investments!$B$2:$B$9989,$A89)</f>
        <v>0</v>
      </c>
      <c r="M89">
        <f>SUMIFS(Annualized_Investments!M$2:M$9989,Annualized_Investments!$B$2:$B$9989,$A89)</f>
        <v>0</v>
      </c>
      <c r="N89">
        <f>SUMIFS(Annualized_Investments!N$2:N$9989,Annualized_Investments!$B$2:$B$9989,$A89)</f>
        <v>0</v>
      </c>
      <c r="O89">
        <f>SUMIFS(Annualized_Investments!O$2:O$9989,Annualized_Investments!$B$2:$B$9989,$A89)</f>
        <v>0</v>
      </c>
      <c r="P89">
        <f>SUMIFS(Annualized_Investments!P$2:P$9989,Annualized_Investments!$B$2:$B$9989,$A89)</f>
        <v>0</v>
      </c>
      <c r="Q89">
        <f>SUMIFS(Annualized_Investments!Q$2:Q$9989,Annualized_Investments!$B$2:$B$9989,$A89)</f>
        <v>0</v>
      </c>
      <c r="R89">
        <f>SUMIFS(Annualized_Investments!R$2:R$9989,Annualized_Investments!$B$2:$B$9989,$A89)</f>
        <v>0</v>
      </c>
      <c r="S89">
        <f>SUMIFS(Annualized_Investments!S$2:S$9989,Annualized_Investments!$B$2:$B$9989,$A89)</f>
        <v>0</v>
      </c>
      <c r="T89">
        <f>SUMIFS(Annualized_Investments!T$2:T$9989,Annualized_Investments!$B$2:$B$9989,$A89)</f>
        <v>0</v>
      </c>
      <c r="U89">
        <f>SUMIFS(Annualized_Investments!U$2:U$9989,Annualized_Investments!$B$2:$B$9989,$A89)</f>
        <v>0</v>
      </c>
      <c r="V89">
        <f>SUMIFS(Annualized_Investments!V$2:V$9989,Annualized_Investments!$B$2:$B$9989,$A89)</f>
        <v>0</v>
      </c>
      <c r="W89">
        <f>SUMIFS(Annualized_Investments!W$2:W$9989,Annualized_Investments!$B$2:$B$9989,$A89)</f>
        <v>0</v>
      </c>
      <c r="X89">
        <f>SUMIFS(Annualized_Investments!X$2:X$9989,Annualized_Investments!$B$2:$B$9989,$A89)</f>
        <v>0</v>
      </c>
      <c r="Y89">
        <f>SUMIFS(Annualized_Investments!Y$2:Y$9989,Annualized_Investments!$B$2:$B$9989,$A89)</f>
        <v>0</v>
      </c>
      <c r="Z89">
        <f>SUMIFS(Annualized_Investments!Z$2:Z$9989,Annualized_Investments!$B$2:$B$9989,$A89)</f>
        <v>0</v>
      </c>
      <c r="AA89">
        <f>SUMIFS(Annualized_Investments!AA$2:AA$9989,Annualized_Investments!$B$2:$B$9989,$A89)</f>
        <v>0</v>
      </c>
      <c r="AB89">
        <f>SUMIFS(Annualized_Investments!AB$2:AB$9989,Annualized_Investments!$B$2:$B$9989,$A89)</f>
        <v>0</v>
      </c>
      <c r="AC89">
        <f>SUMIFS(Annualized_Investments!AC$2:AC$9989,Annualized_Investments!$B$2:$B$9989,$A89)</f>
        <v>0</v>
      </c>
      <c r="AD89">
        <f>SUMIFS(Annualized_Investments!AD$2:AD$9989,Annualized_Investments!$B$2:$B$9989,$A89)</f>
        <v>0</v>
      </c>
      <c r="AE89">
        <f>SUMIFS(Annualized_Investments!AE$2:AE$9989,Annualized_Investments!$B$2:$B$9989,$A89)</f>
        <v>0</v>
      </c>
      <c r="AF89">
        <f>SUMIFS(Annualized_Investments!AF$2:AF$9989,Annualized_Investments!$B$2:$B$9989,$A89)</f>
        <v>0</v>
      </c>
      <c r="AG89">
        <f>SUMIFS(Annualized_Investments!AG$2:AG$9989,Annualized_Investments!$B$2:$B$9989,$A89)</f>
        <v>0</v>
      </c>
    </row>
    <row r="90" spans="1:33">
      <c r="A90" t="s">
        <v>148</v>
      </c>
      <c r="C90">
        <f>SUMIFS(Annualized_Investments!C$2:C$9989,Annualized_Investments!$B$2:$B$9989,$A90)</f>
        <v>0</v>
      </c>
      <c r="D90">
        <f>SUMIFS(Annualized_Investments!D$2:D$9989,Annualized_Investments!$B$2:$B$9989,$A90)</f>
        <v>0</v>
      </c>
      <c r="E90">
        <f>SUMIFS(Annualized_Investments!E$2:E$9989,Annualized_Investments!$B$2:$B$9989,$A90)</f>
        <v>0</v>
      </c>
      <c r="F90">
        <f>SUMIFS(Annualized_Investments!F$2:F$9989,Annualized_Investments!$B$2:$B$9989,$A90)</f>
        <v>0</v>
      </c>
      <c r="G90">
        <f>SUMIFS(Annualized_Investments!G$2:G$9989,Annualized_Investments!$B$2:$B$9989,$A90)</f>
        <v>0</v>
      </c>
      <c r="H90">
        <f>SUMIFS(Annualized_Investments!H$2:H$9989,Annualized_Investments!$B$2:$B$9989,$A90)</f>
        <v>0</v>
      </c>
      <c r="I90">
        <f>SUMIFS(Annualized_Investments!I$2:I$9989,Annualized_Investments!$B$2:$B$9989,$A90)</f>
        <v>0</v>
      </c>
      <c r="J90">
        <f>SUMIFS(Annualized_Investments!J$2:J$9989,Annualized_Investments!$B$2:$B$9989,$A90)</f>
        <v>0</v>
      </c>
      <c r="K90">
        <f>SUMIFS(Annualized_Investments!K$2:K$9989,Annualized_Investments!$B$2:$B$9989,$A90)</f>
        <v>0</v>
      </c>
      <c r="L90">
        <f>SUMIFS(Annualized_Investments!L$2:L$9989,Annualized_Investments!$B$2:$B$9989,$A90)</f>
        <v>0</v>
      </c>
      <c r="M90">
        <f>SUMIFS(Annualized_Investments!M$2:M$9989,Annualized_Investments!$B$2:$B$9989,$A90)</f>
        <v>0</v>
      </c>
      <c r="N90">
        <f>SUMIFS(Annualized_Investments!N$2:N$9989,Annualized_Investments!$B$2:$B$9989,$A90)</f>
        <v>0</v>
      </c>
      <c r="O90">
        <f>SUMIFS(Annualized_Investments!O$2:O$9989,Annualized_Investments!$B$2:$B$9989,$A90)</f>
        <v>0</v>
      </c>
      <c r="P90">
        <f>SUMIFS(Annualized_Investments!P$2:P$9989,Annualized_Investments!$B$2:$B$9989,$A90)</f>
        <v>0</v>
      </c>
      <c r="Q90">
        <f>SUMIFS(Annualized_Investments!Q$2:Q$9989,Annualized_Investments!$B$2:$B$9989,$A90)</f>
        <v>0</v>
      </c>
      <c r="R90">
        <f>SUMIFS(Annualized_Investments!R$2:R$9989,Annualized_Investments!$B$2:$B$9989,$A90)</f>
        <v>0</v>
      </c>
      <c r="S90">
        <f>SUMIFS(Annualized_Investments!S$2:S$9989,Annualized_Investments!$B$2:$B$9989,$A90)</f>
        <v>0</v>
      </c>
      <c r="T90">
        <f>SUMIFS(Annualized_Investments!T$2:T$9989,Annualized_Investments!$B$2:$B$9989,$A90)</f>
        <v>0</v>
      </c>
      <c r="U90">
        <f>SUMIFS(Annualized_Investments!U$2:U$9989,Annualized_Investments!$B$2:$B$9989,$A90)</f>
        <v>0</v>
      </c>
      <c r="V90">
        <f>SUMIFS(Annualized_Investments!V$2:V$9989,Annualized_Investments!$B$2:$B$9989,$A90)</f>
        <v>0</v>
      </c>
      <c r="W90">
        <f>SUMIFS(Annualized_Investments!W$2:W$9989,Annualized_Investments!$B$2:$B$9989,$A90)</f>
        <v>0</v>
      </c>
      <c r="X90">
        <f>SUMIFS(Annualized_Investments!X$2:X$9989,Annualized_Investments!$B$2:$B$9989,$A90)</f>
        <v>0</v>
      </c>
      <c r="Y90">
        <f>SUMIFS(Annualized_Investments!Y$2:Y$9989,Annualized_Investments!$B$2:$B$9989,$A90)</f>
        <v>0</v>
      </c>
      <c r="Z90">
        <f>SUMIFS(Annualized_Investments!Z$2:Z$9989,Annualized_Investments!$B$2:$B$9989,$A90)</f>
        <v>0</v>
      </c>
      <c r="AA90">
        <f>SUMIFS(Annualized_Investments!AA$2:AA$9989,Annualized_Investments!$B$2:$B$9989,$A90)</f>
        <v>0</v>
      </c>
      <c r="AB90">
        <f>SUMIFS(Annualized_Investments!AB$2:AB$9989,Annualized_Investments!$B$2:$B$9989,$A90)</f>
        <v>0</v>
      </c>
      <c r="AC90">
        <f>SUMIFS(Annualized_Investments!AC$2:AC$9989,Annualized_Investments!$B$2:$B$9989,$A90)</f>
        <v>0</v>
      </c>
      <c r="AD90">
        <f>SUMIFS(Annualized_Investments!AD$2:AD$9989,Annualized_Investments!$B$2:$B$9989,$A90)</f>
        <v>0</v>
      </c>
      <c r="AE90">
        <f>SUMIFS(Annualized_Investments!AE$2:AE$9989,Annualized_Investments!$B$2:$B$9989,$A90)</f>
        <v>0</v>
      </c>
      <c r="AF90">
        <f>SUMIFS(Annualized_Investments!AF$2:AF$9989,Annualized_Investments!$B$2:$B$9989,$A90)</f>
        <v>0</v>
      </c>
      <c r="AG90">
        <f>SUMIFS(Annualized_Investments!AG$2:AG$9989,Annualized_Investments!$B$2:$B$9989,$A90)</f>
        <v>0</v>
      </c>
    </row>
    <row r="91" spans="1:33">
      <c r="A91" t="s">
        <v>149</v>
      </c>
      <c r="C91">
        <f>SUMIFS(Annualized_Investments!C$2:C$9989,Annualized_Investments!$B$2:$B$9989,$A91)</f>
        <v>0</v>
      </c>
      <c r="D91">
        <f>SUMIFS(Annualized_Investments!D$2:D$9989,Annualized_Investments!$B$2:$B$9989,$A91)</f>
        <v>0</v>
      </c>
      <c r="E91">
        <f>SUMIFS(Annualized_Investments!E$2:E$9989,Annualized_Investments!$B$2:$B$9989,$A91)</f>
        <v>0</v>
      </c>
      <c r="F91">
        <f>SUMIFS(Annualized_Investments!F$2:F$9989,Annualized_Investments!$B$2:$B$9989,$A91)</f>
        <v>0</v>
      </c>
      <c r="G91">
        <f>SUMIFS(Annualized_Investments!G$2:G$9989,Annualized_Investments!$B$2:$B$9989,$A91)</f>
        <v>0</v>
      </c>
      <c r="H91">
        <f>SUMIFS(Annualized_Investments!H$2:H$9989,Annualized_Investments!$B$2:$B$9989,$A91)</f>
        <v>0</v>
      </c>
      <c r="I91">
        <f>SUMIFS(Annualized_Investments!I$2:I$9989,Annualized_Investments!$B$2:$B$9989,$A91)</f>
        <v>0</v>
      </c>
      <c r="J91">
        <f>SUMIFS(Annualized_Investments!J$2:J$9989,Annualized_Investments!$B$2:$B$9989,$A91)</f>
        <v>0</v>
      </c>
      <c r="K91">
        <f>SUMIFS(Annualized_Investments!K$2:K$9989,Annualized_Investments!$B$2:$B$9989,$A91)</f>
        <v>0</v>
      </c>
      <c r="L91">
        <f>SUMIFS(Annualized_Investments!L$2:L$9989,Annualized_Investments!$B$2:$B$9989,$A91)</f>
        <v>0</v>
      </c>
      <c r="M91">
        <f>SUMIFS(Annualized_Investments!M$2:M$9989,Annualized_Investments!$B$2:$B$9989,$A91)</f>
        <v>0</v>
      </c>
      <c r="N91">
        <f>SUMIFS(Annualized_Investments!N$2:N$9989,Annualized_Investments!$B$2:$B$9989,$A91)</f>
        <v>0</v>
      </c>
      <c r="O91">
        <f>SUMIFS(Annualized_Investments!O$2:O$9989,Annualized_Investments!$B$2:$B$9989,$A91)</f>
        <v>0</v>
      </c>
      <c r="P91">
        <f>SUMIFS(Annualized_Investments!P$2:P$9989,Annualized_Investments!$B$2:$B$9989,$A91)</f>
        <v>0</v>
      </c>
      <c r="Q91">
        <f>SUMIFS(Annualized_Investments!Q$2:Q$9989,Annualized_Investments!$B$2:$B$9989,$A91)</f>
        <v>0</v>
      </c>
      <c r="R91">
        <f>SUMIFS(Annualized_Investments!R$2:R$9989,Annualized_Investments!$B$2:$B$9989,$A91)</f>
        <v>0</v>
      </c>
      <c r="S91">
        <f>SUMIFS(Annualized_Investments!S$2:S$9989,Annualized_Investments!$B$2:$B$9989,$A91)</f>
        <v>0</v>
      </c>
      <c r="T91">
        <f>SUMIFS(Annualized_Investments!T$2:T$9989,Annualized_Investments!$B$2:$B$9989,$A91)</f>
        <v>0</v>
      </c>
      <c r="U91">
        <f>SUMIFS(Annualized_Investments!U$2:U$9989,Annualized_Investments!$B$2:$B$9989,$A91)</f>
        <v>0</v>
      </c>
      <c r="V91">
        <f>SUMIFS(Annualized_Investments!V$2:V$9989,Annualized_Investments!$B$2:$B$9989,$A91)</f>
        <v>0</v>
      </c>
      <c r="W91">
        <f>SUMIFS(Annualized_Investments!W$2:W$9989,Annualized_Investments!$B$2:$B$9989,$A91)</f>
        <v>0</v>
      </c>
      <c r="X91">
        <f>SUMIFS(Annualized_Investments!X$2:X$9989,Annualized_Investments!$B$2:$B$9989,$A91)</f>
        <v>0</v>
      </c>
      <c r="Y91">
        <f>SUMIFS(Annualized_Investments!Y$2:Y$9989,Annualized_Investments!$B$2:$B$9989,$A91)</f>
        <v>0</v>
      </c>
      <c r="Z91">
        <f>SUMIFS(Annualized_Investments!Z$2:Z$9989,Annualized_Investments!$B$2:$B$9989,$A91)</f>
        <v>0</v>
      </c>
      <c r="AA91">
        <f>SUMIFS(Annualized_Investments!AA$2:AA$9989,Annualized_Investments!$B$2:$B$9989,$A91)</f>
        <v>0</v>
      </c>
      <c r="AB91">
        <f>SUMIFS(Annualized_Investments!AB$2:AB$9989,Annualized_Investments!$B$2:$B$9989,$A91)</f>
        <v>0</v>
      </c>
      <c r="AC91">
        <f>SUMIFS(Annualized_Investments!AC$2:AC$9989,Annualized_Investments!$B$2:$B$9989,$A91)</f>
        <v>0</v>
      </c>
      <c r="AD91">
        <f>SUMIFS(Annualized_Investments!AD$2:AD$9989,Annualized_Investments!$B$2:$B$9989,$A91)</f>
        <v>0</v>
      </c>
      <c r="AE91">
        <f>SUMIFS(Annualized_Investments!AE$2:AE$9989,Annualized_Investments!$B$2:$B$9989,$A91)</f>
        <v>0</v>
      </c>
      <c r="AF91">
        <f>SUMIFS(Annualized_Investments!AF$2:AF$9989,Annualized_Investments!$B$2:$B$9989,$A91)</f>
        <v>0</v>
      </c>
      <c r="AG91">
        <f>SUMIFS(Annualized_Investments!AG$2:AG$9989,Annualized_Investments!$B$2:$B$9989,$A91)</f>
        <v>0</v>
      </c>
    </row>
    <row r="92" spans="1:33">
      <c r="A92" t="s">
        <v>150</v>
      </c>
      <c r="C92">
        <f>SUMIFS(Annualized_Investments!C$2:C$9989,Annualized_Investments!$B$2:$B$9989,$A92)</f>
        <v>0</v>
      </c>
      <c r="D92">
        <f>SUMIFS(Annualized_Investments!D$2:D$9989,Annualized_Investments!$B$2:$B$9989,$A92)</f>
        <v>17.8767600929</v>
      </c>
      <c r="E92">
        <f>SUMIFS(Annualized_Investments!E$2:E$9989,Annualized_Investments!$B$2:$B$9989,$A92)</f>
        <v>35.182746503700002</v>
      </c>
      <c r="F92">
        <f>SUMIFS(Annualized_Investments!F$2:F$9989,Annualized_Investments!$B$2:$B$9989,$A92)</f>
        <v>43.737239445599997</v>
      </c>
      <c r="G92">
        <f>SUMIFS(Annualized_Investments!G$2:G$9989,Annualized_Investments!$B$2:$B$9989,$A92)</f>
        <v>96.293446186699995</v>
      </c>
      <c r="H92">
        <f>SUMIFS(Annualized_Investments!H$2:H$9989,Annualized_Investments!$B$2:$B$9989,$A92)</f>
        <v>110.19144367200001</v>
      </c>
      <c r="I92">
        <f>SUMIFS(Annualized_Investments!I$2:I$9989,Annualized_Investments!$B$2:$B$9989,$A92)</f>
        <v>110.19144367200001</v>
      </c>
      <c r="J92">
        <f>SUMIFS(Annualized_Investments!J$2:J$9989,Annualized_Investments!$B$2:$B$9989,$A92)</f>
        <v>110.19144367200001</v>
      </c>
      <c r="K92">
        <f>SUMIFS(Annualized_Investments!K$2:K$9989,Annualized_Investments!$B$2:$B$9989,$A92)</f>
        <v>110.19144367200001</v>
      </c>
      <c r="L92">
        <f>SUMIFS(Annualized_Investments!L$2:L$9989,Annualized_Investments!$B$2:$B$9989,$A92)</f>
        <v>110.19144367200001</v>
      </c>
      <c r="M92">
        <f>SUMIFS(Annualized_Investments!M$2:M$9989,Annualized_Investments!$B$2:$B$9989,$A92)</f>
        <v>373.6601329998</v>
      </c>
      <c r="N92">
        <f>SUMIFS(Annualized_Investments!N$2:N$9989,Annualized_Investments!$B$2:$B$9989,$A92)</f>
        <v>373.6601329998</v>
      </c>
      <c r="O92">
        <f>SUMIFS(Annualized_Investments!O$2:O$9989,Annualized_Investments!$B$2:$B$9989,$A92)</f>
        <v>373.6601329998</v>
      </c>
      <c r="P92">
        <f>SUMIFS(Annualized_Investments!P$2:P$9989,Annualized_Investments!$B$2:$B$9989,$A92)</f>
        <v>373.6601329998</v>
      </c>
      <c r="Q92">
        <f>SUMIFS(Annualized_Investments!Q$2:Q$9989,Annualized_Investments!$B$2:$B$9989,$A92)</f>
        <v>448.99732132909998</v>
      </c>
      <c r="R92">
        <f>SUMIFS(Annualized_Investments!R$2:R$9989,Annualized_Investments!$B$2:$B$9989,$A92)</f>
        <v>448.99732132909998</v>
      </c>
      <c r="S92">
        <f>SUMIFS(Annualized_Investments!S$2:S$9989,Annualized_Investments!$B$2:$B$9989,$A92)</f>
        <v>448.99732132909998</v>
      </c>
      <c r="T92">
        <f>SUMIFS(Annualized_Investments!T$2:T$9989,Annualized_Investments!$B$2:$B$9989,$A92)</f>
        <v>448.99732132909998</v>
      </c>
      <c r="U92">
        <f>SUMIFS(Annualized_Investments!U$2:U$9989,Annualized_Investments!$B$2:$B$9989,$A92)</f>
        <v>448.99732132909998</v>
      </c>
      <c r="V92">
        <f>SUMIFS(Annualized_Investments!V$2:V$9989,Annualized_Investments!$B$2:$B$9989,$A92)</f>
        <v>448.99732132909998</v>
      </c>
      <c r="W92">
        <f>SUMIFS(Annualized_Investments!W$2:W$9989,Annualized_Investments!$B$2:$B$9989,$A92)</f>
        <v>1178.7438863834</v>
      </c>
      <c r="X92">
        <f>SUMIFS(Annualized_Investments!X$2:X$9989,Annualized_Investments!$B$2:$B$9989,$A92)</f>
        <v>1178.7438863834</v>
      </c>
      <c r="Y92">
        <f>SUMIFS(Annualized_Investments!Y$2:Y$9989,Annualized_Investments!$B$2:$B$9989,$A92)</f>
        <v>1180.0774903655999</v>
      </c>
      <c r="Z92">
        <f>SUMIFS(Annualized_Investments!Z$2:Z$9989,Annualized_Investments!$B$2:$B$9989,$A92)</f>
        <v>1181.3250839597999</v>
      </c>
      <c r="AA92">
        <f>SUMIFS(Annualized_Investments!AA$2:AA$9989,Annualized_Investments!$B$2:$B$9989,$A92)</f>
        <v>1182.4248125444001</v>
      </c>
      <c r="AB92">
        <f>SUMIFS(Annualized_Investments!AB$2:AB$9989,Annualized_Investments!$B$2:$B$9989,$A92)</f>
        <v>0</v>
      </c>
      <c r="AC92">
        <f>SUMIFS(Annualized_Investments!AC$2:AC$9989,Annualized_Investments!$B$2:$B$9989,$A92)</f>
        <v>0</v>
      </c>
      <c r="AD92">
        <f>SUMIFS(Annualized_Investments!AD$2:AD$9989,Annualized_Investments!$B$2:$B$9989,$A92)</f>
        <v>62.764778630099997</v>
      </c>
      <c r="AE92">
        <f>SUMIFS(Annualized_Investments!AE$2:AE$9989,Annualized_Investments!$B$2:$B$9989,$A92)</f>
        <v>130.86508314739999</v>
      </c>
      <c r="AF92">
        <f>SUMIFS(Annualized_Investments!AF$2:AF$9989,Annualized_Investments!$B$2:$B$9989,$A92)</f>
        <v>317.3963513324</v>
      </c>
      <c r="AG92">
        <f>SUMIFS(Annualized_Investments!AG$2:AG$9989,Annualized_Investments!$B$2:$B$9989,$A92)</f>
        <v>2553.4477231214</v>
      </c>
    </row>
    <row r="93" spans="1:33">
      <c r="A93" t="s">
        <v>151</v>
      </c>
      <c r="C93">
        <f>SUMIFS(Annualized_Investments!C$2:C$9989,Annualized_Investments!$B$2:$B$9989,$A93)</f>
        <v>0</v>
      </c>
      <c r="D93">
        <f>SUMIFS(Annualized_Investments!D$2:D$9989,Annualized_Investments!$B$2:$B$9989,$A93)</f>
        <v>0</v>
      </c>
      <c r="E93">
        <f>SUMIFS(Annualized_Investments!E$2:E$9989,Annualized_Investments!$B$2:$B$9989,$A93)</f>
        <v>0</v>
      </c>
      <c r="F93">
        <f>SUMIFS(Annualized_Investments!F$2:F$9989,Annualized_Investments!$B$2:$B$9989,$A93)</f>
        <v>0</v>
      </c>
      <c r="G93">
        <f>SUMIFS(Annualized_Investments!G$2:G$9989,Annualized_Investments!$B$2:$B$9989,$A93)</f>
        <v>0</v>
      </c>
      <c r="H93">
        <f>SUMIFS(Annualized_Investments!H$2:H$9989,Annualized_Investments!$B$2:$B$9989,$A93)</f>
        <v>0</v>
      </c>
      <c r="I93">
        <f>SUMIFS(Annualized_Investments!I$2:I$9989,Annualized_Investments!$B$2:$B$9989,$A93)</f>
        <v>0</v>
      </c>
      <c r="J93">
        <f>SUMIFS(Annualized_Investments!J$2:J$9989,Annualized_Investments!$B$2:$B$9989,$A93)</f>
        <v>0</v>
      </c>
      <c r="K93">
        <f>SUMIFS(Annualized_Investments!K$2:K$9989,Annualized_Investments!$B$2:$B$9989,$A93)</f>
        <v>0</v>
      </c>
      <c r="L93">
        <f>SUMIFS(Annualized_Investments!L$2:L$9989,Annualized_Investments!$B$2:$B$9989,$A93)</f>
        <v>0</v>
      </c>
      <c r="M93">
        <f>SUMIFS(Annualized_Investments!M$2:M$9989,Annualized_Investments!$B$2:$B$9989,$A93)</f>
        <v>0</v>
      </c>
      <c r="N93">
        <f>SUMIFS(Annualized_Investments!N$2:N$9989,Annualized_Investments!$B$2:$B$9989,$A93)</f>
        <v>0</v>
      </c>
      <c r="O93">
        <f>SUMIFS(Annualized_Investments!O$2:O$9989,Annualized_Investments!$B$2:$B$9989,$A93)</f>
        <v>0</v>
      </c>
      <c r="P93">
        <f>SUMIFS(Annualized_Investments!P$2:P$9989,Annualized_Investments!$B$2:$B$9989,$A93)</f>
        <v>0</v>
      </c>
      <c r="Q93">
        <f>SUMIFS(Annualized_Investments!Q$2:Q$9989,Annualized_Investments!$B$2:$B$9989,$A93)</f>
        <v>0</v>
      </c>
      <c r="R93">
        <f>SUMIFS(Annualized_Investments!R$2:R$9989,Annualized_Investments!$B$2:$B$9989,$A93)</f>
        <v>0</v>
      </c>
      <c r="S93">
        <f>SUMIFS(Annualized_Investments!S$2:S$9989,Annualized_Investments!$B$2:$B$9989,$A93)</f>
        <v>0</v>
      </c>
      <c r="T93">
        <f>SUMIFS(Annualized_Investments!T$2:T$9989,Annualized_Investments!$B$2:$B$9989,$A93)</f>
        <v>0</v>
      </c>
      <c r="U93">
        <f>SUMIFS(Annualized_Investments!U$2:U$9989,Annualized_Investments!$B$2:$B$9989,$A93)</f>
        <v>0</v>
      </c>
      <c r="V93">
        <f>SUMIFS(Annualized_Investments!V$2:V$9989,Annualized_Investments!$B$2:$B$9989,$A93)</f>
        <v>0</v>
      </c>
      <c r="W93">
        <f>SUMIFS(Annualized_Investments!W$2:W$9989,Annualized_Investments!$B$2:$B$9989,$A93)</f>
        <v>0</v>
      </c>
      <c r="X93">
        <f>SUMIFS(Annualized_Investments!X$2:X$9989,Annualized_Investments!$B$2:$B$9989,$A93)</f>
        <v>0</v>
      </c>
      <c r="Y93">
        <f>SUMIFS(Annualized_Investments!Y$2:Y$9989,Annualized_Investments!$B$2:$B$9989,$A93)</f>
        <v>0</v>
      </c>
      <c r="Z93">
        <f>SUMIFS(Annualized_Investments!Z$2:Z$9989,Annualized_Investments!$B$2:$B$9989,$A93)</f>
        <v>0</v>
      </c>
      <c r="AA93">
        <f>SUMIFS(Annualized_Investments!AA$2:AA$9989,Annualized_Investments!$B$2:$B$9989,$A93)</f>
        <v>0</v>
      </c>
      <c r="AB93">
        <f>SUMIFS(Annualized_Investments!AB$2:AB$9989,Annualized_Investments!$B$2:$B$9989,$A93)</f>
        <v>0</v>
      </c>
      <c r="AC93">
        <f>SUMIFS(Annualized_Investments!AC$2:AC$9989,Annualized_Investments!$B$2:$B$9989,$A93)</f>
        <v>0</v>
      </c>
      <c r="AD93">
        <f>SUMIFS(Annualized_Investments!AD$2:AD$9989,Annualized_Investments!$B$2:$B$9989,$A93)</f>
        <v>0</v>
      </c>
      <c r="AE93">
        <f>SUMIFS(Annualized_Investments!AE$2:AE$9989,Annualized_Investments!$B$2:$B$9989,$A93)</f>
        <v>0</v>
      </c>
      <c r="AF93">
        <f>SUMIFS(Annualized_Investments!AF$2:AF$9989,Annualized_Investments!$B$2:$B$9989,$A93)</f>
        <v>0</v>
      </c>
      <c r="AG93">
        <f>SUMIFS(Annualized_Investments!AG$2:AG$9989,Annualized_Investments!$B$2:$B$9989,$A93)</f>
        <v>0</v>
      </c>
    </row>
    <row r="94" spans="1:33">
      <c r="A94" t="s">
        <v>152</v>
      </c>
      <c r="C94">
        <f>SUMIFS(Annualized_Investments!C$2:C$9989,Annualized_Investments!$B$2:$B$9989,$A94)</f>
        <v>24.191247073500001</v>
      </c>
      <c r="D94">
        <f>SUMIFS(Annualized_Investments!D$2:D$9989,Annualized_Investments!$B$2:$B$9989,$A94)</f>
        <v>24.191247073500001</v>
      </c>
      <c r="E94">
        <f>SUMIFS(Annualized_Investments!E$2:E$9989,Annualized_Investments!$B$2:$B$9989,$A94)</f>
        <v>24.191247073500001</v>
      </c>
      <c r="F94">
        <f>SUMIFS(Annualized_Investments!F$2:F$9989,Annualized_Investments!$B$2:$B$9989,$A94)</f>
        <v>24.191247073500001</v>
      </c>
      <c r="G94">
        <f>SUMIFS(Annualized_Investments!G$2:G$9989,Annualized_Investments!$B$2:$B$9989,$A94)</f>
        <v>24.191247073500001</v>
      </c>
      <c r="H94">
        <f>SUMIFS(Annualized_Investments!H$2:H$9989,Annualized_Investments!$B$2:$B$9989,$A94)</f>
        <v>24.191247073500001</v>
      </c>
      <c r="I94">
        <f>SUMIFS(Annualized_Investments!I$2:I$9989,Annualized_Investments!$B$2:$B$9989,$A94)</f>
        <v>24.191247073500001</v>
      </c>
      <c r="J94">
        <f>SUMIFS(Annualized_Investments!J$2:J$9989,Annualized_Investments!$B$2:$B$9989,$A94)</f>
        <v>24.191247073500001</v>
      </c>
      <c r="K94">
        <f>SUMIFS(Annualized_Investments!K$2:K$9989,Annualized_Investments!$B$2:$B$9989,$A94)</f>
        <v>24.191247073500001</v>
      </c>
      <c r="L94">
        <f>SUMIFS(Annualized_Investments!L$2:L$9989,Annualized_Investments!$B$2:$B$9989,$A94)</f>
        <v>24.191247073500001</v>
      </c>
      <c r="M94">
        <f>SUMIFS(Annualized_Investments!M$2:M$9989,Annualized_Investments!$B$2:$B$9989,$A94)</f>
        <v>24.191247073500001</v>
      </c>
      <c r="N94">
        <f>SUMIFS(Annualized_Investments!N$2:N$9989,Annualized_Investments!$B$2:$B$9989,$A94)</f>
        <v>24.191247073500001</v>
      </c>
      <c r="O94">
        <f>SUMIFS(Annualized_Investments!O$2:O$9989,Annualized_Investments!$B$2:$B$9989,$A94)</f>
        <v>24.191247073500001</v>
      </c>
      <c r="P94">
        <f>SUMIFS(Annualized_Investments!P$2:P$9989,Annualized_Investments!$B$2:$B$9989,$A94)</f>
        <v>24.191247073500001</v>
      </c>
      <c r="Q94">
        <f>SUMIFS(Annualized_Investments!Q$2:Q$9989,Annualized_Investments!$B$2:$B$9989,$A94)</f>
        <v>24.191247073500001</v>
      </c>
      <c r="R94">
        <f>SUMIFS(Annualized_Investments!R$2:R$9989,Annualized_Investments!$B$2:$B$9989,$A94)</f>
        <v>24.191247073500001</v>
      </c>
      <c r="S94">
        <f>SUMIFS(Annualized_Investments!S$2:S$9989,Annualized_Investments!$B$2:$B$9989,$A94)</f>
        <v>24.191247073500001</v>
      </c>
      <c r="T94">
        <f>SUMIFS(Annualized_Investments!T$2:T$9989,Annualized_Investments!$B$2:$B$9989,$A94)</f>
        <v>24.191247073500001</v>
      </c>
      <c r="U94">
        <f>SUMIFS(Annualized_Investments!U$2:U$9989,Annualized_Investments!$B$2:$B$9989,$A94)</f>
        <v>24.191247073500001</v>
      </c>
      <c r="V94">
        <f>SUMIFS(Annualized_Investments!V$2:V$9989,Annualized_Investments!$B$2:$B$9989,$A94)</f>
        <v>24.191247073500001</v>
      </c>
      <c r="W94">
        <f>SUMIFS(Annualized_Investments!W$2:W$9989,Annualized_Investments!$B$2:$B$9989,$A94)</f>
        <v>24.191247073500001</v>
      </c>
      <c r="X94">
        <f>SUMIFS(Annualized_Investments!X$2:X$9989,Annualized_Investments!$B$2:$B$9989,$A94)</f>
        <v>24.191247073500001</v>
      </c>
      <c r="Y94">
        <f>SUMIFS(Annualized_Investments!Y$2:Y$9989,Annualized_Investments!$B$2:$B$9989,$A94)</f>
        <v>24.191247073500001</v>
      </c>
      <c r="Z94">
        <f>SUMIFS(Annualized_Investments!Z$2:Z$9989,Annualized_Investments!$B$2:$B$9989,$A94)</f>
        <v>24.191247073500001</v>
      </c>
      <c r="AA94">
        <f>SUMIFS(Annualized_Investments!AA$2:AA$9989,Annualized_Investments!$B$2:$B$9989,$A94)</f>
        <v>24.191247073500001</v>
      </c>
      <c r="AB94">
        <f>SUMIFS(Annualized_Investments!AB$2:AB$9989,Annualized_Investments!$B$2:$B$9989,$A94)</f>
        <v>2222.1509570704002</v>
      </c>
      <c r="AC94">
        <f>SUMIFS(Annualized_Investments!AC$2:AC$9989,Annualized_Investments!$B$2:$B$9989,$A94)</f>
        <v>2255.2683452916999</v>
      </c>
      <c r="AD94">
        <f>SUMIFS(Annualized_Investments!AD$2:AD$9989,Annualized_Investments!$B$2:$B$9989,$A94)</f>
        <v>2255.2683452916999</v>
      </c>
      <c r="AE94">
        <f>SUMIFS(Annualized_Investments!AE$2:AE$9989,Annualized_Investments!$B$2:$B$9989,$A94)</f>
        <v>2307.6894804721001</v>
      </c>
      <c r="AF94">
        <f>SUMIFS(Annualized_Investments!AF$2:AF$9989,Annualized_Investments!$B$2:$B$9989,$A94)</f>
        <v>2310.3358781725001</v>
      </c>
      <c r="AG94">
        <f>SUMIFS(Annualized_Investments!AG$2:AG$9989,Annualized_Investments!$B$2:$B$9989,$A94)</f>
        <v>2361.3285519875999</v>
      </c>
    </row>
    <row r="95" spans="1:33">
      <c r="A95" t="s">
        <v>135</v>
      </c>
      <c r="C95">
        <f>SUMIFS(Annualized_Investments!C$2:C$9989,Annualized_Investments!$B$2:$B$9989,$A95)</f>
        <v>0</v>
      </c>
      <c r="D95">
        <f>SUMIFS(Annualized_Investments!D$2:D$9989,Annualized_Investments!$B$2:$B$9989,$A95)</f>
        <v>99.794413120499996</v>
      </c>
      <c r="E95">
        <f>SUMIFS(Annualized_Investments!E$2:E$9989,Annualized_Investments!$B$2:$B$9989,$A95)</f>
        <v>153.79884246770001</v>
      </c>
      <c r="F95">
        <f>SUMIFS(Annualized_Investments!F$2:F$9989,Annualized_Investments!$B$2:$B$9989,$A95)</f>
        <v>153.79884246770001</v>
      </c>
      <c r="G95">
        <f>SUMIFS(Annualized_Investments!G$2:G$9989,Annualized_Investments!$B$2:$B$9989,$A95)</f>
        <v>160.01517965869999</v>
      </c>
      <c r="H95">
        <f>SUMIFS(Annualized_Investments!H$2:H$9989,Annualized_Investments!$B$2:$B$9989,$A95)</f>
        <v>160.01517965869999</v>
      </c>
      <c r="I95">
        <f>SUMIFS(Annualized_Investments!I$2:I$9989,Annualized_Investments!$B$2:$B$9989,$A95)</f>
        <v>160.01517965869999</v>
      </c>
      <c r="J95">
        <f>SUMIFS(Annualized_Investments!J$2:J$9989,Annualized_Investments!$B$2:$B$9989,$A95)</f>
        <v>160.01517965869999</v>
      </c>
      <c r="K95">
        <f>SUMIFS(Annualized_Investments!K$2:K$9989,Annualized_Investments!$B$2:$B$9989,$A95)</f>
        <v>160.01517965869999</v>
      </c>
      <c r="L95">
        <f>SUMIFS(Annualized_Investments!L$2:L$9989,Annualized_Investments!$B$2:$B$9989,$A95)</f>
        <v>160.01517965869999</v>
      </c>
      <c r="M95">
        <f>SUMIFS(Annualized_Investments!M$2:M$9989,Annualized_Investments!$B$2:$B$9989,$A95)</f>
        <v>160.01517965869999</v>
      </c>
      <c r="N95">
        <f>SUMIFS(Annualized_Investments!N$2:N$9989,Annualized_Investments!$B$2:$B$9989,$A95)</f>
        <v>160.01517965869999</v>
      </c>
      <c r="O95">
        <f>SUMIFS(Annualized_Investments!O$2:O$9989,Annualized_Investments!$B$2:$B$9989,$A95)</f>
        <v>160.01517965869999</v>
      </c>
      <c r="P95">
        <f>SUMIFS(Annualized_Investments!P$2:P$9989,Annualized_Investments!$B$2:$B$9989,$A95)</f>
        <v>160.01517965869999</v>
      </c>
      <c r="Q95">
        <f>SUMIFS(Annualized_Investments!Q$2:Q$9989,Annualized_Investments!$B$2:$B$9989,$A95)</f>
        <v>160.01517965869999</v>
      </c>
      <c r="R95">
        <f>SUMIFS(Annualized_Investments!R$2:R$9989,Annualized_Investments!$B$2:$B$9989,$A95)</f>
        <v>160.01517965869999</v>
      </c>
      <c r="S95">
        <f>SUMIFS(Annualized_Investments!S$2:S$9989,Annualized_Investments!$B$2:$B$9989,$A95)</f>
        <v>160.01517965869999</v>
      </c>
      <c r="T95">
        <f>SUMIFS(Annualized_Investments!T$2:T$9989,Annualized_Investments!$B$2:$B$9989,$A95)</f>
        <v>160.01517965869999</v>
      </c>
      <c r="U95">
        <f>SUMIFS(Annualized_Investments!U$2:U$9989,Annualized_Investments!$B$2:$B$9989,$A95)</f>
        <v>160.01517965869999</v>
      </c>
      <c r="V95">
        <f>SUMIFS(Annualized_Investments!V$2:V$9989,Annualized_Investments!$B$2:$B$9989,$A95)</f>
        <v>160.01517965869999</v>
      </c>
      <c r="W95">
        <f>SUMIFS(Annualized_Investments!W$2:W$9989,Annualized_Investments!$B$2:$B$9989,$A95)</f>
        <v>160.01517965869999</v>
      </c>
      <c r="X95">
        <f>SUMIFS(Annualized_Investments!X$2:X$9989,Annualized_Investments!$B$2:$B$9989,$A95)</f>
        <v>160.01517965869999</v>
      </c>
      <c r="Y95">
        <f>SUMIFS(Annualized_Investments!Y$2:Y$9989,Annualized_Investments!$B$2:$B$9989,$A95)</f>
        <v>160.01517965869999</v>
      </c>
      <c r="Z95">
        <f>SUMIFS(Annualized_Investments!Z$2:Z$9989,Annualized_Investments!$B$2:$B$9989,$A95)</f>
        <v>160.01517965869999</v>
      </c>
      <c r="AA95">
        <f>SUMIFS(Annualized_Investments!AA$2:AA$9989,Annualized_Investments!$B$2:$B$9989,$A95)</f>
        <v>160.01517965869999</v>
      </c>
      <c r="AB95">
        <f>SUMIFS(Annualized_Investments!AB$2:AB$9989,Annualized_Investments!$B$2:$B$9989,$A95)</f>
        <v>160.01517965869999</v>
      </c>
      <c r="AC95">
        <f>SUMIFS(Annualized_Investments!AC$2:AC$9989,Annualized_Investments!$B$2:$B$9989,$A95)</f>
        <v>160.01517965869999</v>
      </c>
      <c r="AD95">
        <f>SUMIFS(Annualized_Investments!AD$2:AD$9989,Annualized_Investments!$B$2:$B$9989,$A95)</f>
        <v>160.01517965869999</v>
      </c>
      <c r="AE95">
        <f>SUMIFS(Annualized_Investments!AE$2:AE$9989,Annualized_Investments!$B$2:$B$9989,$A95)</f>
        <v>160.01517965869999</v>
      </c>
      <c r="AF95">
        <f>SUMIFS(Annualized_Investments!AF$2:AF$9989,Annualized_Investments!$B$2:$B$9989,$A95)</f>
        <v>160.01517965869999</v>
      </c>
      <c r="AG95">
        <f>SUMIFS(Annualized_Investments!AG$2:AG$9989,Annualized_Investments!$B$2:$B$9989,$A95)</f>
        <v>160.01517965869999</v>
      </c>
    </row>
    <row r="96" spans="1:33">
      <c r="A96" t="s">
        <v>134</v>
      </c>
      <c r="C96">
        <f>SUMIFS(Annualized_Investments!C$2:C$9989,Annualized_Investments!$B$2:$B$9989,$A96)</f>
        <v>0</v>
      </c>
      <c r="D96">
        <f>SUMIFS(Annualized_Investments!D$2:D$9989,Annualized_Investments!$B$2:$B$9989,$A96)</f>
        <v>0</v>
      </c>
      <c r="E96">
        <f>SUMIFS(Annualized_Investments!E$2:E$9989,Annualized_Investments!$B$2:$B$9989,$A96)</f>
        <v>0</v>
      </c>
      <c r="F96">
        <f>SUMIFS(Annualized_Investments!F$2:F$9989,Annualized_Investments!$B$2:$B$9989,$A96)</f>
        <v>0</v>
      </c>
      <c r="G96">
        <f>SUMIFS(Annualized_Investments!G$2:G$9989,Annualized_Investments!$B$2:$B$9989,$A96)</f>
        <v>0</v>
      </c>
      <c r="H96">
        <f>SUMIFS(Annualized_Investments!H$2:H$9989,Annualized_Investments!$B$2:$B$9989,$A96)</f>
        <v>0</v>
      </c>
      <c r="I96">
        <f>SUMIFS(Annualized_Investments!I$2:I$9989,Annualized_Investments!$B$2:$B$9989,$A96)</f>
        <v>0</v>
      </c>
      <c r="J96">
        <f>SUMIFS(Annualized_Investments!J$2:J$9989,Annualized_Investments!$B$2:$B$9989,$A96)</f>
        <v>0</v>
      </c>
      <c r="K96">
        <f>SUMIFS(Annualized_Investments!K$2:K$9989,Annualized_Investments!$B$2:$B$9989,$A96)</f>
        <v>0</v>
      </c>
      <c r="L96">
        <f>SUMIFS(Annualized_Investments!L$2:L$9989,Annualized_Investments!$B$2:$B$9989,$A96)</f>
        <v>0</v>
      </c>
      <c r="M96">
        <f>SUMIFS(Annualized_Investments!M$2:M$9989,Annualized_Investments!$B$2:$B$9989,$A96)</f>
        <v>0</v>
      </c>
      <c r="N96">
        <f>SUMIFS(Annualized_Investments!N$2:N$9989,Annualized_Investments!$B$2:$B$9989,$A96)</f>
        <v>0</v>
      </c>
      <c r="O96">
        <f>SUMIFS(Annualized_Investments!O$2:O$9989,Annualized_Investments!$B$2:$B$9989,$A96)</f>
        <v>0</v>
      </c>
      <c r="P96">
        <f>SUMIFS(Annualized_Investments!P$2:P$9989,Annualized_Investments!$B$2:$B$9989,$A96)</f>
        <v>0</v>
      </c>
      <c r="Q96">
        <f>SUMIFS(Annualized_Investments!Q$2:Q$9989,Annualized_Investments!$B$2:$B$9989,$A96)</f>
        <v>0</v>
      </c>
      <c r="R96">
        <f>SUMIFS(Annualized_Investments!R$2:R$9989,Annualized_Investments!$B$2:$B$9989,$A96)</f>
        <v>0</v>
      </c>
      <c r="S96">
        <f>SUMIFS(Annualized_Investments!S$2:S$9989,Annualized_Investments!$B$2:$B$9989,$A96)</f>
        <v>0</v>
      </c>
      <c r="T96">
        <f>SUMIFS(Annualized_Investments!T$2:T$9989,Annualized_Investments!$B$2:$B$9989,$A96)</f>
        <v>0</v>
      </c>
      <c r="U96">
        <f>SUMIFS(Annualized_Investments!U$2:U$9989,Annualized_Investments!$B$2:$B$9989,$A96)</f>
        <v>0</v>
      </c>
      <c r="V96">
        <f>SUMIFS(Annualized_Investments!V$2:V$9989,Annualized_Investments!$B$2:$B$9989,$A96)</f>
        <v>0</v>
      </c>
      <c r="W96">
        <f>SUMIFS(Annualized_Investments!W$2:W$9989,Annualized_Investments!$B$2:$B$9989,$A96)</f>
        <v>0</v>
      </c>
      <c r="X96">
        <f>SUMIFS(Annualized_Investments!X$2:X$9989,Annualized_Investments!$B$2:$B$9989,$A96)</f>
        <v>0</v>
      </c>
      <c r="Y96">
        <f>SUMIFS(Annualized_Investments!Y$2:Y$9989,Annualized_Investments!$B$2:$B$9989,$A96)</f>
        <v>0</v>
      </c>
      <c r="Z96">
        <f>SUMIFS(Annualized_Investments!Z$2:Z$9989,Annualized_Investments!$B$2:$B$9989,$A96)</f>
        <v>0</v>
      </c>
      <c r="AA96">
        <f>SUMIFS(Annualized_Investments!AA$2:AA$9989,Annualized_Investments!$B$2:$B$9989,$A96)</f>
        <v>0</v>
      </c>
      <c r="AB96">
        <f>SUMIFS(Annualized_Investments!AB$2:AB$9989,Annualized_Investments!$B$2:$B$9989,$A96)</f>
        <v>0</v>
      </c>
      <c r="AC96">
        <f>SUMIFS(Annualized_Investments!AC$2:AC$9989,Annualized_Investments!$B$2:$B$9989,$A96)</f>
        <v>0</v>
      </c>
      <c r="AD96">
        <f>SUMIFS(Annualized_Investments!AD$2:AD$9989,Annualized_Investments!$B$2:$B$9989,$A96)</f>
        <v>0</v>
      </c>
      <c r="AE96">
        <f>SUMIFS(Annualized_Investments!AE$2:AE$9989,Annualized_Investments!$B$2:$B$9989,$A96)</f>
        <v>0</v>
      </c>
      <c r="AF96">
        <f>SUMIFS(Annualized_Investments!AF$2:AF$9989,Annualized_Investments!$B$2:$B$9989,$A96)</f>
        <v>0</v>
      </c>
      <c r="AG96">
        <f>SUMIFS(Annualized_Investments!AG$2:AG$9989,Annualized_Investments!$B$2:$B$9989,$A96)</f>
        <v>0</v>
      </c>
    </row>
    <row r="97" spans="1:58">
      <c r="A97" s="42" t="s">
        <v>154</v>
      </c>
      <c r="C97">
        <f>SUMIFS(Annualized_Investments!C$2:C$9989,Annualized_Investments!$B$2:$B$9989,$A97)</f>
        <v>0</v>
      </c>
      <c r="D97">
        <f>SUMIFS(Annualized_Investments!D$2:D$9989,Annualized_Investments!$B$2:$B$9989,$A97)</f>
        <v>0</v>
      </c>
      <c r="E97">
        <f>SUMIFS(Annualized_Investments!E$2:E$9989,Annualized_Investments!$B$2:$B$9989,$A97)</f>
        <v>0</v>
      </c>
      <c r="F97">
        <f>SUMIFS(Annualized_Investments!F$2:F$9989,Annualized_Investments!$B$2:$B$9989,$A97)</f>
        <v>0</v>
      </c>
      <c r="G97">
        <f>SUMIFS(Annualized_Investments!G$2:G$9989,Annualized_Investments!$B$2:$B$9989,$A97)</f>
        <v>0</v>
      </c>
      <c r="H97">
        <f>SUMIFS(Annualized_Investments!H$2:H$9989,Annualized_Investments!$B$2:$B$9989,$A97)</f>
        <v>0</v>
      </c>
      <c r="I97">
        <f>SUMIFS(Annualized_Investments!I$2:I$9989,Annualized_Investments!$B$2:$B$9989,$A97)</f>
        <v>0</v>
      </c>
      <c r="J97">
        <f>SUMIFS(Annualized_Investments!J$2:J$9989,Annualized_Investments!$B$2:$B$9989,$A97)</f>
        <v>0</v>
      </c>
      <c r="K97">
        <f>SUMIFS(Annualized_Investments!K$2:K$9989,Annualized_Investments!$B$2:$B$9989,$A97)</f>
        <v>0</v>
      </c>
      <c r="L97">
        <f>SUMIFS(Annualized_Investments!L$2:L$9989,Annualized_Investments!$B$2:$B$9989,$A97)</f>
        <v>0</v>
      </c>
      <c r="M97">
        <f>SUMIFS(Annualized_Investments!M$2:M$9989,Annualized_Investments!$B$2:$B$9989,$A97)</f>
        <v>0</v>
      </c>
      <c r="N97">
        <f>SUMIFS(Annualized_Investments!N$2:N$9989,Annualized_Investments!$B$2:$B$9989,$A97)</f>
        <v>0</v>
      </c>
      <c r="O97">
        <f>SUMIFS(Annualized_Investments!O$2:O$9989,Annualized_Investments!$B$2:$B$9989,$A97)</f>
        <v>0</v>
      </c>
      <c r="P97">
        <f>SUMIFS(Annualized_Investments!P$2:P$9989,Annualized_Investments!$B$2:$B$9989,$A97)</f>
        <v>0</v>
      </c>
      <c r="Q97">
        <f>SUMIFS(Annualized_Investments!Q$2:Q$9989,Annualized_Investments!$B$2:$B$9989,$A97)</f>
        <v>0</v>
      </c>
      <c r="R97">
        <f>SUMIFS(Annualized_Investments!R$2:R$9989,Annualized_Investments!$B$2:$B$9989,$A97)</f>
        <v>0</v>
      </c>
      <c r="S97">
        <f>SUMIFS(Annualized_Investments!S$2:S$9989,Annualized_Investments!$B$2:$B$9989,$A97)</f>
        <v>0</v>
      </c>
      <c r="T97">
        <f>SUMIFS(Annualized_Investments!T$2:T$9989,Annualized_Investments!$B$2:$B$9989,$A97)</f>
        <v>0</v>
      </c>
      <c r="U97">
        <f>SUMIFS(Annualized_Investments!U$2:U$9989,Annualized_Investments!$B$2:$B$9989,$A97)</f>
        <v>0</v>
      </c>
      <c r="V97">
        <f>SUMIFS(Annualized_Investments!V$2:V$9989,Annualized_Investments!$B$2:$B$9989,$A97)</f>
        <v>0</v>
      </c>
      <c r="W97">
        <f>SUMIFS(Annualized_Investments!W$2:W$9989,Annualized_Investments!$B$2:$B$9989,$A97)</f>
        <v>0</v>
      </c>
      <c r="X97">
        <f>SUMIFS(Annualized_Investments!X$2:X$9989,Annualized_Investments!$B$2:$B$9989,$A97)</f>
        <v>0</v>
      </c>
      <c r="Y97">
        <f>SUMIFS(Annualized_Investments!Y$2:Y$9989,Annualized_Investments!$B$2:$B$9989,$A97)</f>
        <v>0</v>
      </c>
      <c r="Z97">
        <f>SUMIFS(Annualized_Investments!Z$2:Z$9989,Annualized_Investments!$B$2:$B$9989,$A97)</f>
        <v>0</v>
      </c>
      <c r="AA97">
        <f>SUMIFS(Annualized_Investments!AA$2:AA$9989,Annualized_Investments!$B$2:$B$9989,$A97)</f>
        <v>0</v>
      </c>
      <c r="AB97">
        <f>SUMIFS(Annualized_Investments!AB$2:AB$9989,Annualized_Investments!$B$2:$B$9989,$A97)</f>
        <v>0</v>
      </c>
      <c r="AC97">
        <f>SUMIFS(Annualized_Investments!AC$2:AC$9989,Annualized_Investments!$B$2:$B$9989,$A97)</f>
        <v>0</v>
      </c>
      <c r="AD97">
        <f>SUMIFS(Annualized_Investments!AD$2:AD$9989,Annualized_Investments!$B$2:$B$9989,$A97)</f>
        <v>0</v>
      </c>
      <c r="AE97">
        <f>SUMIFS(Annualized_Investments!AE$2:AE$9989,Annualized_Investments!$B$2:$B$9989,$A97)</f>
        <v>0</v>
      </c>
      <c r="AF97">
        <f>SUMIFS(Annualized_Investments!AF$2:AF$9989,Annualized_Investments!$B$2:$B$9989,$A97)</f>
        <v>0</v>
      </c>
      <c r="AG97">
        <f>SUMIFS(Annualized_Investments!AG$2:AG$9989,Annualized_Investments!$B$2:$B$9989,$A97)</f>
        <v>0</v>
      </c>
    </row>
    <row r="98" spans="1:58">
      <c r="A98" s="34" t="s">
        <v>268</v>
      </c>
      <c r="C98" s="49">
        <f t="shared" ref="C98:T98" si="9">SUM(C80:C97)</f>
        <v>143.4878415952</v>
      </c>
      <c r="D98" s="49">
        <f t="shared" si="9"/>
        <v>337.4595574997</v>
      </c>
      <c r="E98" s="49">
        <f t="shared" si="9"/>
        <v>538.6055921894</v>
      </c>
      <c r="F98" s="49">
        <f t="shared" si="9"/>
        <v>554.30562246839997</v>
      </c>
      <c r="G98" s="49">
        <f t="shared" si="9"/>
        <v>684.58791581929995</v>
      </c>
      <c r="H98" s="49">
        <f t="shared" si="9"/>
        <v>757.97000697699991</v>
      </c>
      <c r="I98" s="49">
        <f t="shared" si="9"/>
        <v>757.97000697699991</v>
      </c>
      <c r="J98" s="49">
        <f t="shared" si="9"/>
        <v>826.35984396770004</v>
      </c>
      <c r="K98" s="49">
        <f t="shared" si="9"/>
        <v>878.06594042129996</v>
      </c>
      <c r="L98" s="49">
        <f t="shared" si="9"/>
        <v>1206.7348255521999</v>
      </c>
      <c r="M98" s="49">
        <f t="shared" si="9"/>
        <v>1535.3549398146999</v>
      </c>
      <c r="N98" s="49">
        <f t="shared" si="9"/>
        <v>1609.956144124</v>
      </c>
      <c r="O98" s="49">
        <f t="shared" si="9"/>
        <v>1821.6145005819001</v>
      </c>
      <c r="P98" s="49">
        <f t="shared" si="9"/>
        <v>1940.2015793414</v>
      </c>
      <c r="Q98" s="49">
        <f t="shared" si="9"/>
        <v>2142.9120986962002</v>
      </c>
      <c r="R98" s="49">
        <f t="shared" si="9"/>
        <v>2267.5943584361003</v>
      </c>
      <c r="S98" s="49">
        <f t="shared" si="9"/>
        <v>2506.4167145086999</v>
      </c>
      <c r="T98" s="49">
        <f t="shared" si="9"/>
        <v>2717.5939997913001</v>
      </c>
      <c r="U98" s="49">
        <f>SUM(U80:U97)</f>
        <v>2927.5197377862005</v>
      </c>
      <c r="V98" s="49">
        <f t="shared" ref="V98:AG98" si="10">SUM(V80:V97)</f>
        <v>3174.9316321263004</v>
      </c>
      <c r="W98" s="49">
        <f t="shared" si="10"/>
        <v>3918.3282606666003</v>
      </c>
      <c r="X98" s="49">
        <f t="shared" si="10"/>
        <v>3918.3282606666003</v>
      </c>
      <c r="Y98" s="49">
        <f t="shared" si="10"/>
        <v>3919.6618646488005</v>
      </c>
      <c r="Z98" s="49">
        <f t="shared" si="10"/>
        <v>3920.9094582430002</v>
      </c>
      <c r="AA98" s="49">
        <f t="shared" si="10"/>
        <v>3922.0091868276004</v>
      </c>
      <c r="AB98" s="49">
        <f t="shared" si="10"/>
        <v>5044.1779106763997</v>
      </c>
      <c r="AC98" s="49">
        <f t="shared" si="10"/>
        <v>5000.9947562066</v>
      </c>
      <c r="AD98" s="49">
        <f t="shared" si="10"/>
        <v>4982.7862389995989</v>
      </c>
      <c r="AE98" s="49">
        <f t="shared" si="10"/>
        <v>5082.8094935114996</v>
      </c>
      <c r="AF98" s="49">
        <f t="shared" si="10"/>
        <v>5208.8418780267002</v>
      </c>
      <c r="AG98" s="49">
        <f t="shared" si="10"/>
        <v>7599.7526312221007</v>
      </c>
    </row>
    <row r="99" spans="1:58" ht="15" thickBot="1">
      <c r="B99" s="35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SUMIFS(AnnualProduction!D$2:D$9924,AnnualProduction!$B$2:$B$9924,$A101)</f>
        <v>4.5000999999999998</v>
      </c>
      <c r="D101">
        <f>SUMIFS(AnnualProduction!E$2:E$9924,AnnualProduction!$B$2:$B$9924,$A101)</f>
        <v>0</v>
      </c>
      <c r="E101">
        <f>SUMIFS(AnnualProduction!F$2:F$9924,AnnualProduction!$B$2:$B$9924,$A101)</f>
        <v>0</v>
      </c>
      <c r="F101">
        <f>SUMIFS(AnnualProduction!G$2:G$9924,AnnualProduction!$B$2:$B$9924,$A101)</f>
        <v>0</v>
      </c>
      <c r="G101">
        <f>SUMIFS(AnnualProduction!H$2:H$9924,AnnualProduction!$B$2:$B$9924,$A101)</f>
        <v>0</v>
      </c>
      <c r="H101">
        <f>SUMIFS(AnnualProduction!I$2:I$9924,AnnualProduction!$B$2:$B$9924,$A101)</f>
        <v>0</v>
      </c>
      <c r="I101">
        <f>SUMIFS(AnnualProduction!J$2:J$9924,AnnualProduction!$B$2:$B$9924,$A101)</f>
        <v>0</v>
      </c>
      <c r="J101">
        <f>SUMIFS(AnnualProduction!K$2:K$9924,AnnualProduction!$B$2:$B$9924,$A101)</f>
        <v>0</v>
      </c>
      <c r="K101">
        <f>SUMIFS(AnnualProduction!L$2:L$9924,AnnualProduction!$B$2:$B$9924,$A101)</f>
        <v>0</v>
      </c>
      <c r="L101">
        <f>SUMIFS(AnnualProduction!M$2:M$9924,AnnualProduction!$B$2:$B$9924,$A101)</f>
        <v>0</v>
      </c>
      <c r="M101">
        <f>SUMIFS(AnnualProduction!N$2:N$9924,AnnualProduction!$B$2:$B$9924,$A101)</f>
        <v>0</v>
      </c>
      <c r="N101">
        <f>SUMIFS(AnnualProduction!O$2:O$9924,AnnualProduction!$B$2:$B$9924,$A101)</f>
        <v>0</v>
      </c>
      <c r="O101">
        <f>SUMIFS(AnnualProduction!P$2:P$9924,AnnualProduction!$B$2:$B$9924,$A101)</f>
        <v>0</v>
      </c>
      <c r="P101">
        <f>SUMIFS(AnnualProduction!Q$2:Q$9924,AnnualProduction!$B$2:$B$9924,$A101)</f>
        <v>0</v>
      </c>
      <c r="Q101">
        <f>SUMIFS(AnnualProduction!R$2:R$9924,AnnualProduction!$B$2:$B$9924,$A101)</f>
        <v>0</v>
      </c>
      <c r="R101">
        <f>SUMIFS(AnnualProduction!S$2:S$9924,AnnualProduction!$B$2:$B$9924,$A101)</f>
        <v>0</v>
      </c>
      <c r="S101">
        <f>SUMIFS(AnnualProduction!T$2:T$9924,AnnualProduction!$B$2:$B$9924,$A101)</f>
        <v>0</v>
      </c>
      <c r="T101">
        <f>SUMIFS(AnnualProduction!U$2:U$9924,AnnualProduction!$B$2:$B$9924,$A101)</f>
        <v>0</v>
      </c>
      <c r="U101">
        <f>SUMIFS(AnnualProduction!V$2:V$9924,AnnualProduction!$B$2:$B$9924,$A101)</f>
        <v>0</v>
      </c>
      <c r="V101">
        <f>SUMIFS(AnnualProduction!W$2:W$9924,AnnualProduction!$B$2:$B$9924,$A101)</f>
        <v>0</v>
      </c>
      <c r="W101">
        <f>SUMIFS(AnnualProduction!X$2:X$9924,AnnualProduction!$B$2:$B$9924,$A101)</f>
        <v>2.6219999999999999</v>
      </c>
      <c r="X101">
        <f>SUMIFS(AnnualProduction!Y$2:Y$9924,AnnualProduction!$B$2:$B$9924,$A101)</f>
        <v>0</v>
      </c>
      <c r="Y101">
        <f>SUMIFS(AnnualProduction!Z$2:Z$9924,AnnualProduction!$B$2:$B$9924,$A101)</f>
        <v>0</v>
      </c>
      <c r="Z101">
        <f>SUMIFS(AnnualProduction!AA$2:AA$9924,AnnualProduction!$B$2:$B$9924,$A101)</f>
        <v>0</v>
      </c>
      <c r="AA101">
        <f>SUMIFS(AnnualProduction!AB$2:AB$9924,AnnualProduction!$B$2:$B$9924,$A101)</f>
        <v>0</v>
      </c>
      <c r="AB101">
        <f>SUMIFS(AnnualProduction!AC$2:AC$9924,AnnualProduction!$B$2:$B$9924,$A101)</f>
        <v>0</v>
      </c>
      <c r="AC101">
        <f>SUMIFS(AnnualProduction!AD$2:AD$9924,AnnualProduction!$B$2:$B$9924,$A101)</f>
        <v>0</v>
      </c>
      <c r="AD101">
        <f>SUMIFS(AnnualProduction!AE$2:AE$9924,AnnualProduction!$B$2:$B$9924,$A101)</f>
        <v>0</v>
      </c>
      <c r="AE101">
        <f>SUMIFS(AnnualProduction!AF$2:AF$9924,AnnualProduction!$B$2:$B$9924,$A101)</f>
        <v>0</v>
      </c>
      <c r="AF101">
        <f>SUMIFS(AnnualProduction!AG$2:AG$9924,AnnualProduction!$B$2:$B$9924,$A101)</f>
        <v>0</v>
      </c>
      <c r="AG101">
        <f>SUMIFS(AnnualProduction!AH$2:AH$9924,AnnualProduction!$B$2:$B$9924,$A101)</f>
        <v>0</v>
      </c>
    </row>
    <row r="102" spans="1:58">
      <c r="A102" t="s">
        <v>133</v>
      </c>
      <c r="C102">
        <f>SUMIFS(AnnualProduction!D$2:D$9924,AnnualProduction!$B$2:$B$9924,$A102)</f>
        <v>209.44799999999998</v>
      </c>
      <c r="D102">
        <f>SUMIFS(AnnualProduction!E$2:E$9924,AnnualProduction!$B$2:$B$9924,$A102)</f>
        <v>267.46629999999999</v>
      </c>
      <c r="E102">
        <f>SUMIFS(AnnualProduction!F$2:F$9924,AnnualProduction!$B$2:$B$9924,$A102)</f>
        <v>260.1144000000001</v>
      </c>
      <c r="F102">
        <f>SUMIFS(AnnualProduction!G$2:G$9924,AnnualProduction!$B$2:$B$9924,$A102)</f>
        <v>282.30829999999997</v>
      </c>
      <c r="G102">
        <f>SUMIFS(AnnualProduction!H$2:H$9924,AnnualProduction!$B$2:$B$9924,$A102)</f>
        <v>270.19799999999998</v>
      </c>
      <c r="H102">
        <f>SUMIFS(AnnualProduction!I$2:I$9924,AnnualProduction!$B$2:$B$9924,$A102)</f>
        <v>280.26519999999999</v>
      </c>
      <c r="I102">
        <f>SUMIFS(AnnualProduction!J$2:J$9924,AnnualProduction!$B$2:$B$9924,$A102)</f>
        <v>294.90459999999996</v>
      </c>
      <c r="J102">
        <f>SUMIFS(AnnualProduction!K$2:K$9924,AnnualProduction!$B$2:$B$9924,$A102)</f>
        <v>295.11530000000005</v>
      </c>
      <c r="K102">
        <f>SUMIFS(AnnualProduction!L$2:L$9924,AnnualProduction!$B$2:$B$9924,$A102)</f>
        <v>297.80160000000006</v>
      </c>
      <c r="L102">
        <f>SUMIFS(AnnualProduction!M$2:M$9924,AnnualProduction!$B$2:$B$9924,$A102)</f>
        <v>244.08840000000004</v>
      </c>
      <c r="M102">
        <f>SUMIFS(AnnualProduction!N$2:N$9924,AnnualProduction!$B$2:$B$9924,$A102)</f>
        <v>205.55520000000007</v>
      </c>
      <c r="N102">
        <f>SUMIFS(AnnualProduction!O$2:O$9924,AnnualProduction!$B$2:$B$9924,$A102)</f>
        <v>207.5043</v>
      </c>
      <c r="O102">
        <f>SUMIFS(AnnualProduction!P$2:P$9924,AnnualProduction!$B$2:$B$9924,$A102)</f>
        <v>183.2414</v>
      </c>
      <c r="P102">
        <f>SUMIFS(AnnualProduction!Q$2:Q$9924,AnnualProduction!$B$2:$B$9924,$A102)</f>
        <v>180.99</v>
      </c>
      <c r="Q102">
        <f>SUMIFS(AnnualProduction!R$2:R$9924,AnnualProduction!$B$2:$B$9924,$A102)</f>
        <v>168.16290000000001</v>
      </c>
      <c r="R102">
        <f>SUMIFS(AnnualProduction!S$2:S$9924,AnnualProduction!$B$2:$B$9924,$A102)</f>
        <v>154.77330000000001</v>
      </c>
      <c r="S102">
        <f>SUMIFS(AnnualProduction!T$2:T$9924,AnnualProduction!$B$2:$B$9924,$A102)</f>
        <v>131.93549999999999</v>
      </c>
      <c r="T102">
        <f>SUMIFS(AnnualProduction!U$2:U$9924,AnnualProduction!$B$2:$B$9924,$A102)</f>
        <v>126.86619999999999</v>
      </c>
      <c r="U102">
        <f>SUMIFS(AnnualProduction!V$2:V$9924,AnnualProduction!$B$2:$B$9924,$A102)</f>
        <v>108.65009999999999</v>
      </c>
      <c r="V102">
        <f>SUMIFS(AnnualProduction!W$2:W$9924,AnnualProduction!$B$2:$B$9924,$A102)</f>
        <v>87.63239999999999</v>
      </c>
      <c r="W102">
        <f>SUMIFS(AnnualProduction!X$2:X$9924,AnnualProduction!$B$2:$B$9924,$A102)</f>
        <v>89.506199999999993</v>
      </c>
      <c r="X102">
        <f>SUMIFS(AnnualProduction!Y$2:Y$9924,AnnualProduction!$B$2:$B$9924,$A102)</f>
        <v>74.414899999999989</v>
      </c>
      <c r="Y102">
        <f>SUMIFS(AnnualProduction!Z$2:Z$9924,AnnualProduction!$B$2:$B$9924,$A102)</f>
        <v>73.902499999999989</v>
      </c>
      <c r="Z102">
        <f>SUMIFS(AnnualProduction!AA$2:AA$9924,AnnualProduction!$B$2:$B$9924,$A102)</f>
        <v>73.253699999999995</v>
      </c>
      <c r="AA102">
        <f>SUMIFS(AnnualProduction!AB$2:AB$9924,AnnualProduction!$B$2:$B$9924,$A102)</f>
        <v>72.55619999999999</v>
      </c>
      <c r="AB102">
        <f>SUMIFS(AnnualProduction!AC$2:AC$9924,AnnualProduction!$B$2:$B$9924,$A102)</f>
        <v>72.788399999999996</v>
      </c>
      <c r="AC102">
        <f>SUMIFS(AnnualProduction!AD$2:AD$9924,AnnualProduction!$B$2:$B$9924,$A102)</f>
        <v>80.392600000000002</v>
      </c>
      <c r="AD102">
        <f>SUMIFS(AnnualProduction!AE$2:AE$9924,AnnualProduction!$B$2:$B$9924,$A102)</f>
        <v>90.347699999999989</v>
      </c>
      <c r="AE102">
        <f>SUMIFS(AnnualProduction!AF$2:AF$9924,AnnualProduction!$B$2:$B$9924,$A102)</f>
        <v>91.844799999999992</v>
      </c>
      <c r="AF102">
        <f>SUMIFS(AnnualProduction!AG$2:AG$9924,AnnualProduction!$B$2:$B$9924,$A102)</f>
        <v>96.976499999999987</v>
      </c>
      <c r="AG102">
        <f>SUMIFS(AnnualProduction!AH$2:AH$9924,AnnualProduction!$B$2:$B$9924,$A102)</f>
        <v>82.235100000000003</v>
      </c>
    </row>
    <row r="103" spans="1:58">
      <c r="A103" t="s">
        <v>138</v>
      </c>
      <c r="C103">
        <f>SUMIFS(AnnualProduction!D$2:D$9924,AnnualProduction!$B$2:$B$9924,$A103)</f>
        <v>38.808399999999999</v>
      </c>
      <c r="D103">
        <f>SUMIFS(AnnualProduction!E$2:E$9924,AnnualProduction!$B$2:$B$9924,$A103)</f>
        <v>39.597000000000001</v>
      </c>
      <c r="E103">
        <f>SUMIFS(AnnualProduction!F$2:F$9924,AnnualProduction!$B$2:$B$9924,$A103)</f>
        <v>39.713399999999986</v>
      </c>
      <c r="F103">
        <f>SUMIFS(AnnualProduction!G$2:G$9924,AnnualProduction!$B$2:$B$9924,$A103)</f>
        <v>29.763000000000012</v>
      </c>
      <c r="G103">
        <f>SUMIFS(AnnualProduction!H$2:H$9924,AnnualProduction!$B$2:$B$9924,$A103)</f>
        <v>29.763000000000012</v>
      </c>
      <c r="H103">
        <f>SUMIFS(AnnualProduction!I$2:I$9924,AnnualProduction!$B$2:$B$9924,$A103)</f>
        <v>30.889200000000002</v>
      </c>
      <c r="I103">
        <f>SUMIFS(AnnualProduction!J$2:J$9924,AnnualProduction!$B$2:$B$9924,$A103)</f>
        <v>30.889200000000002</v>
      </c>
      <c r="J103">
        <f>SUMIFS(AnnualProduction!K$2:K$9924,AnnualProduction!$B$2:$B$9924,$A103)</f>
        <v>30.889200000000002</v>
      </c>
      <c r="K103">
        <f>SUMIFS(AnnualProduction!L$2:L$9924,AnnualProduction!$B$2:$B$9924,$A103)</f>
        <v>30.889200000000002</v>
      </c>
      <c r="L103">
        <f>SUMIFS(AnnualProduction!M$2:M$9924,AnnualProduction!$B$2:$B$9924,$A103)</f>
        <v>30.889200000000002</v>
      </c>
      <c r="M103">
        <f>SUMIFS(AnnualProduction!N$2:N$9924,AnnualProduction!$B$2:$B$9924,$A103)</f>
        <v>30.889200000000002</v>
      </c>
      <c r="N103">
        <f>SUMIFS(AnnualProduction!O$2:O$9924,AnnualProduction!$B$2:$B$9924,$A103)</f>
        <v>30.889200000000002</v>
      </c>
      <c r="O103">
        <f>SUMIFS(AnnualProduction!P$2:P$9924,AnnualProduction!$B$2:$B$9924,$A103)</f>
        <v>30.889200000000002</v>
      </c>
      <c r="P103">
        <f>SUMIFS(AnnualProduction!Q$2:Q$9924,AnnualProduction!$B$2:$B$9924,$A103)</f>
        <v>26.475600000000011</v>
      </c>
      <c r="Q103">
        <f>SUMIFS(AnnualProduction!R$2:R$9924,AnnualProduction!$B$2:$B$9924,$A103)</f>
        <v>26.475600000000011</v>
      </c>
      <c r="R103">
        <f>SUMIFS(AnnualProduction!S$2:S$9924,AnnualProduction!$B$2:$B$9924,$A103)</f>
        <v>26.475600000000011</v>
      </c>
      <c r="S103">
        <f>SUMIFS(AnnualProduction!T$2:T$9924,AnnualProduction!$B$2:$B$9924,$A103)</f>
        <v>23.053200000000004</v>
      </c>
      <c r="T103">
        <f>SUMIFS(AnnualProduction!U$2:U$9924,AnnualProduction!$B$2:$B$9924,$A103)</f>
        <v>3.8099999999999996</v>
      </c>
      <c r="U103">
        <f>SUMIFS(AnnualProduction!V$2:V$9924,AnnualProduction!$B$2:$B$9924,$A103)</f>
        <v>3.8099999999999996</v>
      </c>
      <c r="V103">
        <f>SUMIFS(AnnualProduction!W$2:W$9924,AnnualProduction!$B$2:$B$9924,$A103)</f>
        <v>3.8099999999999996</v>
      </c>
      <c r="W103">
        <f>SUMIFS(AnnualProduction!X$2:X$9924,AnnualProduction!$B$2:$B$9924,$A103)</f>
        <v>3.8099999999999996</v>
      </c>
      <c r="X103">
        <f>SUMIFS(AnnualProduction!Y$2:Y$9924,AnnualProduction!$B$2:$B$9924,$A103)</f>
        <v>3.8099999999999996</v>
      </c>
      <c r="Y103">
        <f>SUMIFS(AnnualProduction!Z$2:Z$9924,AnnualProduction!$B$2:$B$9924,$A103)</f>
        <v>3.8099999999999996</v>
      </c>
      <c r="Z103">
        <f>SUMIFS(AnnualProduction!AA$2:AA$9924,AnnualProduction!$B$2:$B$9924,$A103)</f>
        <v>3.8099999999999996</v>
      </c>
      <c r="AA103">
        <f>SUMIFS(AnnualProduction!AB$2:AB$9924,AnnualProduction!$B$2:$B$9924,$A103)</f>
        <v>3.8099999999999996</v>
      </c>
      <c r="AB103">
        <f>SUMIFS(AnnualProduction!AC$2:AC$9924,AnnualProduction!$B$2:$B$9924,$A103)</f>
        <v>3.8099999999999996</v>
      </c>
      <c r="AC103">
        <f>SUMIFS(AnnualProduction!AD$2:AD$9924,AnnualProduction!$B$2:$B$9924,$A103)</f>
        <v>3.8099999999999996</v>
      </c>
      <c r="AD103">
        <f>SUMIFS(AnnualProduction!AE$2:AE$9924,AnnualProduction!$B$2:$B$9924,$A103)</f>
        <v>3.8099999999999996</v>
      </c>
      <c r="AE103">
        <f>SUMIFS(AnnualProduction!AF$2:AF$9924,AnnualProduction!$B$2:$B$9924,$A103)</f>
        <v>3.8099999999999996</v>
      </c>
      <c r="AF103">
        <f>SUMIFS(AnnualProduction!AG$2:AG$9924,AnnualProduction!$B$2:$B$9924,$A103)</f>
        <v>3.8099999999999996</v>
      </c>
      <c r="AG103">
        <f>SUMIFS(AnnualProduction!AH$2:AH$9924,AnnualProduction!$B$2:$B$9924,$A103)</f>
        <v>3.6265000000000001</v>
      </c>
    </row>
    <row r="104" spans="1:58">
      <c r="A104" t="s">
        <v>141</v>
      </c>
      <c r="C104">
        <f>SUMIFS(AnnualProduction!D$2:D$9924,AnnualProduction!$B$2:$B$9924,$A104)</f>
        <v>0</v>
      </c>
      <c r="D104">
        <f>SUMIFS(AnnualProduction!E$2:E$9924,AnnualProduction!$B$2:$B$9924,$A104)</f>
        <v>0</v>
      </c>
      <c r="E104">
        <f>SUMIFS(AnnualProduction!F$2:F$9924,AnnualProduction!$B$2:$B$9924,$A104)</f>
        <v>0</v>
      </c>
      <c r="F104">
        <f>SUMIFS(AnnualProduction!G$2:G$9924,AnnualProduction!$B$2:$B$9924,$A104)</f>
        <v>0</v>
      </c>
      <c r="G104">
        <f>SUMIFS(AnnualProduction!H$2:H$9924,AnnualProduction!$B$2:$B$9924,$A104)</f>
        <v>0</v>
      </c>
      <c r="H104">
        <f>SUMIFS(AnnualProduction!I$2:I$9924,AnnualProduction!$B$2:$B$9924,$A104)</f>
        <v>0</v>
      </c>
      <c r="I104">
        <f>SUMIFS(AnnualProduction!J$2:J$9924,AnnualProduction!$B$2:$B$9924,$A104)</f>
        <v>0</v>
      </c>
      <c r="J104">
        <f>SUMIFS(AnnualProduction!K$2:K$9924,AnnualProduction!$B$2:$B$9924,$A104)</f>
        <v>0</v>
      </c>
      <c r="K104">
        <f>SUMIFS(AnnualProduction!L$2:L$9924,AnnualProduction!$B$2:$B$9924,$A104)</f>
        <v>0</v>
      </c>
      <c r="L104">
        <f>SUMIFS(AnnualProduction!M$2:M$9924,AnnualProduction!$B$2:$B$9924,$A104)</f>
        <v>0</v>
      </c>
      <c r="M104">
        <f>SUMIFS(AnnualProduction!N$2:N$9924,AnnualProduction!$B$2:$B$9924,$A104)</f>
        <v>0</v>
      </c>
      <c r="N104">
        <f>SUMIFS(AnnualProduction!O$2:O$9924,AnnualProduction!$B$2:$B$9924,$A104)</f>
        <v>0</v>
      </c>
      <c r="O104">
        <f>SUMIFS(AnnualProduction!P$2:P$9924,AnnualProduction!$B$2:$B$9924,$A104)</f>
        <v>0</v>
      </c>
      <c r="P104">
        <f>SUMIFS(AnnualProduction!Q$2:Q$9924,AnnualProduction!$B$2:$B$9924,$A104)</f>
        <v>0</v>
      </c>
      <c r="Q104">
        <f>SUMIFS(AnnualProduction!R$2:R$9924,AnnualProduction!$B$2:$B$9924,$A104)</f>
        <v>0</v>
      </c>
      <c r="R104">
        <f>SUMIFS(AnnualProduction!S$2:S$9924,AnnualProduction!$B$2:$B$9924,$A104)</f>
        <v>0</v>
      </c>
      <c r="S104">
        <f>SUMIFS(AnnualProduction!T$2:T$9924,AnnualProduction!$B$2:$B$9924,$A104)</f>
        <v>0</v>
      </c>
      <c r="T104">
        <f>SUMIFS(AnnualProduction!U$2:U$9924,AnnualProduction!$B$2:$B$9924,$A104)</f>
        <v>0</v>
      </c>
      <c r="U104">
        <f>SUMIFS(AnnualProduction!V$2:V$9924,AnnualProduction!$B$2:$B$9924,$A104)</f>
        <v>0</v>
      </c>
      <c r="V104">
        <f>SUMIFS(AnnualProduction!W$2:W$9924,AnnualProduction!$B$2:$B$9924,$A104)</f>
        <v>0</v>
      </c>
      <c r="W104">
        <f>SUMIFS(AnnualProduction!X$2:X$9924,AnnualProduction!$B$2:$B$9924,$A104)</f>
        <v>0</v>
      </c>
      <c r="X104">
        <f>SUMIFS(AnnualProduction!Y$2:Y$9924,AnnualProduction!$B$2:$B$9924,$A104)</f>
        <v>0</v>
      </c>
      <c r="Y104">
        <f>SUMIFS(AnnualProduction!Z$2:Z$9924,AnnualProduction!$B$2:$B$9924,$A104)</f>
        <v>0</v>
      </c>
      <c r="Z104">
        <f>SUMIFS(AnnualProduction!AA$2:AA$9924,AnnualProduction!$B$2:$B$9924,$A104)</f>
        <v>0</v>
      </c>
      <c r="AA104">
        <f>SUMIFS(AnnualProduction!AB$2:AB$9924,AnnualProduction!$B$2:$B$9924,$A104)</f>
        <v>0</v>
      </c>
      <c r="AB104">
        <f>SUMIFS(AnnualProduction!AC$2:AC$9924,AnnualProduction!$B$2:$B$9924,$A104)</f>
        <v>0</v>
      </c>
      <c r="AC104">
        <f>SUMIFS(AnnualProduction!AD$2:AD$9924,AnnualProduction!$B$2:$B$9924,$A104)</f>
        <v>0</v>
      </c>
      <c r="AD104">
        <f>SUMIFS(AnnualProduction!AE$2:AE$9924,AnnualProduction!$B$2:$B$9924,$A104)</f>
        <v>0</v>
      </c>
      <c r="AE104">
        <f>SUMIFS(AnnualProduction!AF$2:AF$9924,AnnualProduction!$B$2:$B$9924,$A104)</f>
        <v>0</v>
      </c>
      <c r="AF104">
        <f>SUMIFS(AnnualProduction!AG$2:AG$9924,AnnualProduction!$B$2:$B$9924,$A104)</f>
        <v>0</v>
      </c>
      <c r="AG104">
        <f>SUMIFS(AnnualProduction!AH$2:AH$9924,AnnualProduction!$B$2:$B$9924,$A104)</f>
        <v>0</v>
      </c>
    </row>
    <row r="105" spans="1:58">
      <c r="A105" t="s">
        <v>142</v>
      </c>
      <c r="C105">
        <f>SUMIFS(AnnualProduction!D$2:D$9924,AnnualProduction!$B$2:$B$9924,$A105)</f>
        <v>0</v>
      </c>
      <c r="D105">
        <f>SUMIFS(AnnualProduction!E$2:E$9924,AnnualProduction!$B$2:$B$9924,$A105)</f>
        <v>22.862999999999996</v>
      </c>
      <c r="E105">
        <f>SUMIFS(AnnualProduction!F$2:F$9924,AnnualProduction!$B$2:$B$9924,$A105)</f>
        <v>47.127600000000001</v>
      </c>
      <c r="F105">
        <f>SUMIFS(AnnualProduction!G$2:G$9924,AnnualProduction!$B$2:$B$9924,$A105)</f>
        <v>47.127600000000001</v>
      </c>
      <c r="G105">
        <f>SUMIFS(AnnualProduction!H$2:H$9924,AnnualProduction!$B$2:$B$9924,$A105)</f>
        <v>66.049200000000013</v>
      </c>
      <c r="H105">
        <f>SUMIFS(AnnualProduction!I$2:I$9924,AnnualProduction!$B$2:$B$9924,$A105)</f>
        <v>66.049200000000013</v>
      </c>
      <c r="I105">
        <f>SUMIFS(AnnualProduction!J$2:J$9924,AnnualProduction!$B$2:$B$9924,$A105)</f>
        <v>66.049200000000013</v>
      </c>
      <c r="J105">
        <f>SUMIFS(AnnualProduction!K$2:K$9924,AnnualProduction!$B$2:$B$9924,$A105)</f>
        <v>86.541600000000017</v>
      </c>
      <c r="K105">
        <f>SUMIFS(AnnualProduction!L$2:L$9924,AnnualProduction!$B$2:$B$9924,$A105)</f>
        <v>102.03599999999997</v>
      </c>
      <c r="L105">
        <f>SUMIFS(AnnualProduction!M$2:M$9924,AnnualProduction!$B$2:$B$9924,$A105)</f>
        <v>200.52239999999998</v>
      </c>
      <c r="M105">
        <f>SUMIFS(AnnualProduction!N$2:N$9924,AnnualProduction!$B$2:$B$9924,$A105)</f>
        <v>220.04580000000007</v>
      </c>
      <c r="N105">
        <f>SUMIFS(AnnualProduction!O$2:O$9924,AnnualProduction!$B$2:$B$9924,$A105)</f>
        <v>242.39940000000007</v>
      </c>
      <c r="O105">
        <f>SUMIFS(AnnualProduction!P$2:P$9924,AnnualProduction!$B$2:$B$9924,$A105)</f>
        <v>301.21180000000004</v>
      </c>
      <c r="P105">
        <f>SUMIFS(AnnualProduction!Q$2:Q$9924,AnnualProduction!$B$2:$B$9924,$A105)</f>
        <v>334.92360000000002</v>
      </c>
      <c r="Q105">
        <f>SUMIFS(AnnualProduction!R$2:R$9924,AnnualProduction!$B$2:$B$9924,$A105)</f>
        <v>363.13359999999989</v>
      </c>
      <c r="R105">
        <f>SUMIFS(AnnualProduction!S$2:S$9924,AnnualProduction!$B$2:$B$9924,$A105)</f>
        <v>395.08219999999977</v>
      </c>
      <c r="S105">
        <f>SUMIFS(AnnualProduction!T$2:T$9924,AnnualProduction!$B$2:$B$9924,$A105)</f>
        <v>456.45900000000012</v>
      </c>
      <c r="T105">
        <f>SUMIFS(AnnualProduction!U$2:U$9924,AnnualProduction!$B$2:$B$9924,$A105)</f>
        <v>515.87579999999991</v>
      </c>
      <c r="U105">
        <f>SUMIFS(AnnualProduction!V$2:V$9924,AnnualProduction!$B$2:$B$9924,$A105)</f>
        <v>569.15099999999984</v>
      </c>
      <c r="V105">
        <f>SUMIFS(AnnualProduction!W$2:W$9924,AnnualProduction!$B$2:$B$9924,$A105)</f>
        <v>622.43079999999986</v>
      </c>
      <c r="W105">
        <f>SUMIFS(AnnualProduction!X$2:X$9924,AnnualProduction!$B$2:$B$9924,$A105)</f>
        <v>499.22659999999991</v>
      </c>
      <c r="X105">
        <f>SUMIFS(AnnualProduction!Y$2:Y$9924,AnnualProduction!$B$2:$B$9924,$A105)</f>
        <v>484.01979999999975</v>
      </c>
      <c r="Y105">
        <f>SUMIFS(AnnualProduction!Z$2:Z$9924,AnnualProduction!$B$2:$B$9924,$A105)</f>
        <v>483.6205999999998</v>
      </c>
      <c r="Z105">
        <f>SUMIFS(AnnualProduction!AA$2:AA$9924,AnnualProduction!$B$2:$B$9924,$A105)</f>
        <v>483.26999999999981</v>
      </c>
      <c r="AA105">
        <f>SUMIFS(AnnualProduction!AB$2:AB$9924,AnnualProduction!$B$2:$B$9924,$A105)</f>
        <v>482.93399999999986</v>
      </c>
      <c r="AB105">
        <f>SUMIFS(AnnualProduction!AC$2:AC$9924,AnnualProduction!$B$2:$B$9924,$A105)</f>
        <v>482.92519999999979</v>
      </c>
      <c r="AC105">
        <f>SUMIFS(AnnualProduction!AD$2:AD$9924,AnnualProduction!$B$2:$B$9924,$A105)</f>
        <v>469.98540000000003</v>
      </c>
      <c r="AD105">
        <f>SUMIFS(AnnualProduction!AE$2:AE$9924,AnnualProduction!$B$2:$B$9924,$A105)</f>
        <v>456.39140000000003</v>
      </c>
      <c r="AE105">
        <f>SUMIFS(AnnualProduction!AF$2:AF$9924,AnnualProduction!$B$2:$B$9924,$A105)</f>
        <v>456.78100000000012</v>
      </c>
      <c r="AF105">
        <f>SUMIFS(AnnualProduction!AG$2:AG$9924,AnnualProduction!$B$2:$B$9924,$A105)</f>
        <v>452.10099999999989</v>
      </c>
      <c r="AG105">
        <f>SUMIFS(AnnualProduction!AH$2:AH$9924,AnnualProduction!$B$2:$B$9924,$A105)</f>
        <v>712.85260000000017</v>
      </c>
    </row>
    <row r="106" spans="1:58">
      <c r="A106" t="s">
        <v>143</v>
      </c>
      <c r="C106">
        <f>SUMIFS(AnnualProduction!D$2:D$9924,AnnualProduction!$B$2:$B$9924,$A106)</f>
        <v>0</v>
      </c>
      <c r="D106">
        <f>SUMIFS(AnnualProduction!E$2:E$9924,AnnualProduction!$B$2:$B$9924,$A106)</f>
        <v>0</v>
      </c>
      <c r="E106">
        <f>SUMIFS(AnnualProduction!F$2:F$9924,AnnualProduction!$B$2:$B$9924,$A106)</f>
        <v>0</v>
      </c>
      <c r="F106">
        <f>SUMIFS(AnnualProduction!G$2:G$9924,AnnualProduction!$B$2:$B$9924,$A106)</f>
        <v>0</v>
      </c>
      <c r="G106">
        <f>SUMIFS(AnnualProduction!H$2:H$9924,AnnualProduction!$B$2:$B$9924,$A106)</f>
        <v>0</v>
      </c>
      <c r="H106">
        <f>SUMIFS(AnnualProduction!I$2:I$9924,AnnualProduction!$B$2:$B$9924,$A106)</f>
        <v>0</v>
      </c>
      <c r="I106">
        <f>SUMIFS(AnnualProduction!J$2:J$9924,AnnualProduction!$B$2:$B$9924,$A106)</f>
        <v>0</v>
      </c>
      <c r="J106">
        <f>SUMIFS(AnnualProduction!K$2:K$9924,AnnualProduction!$B$2:$B$9924,$A106)</f>
        <v>0</v>
      </c>
      <c r="K106">
        <f>SUMIFS(AnnualProduction!L$2:L$9924,AnnualProduction!$B$2:$B$9924,$A106)</f>
        <v>0</v>
      </c>
      <c r="L106">
        <f>SUMIFS(AnnualProduction!M$2:M$9924,AnnualProduction!$B$2:$B$9924,$A106)</f>
        <v>0</v>
      </c>
      <c r="M106">
        <f>SUMIFS(AnnualProduction!N$2:N$9924,AnnualProduction!$B$2:$B$9924,$A106)</f>
        <v>0</v>
      </c>
      <c r="N106">
        <f>SUMIFS(AnnualProduction!O$2:O$9924,AnnualProduction!$B$2:$B$9924,$A106)</f>
        <v>0</v>
      </c>
      <c r="O106">
        <f>SUMIFS(AnnualProduction!P$2:P$9924,AnnualProduction!$B$2:$B$9924,$A106)</f>
        <v>0</v>
      </c>
      <c r="P106">
        <f>SUMIFS(AnnualProduction!Q$2:Q$9924,AnnualProduction!$B$2:$B$9924,$A106)</f>
        <v>0</v>
      </c>
      <c r="Q106">
        <f>SUMIFS(AnnualProduction!R$2:R$9924,AnnualProduction!$B$2:$B$9924,$A106)</f>
        <v>0</v>
      </c>
      <c r="R106">
        <f>SUMIFS(AnnualProduction!S$2:S$9924,AnnualProduction!$B$2:$B$9924,$A106)</f>
        <v>0</v>
      </c>
      <c r="S106">
        <f>SUMIFS(AnnualProduction!T$2:T$9924,AnnualProduction!$B$2:$B$9924,$A106)</f>
        <v>0</v>
      </c>
      <c r="T106">
        <f>SUMIFS(AnnualProduction!U$2:U$9924,AnnualProduction!$B$2:$B$9924,$A106)</f>
        <v>0</v>
      </c>
      <c r="U106">
        <f>SUMIFS(AnnualProduction!V$2:V$9924,AnnualProduction!$B$2:$B$9924,$A106)</f>
        <v>0</v>
      </c>
      <c r="V106">
        <f>SUMIFS(AnnualProduction!W$2:W$9924,AnnualProduction!$B$2:$B$9924,$A106)</f>
        <v>0</v>
      </c>
      <c r="W106">
        <f>SUMIFS(AnnualProduction!X$2:X$9924,AnnualProduction!$B$2:$B$9924,$A106)</f>
        <v>0</v>
      </c>
      <c r="X106">
        <f>SUMIFS(AnnualProduction!Y$2:Y$9924,AnnualProduction!$B$2:$B$9924,$A106)</f>
        <v>0</v>
      </c>
      <c r="Y106">
        <f>SUMIFS(AnnualProduction!Z$2:Z$9924,AnnualProduction!$B$2:$B$9924,$A106)</f>
        <v>0</v>
      </c>
      <c r="Z106">
        <f>SUMIFS(AnnualProduction!AA$2:AA$9924,AnnualProduction!$B$2:$B$9924,$A106)</f>
        <v>0</v>
      </c>
      <c r="AA106">
        <f>SUMIFS(AnnualProduction!AB$2:AB$9924,AnnualProduction!$B$2:$B$9924,$A106)</f>
        <v>0</v>
      </c>
      <c r="AB106">
        <f>SUMIFS(AnnualProduction!AC$2:AC$9924,AnnualProduction!$B$2:$B$9924,$A106)</f>
        <v>0</v>
      </c>
      <c r="AC106">
        <f>SUMIFS(AnnualProduction!AD$2:AD$9924,AnnualProduction!$B$2:$B$9924,$A106)</f>
        <v>0</v>
      </c>
      <c r="AD106">
        <f>SUMIFS(AnnualProduction!AE$2:AE$9924,AnnualProduction!$B$2:$B$9924,$A106)</f>
        <v>0</v>
      </c>
      <c r="AE106">
        <f>SUMIFS(AnnualProduction!AF$2:AF$9924,AnnualProduction!$B$2:$B$9924,$A106)</f>
        <v>0</v>
      </c>
      <c r="AF106">
        <f>SUMIFS(AnnualProduction!AG$2:AG$9924,AnnualProduction!$B$2:$B$9924,$A106)</f>
        <v>0</v>
      </c>
      <c r="AG106">
        <f>SUMIFS(AnnualProduction!AH$2:AH$9924,AnnualProduction!$B$2:$B$9924,$A106)</f>
        <v>0</v>
      </c>
    </row>
    <row r="107" spans="1:58">
      <c r="A107" t="s">
        <v>144</v>
      </c>
      <c r="C107">
        <f>SUMIFS(AnnualProduction!D$2:D$9924,AnnualProduction!$B$2:$B$9924,$A107)</f>
        <v>0</v>
      </c>
      <c r="D107">
        <f>SUMIFS(AnnualProduction!E$2:E$9924,AnnualProduction!$B$2:$B$9924,$A107)</f>
        <v>0</v>
      </c>
      <c r="E107">
        <f>SUMIFS(AnnualProduction!F$2:F$9924,AnnualProduction!$B$2:$B$9924,$A107)</f>
        <v>0</v>
      </c>
      <c r="F107">
        <f>SUMIFS(AnnualProduction!G$2:G$9924,AnnualProduction!$B$2:$B$9924,$A107)</f>
        <v>0</v>
      </c>
      <c r="G107">
        <f>SUMIFS(AnnualProduction!H$2:H$9924,AnnualProduction!$B$2:$B$9924,$A107)</f>
        <v>0</v>
      </c>
      <c r="H107">
        <f>SUMIFS(AnnualProduction!I$2:I$9924,AnnualProduction!$B$2:$B$9924,$A107)</f>
        <v>0</v>
      </c>
      <c r="I107">
        <f>SUMIFS(AnnualProduction!J$2:J$9924,AnnualProduction!$B$2:$B$9924,$A107)</f>
        <v>0</v>
      </c>
      <c r="J107">
        <f>SUMIFS(AnnualProduction!K$2:K$9924,AnnualProduction!$B$2:$B$9924,$A107)</f>
        <v>0</v>
      </c>
      <c r="K107">
        <f>SUMIFS(AnnualProduction!L$2:L$9924,AnnualProduction!$B$2:$B$9924,$A107)</f>
        <v>0</v>
      </c>
      <c r="L107">
        <f>SUMIFS(AnnualProduction!M$2:M$9924,AnnualProduction!$B$2:$B$9924,$A107)</f>
        <v>0</v>
      </c>
      <c r="M107">
        <f>SUMIFS(AnnualProduction!N$2:N$9924,AnnualProduction!$B$2:$B$9924,$A107)</f>
        <v>0</v>
      </c>
      <c r="N107">
        <f>SUMIFS(AnnualProduction!O$2:O$9924,AnnualProduction!$B$2:$B$9924,$A107)</f>
        <v>0</v>
      </c>
      <c r="O107">
        <f>SUMIFS(AnnualProduction!P$2:P$9924,AnnualProduction!$B$2:$B$9924,$A107)</f>
        <v>0</v>
      </c>
      <c r="P107">
        <f>SUMIFS(AnnualProduction!Q$2:Q$9924,AnnualProduction!$B$2:$B$9924,$A107)</f>
        <v>0</v>
      </c>
      <c r="Q107">
        <f>SUMIFS(AnnualProduction!R$2:R$9924,AnnualProduction!$B$2:$B$9924,$A107)</f>
        <v>0</v>
      </c>
      <c r="R107">
        <f>SUMIFS(AnnualProduction!S$2:S$9924,AnnualProduction!$B$2:$B$9924,$A107)</f>
        <v>0</v>
      </c>
      <c r="S107">
        <f>SUMIFS(AnnualProduction!T$2:T$9924,AnnualProduction!$B$2:$B$9924,$A107)</f>
        <v>0</v>
      </c>
      <c r="T107">
        <f>SUMIFS(AnnualProduction!U$2:U$9924,AnnualProduction!$B$2:$B$9924,$A107)</f>
        <v>0</v>
      </c>
      <c r="U107">
        <f>SUMIFS(AnnualProduction!V$2:V$9924,AnnualProduction!$B$2:$B$9924,$A107)</f>
        <v>0</v>
      </c>
      <c r="V107">
        <f>SUMIFS(AnnualProduction!W$2:W$9924,AnnualProduction!$B$2:$B$9924,$A107)</f>
        <v>0</v>
      </c>
      <c r="W107">
        <f>SUMIFS(AnnualProduction!X$2:X$9924,AnnualProduction!$B$2:$B$9924,$A107)</f>
        <v>0</v>
      </c>
      <c r="X107">
        <f>SUMIFS(AnnualProduction!Y$2:Y$9924,AnnualProduction!$B$2:$B$9924,$A107)</f>
        <v>0</v>
      </c>
      <c r="Y107">
        <f>SUMIFS(AnnualProduction!Z$2:Z$9924,AnnualProduction!$B$2:$B$9924,$A107)</f>
        <v>0</v>
      </c>
      <c r="Z107">
        <f>SUMIFS(AnnualProduction!AA$2:AA$9924,AnnualProduction!$B$2:$B$9924,$A107)</f>
        <v>0</v>
      </c>
      <c r="AA107">
        <f>SUMIFS(AnnualProduction!AB$2:AB$9924,AnnualProduction!$B$2:$B$9924,$A107)</f>
        <v>0</v>
      </c>
      <c r="AB107">
        <f>SUMIFS(AnnualProduction!AC$2:AC$9924,AnnualProduction!$B$2:$B$9924,$A107)</f>
        <v>0</v>
      </c>
      <c r="AC107">
        <f>SUMIFS(AnnualProduction!AD$2:AD$9924,AnnualProduction!$B$2:$B$9924,$A107)</f>
        <v>0</v>
      </c>
      <c r="AD107">
        <f>SUMIFS(AnnualProduction!AE$2:AE$9924,AnnualProduction!$B$2:$B$9924,$A107)</f>
        <v>0</v>
      </c>
      <c r="AE107">
        <f>SUMIFS(AnnualProduction!AF$2:AF$9924,AnnualProduction!$B$2:$B$9924,$A107)</f>
        <v>0</v>
      </c>
      <c r="AF107">
        <f>SUMIFS(AnnualProduction!AG$2:AG$9924,AnnualProduction!$B$2:$B$9924,$A107)</f>
        <v>0</v>
      </c>
      <c r="AG107">
        <f>SUMIFS(AnnualProduction!AH$2:AH$9924,AnnualProduction!$B$2:$B$9924,$A107)</f>
        <v>0</v>
      </c>
    </row>
    <row r="108" spans="1:58">
      <c r="A108" t="s">
        <v>145</v>
      </c>
      <c r="C108">
        <f>SUMIFS(AnnualProduction!D$2:D$9924,AnnualProduction!$B$2:$B$9924,$A108)</f>
        <v>25.885199999999987</v>
      </c>
      <c r="D108">
        <f>SUMIFS(AnnualProduction!E$2:E$9924,AnnualProduction!$B$2:$B$9924,$A108)</f>
        <v>25.885199999999987</v>
      </c>
      <c r="E108">
        <f>SUMIFS(AnnualProduction!F$2:F$9924,AnnualProduction!$B$2:$B$9924,$A108)</f>
        <v>25.964399999999998</v>
      </c>
      <c r="F108">
        <f>SUMIFS(AnnualProduction!G$2:G$9924,AnnualProduction!$B$2:$B$9924,$A108)</f>
        <v>26.200199999999992</v>
      </c>
      <c r="G108">
        <f>SUMIFS(AnnualProduction!H$2:H$9924,AnnualProduction!$B$2:$B$9924,$A108)</f>
        <v>26.378400000000003</v>
      </c>
      <c r="H108">
        <f>SUMIFS(AnnualProduction!I$2:I$9924,AnnualProduction!$B$2:$B$9924,$A108)</f>
        <v>26.378400000000003</v>
      </c>
      <c r="I108">
        <f>SUMIFS(AnnualProduction!J$2:J$9924,AnnualProduction!$B$2:$B$9924,$A108)</f>
        <v>26.378400000000003</v>
      </c>
      <c r="J108">
        <f>SUMIFS(AnnualProduction!K$2:K$9924,AnnualProduction!$B$2:$B$9924,$A108)</f>
        <v>26.378400000000003</v>
      </c>
      <c r="K108">
        <f>SUMIFS(AnnualProduction!L$2:L$9924,AnnualProduction!$B$2:$B$9924,$A108)</f>
        <v>26.378400000000003</v>
      </c>
      <c r="L108">
        <f>SUMIFS(AnnualProduction!M$2:M$9924,AnnualProduction!$B$2:$B$9924,$A108)</f>
        <v>26.378400000000003</v>
      </c>
      <c r="M108">
        <f>SUMIFS(AnnualProduction!N$2:N$9924,AnnualProduction!$B$2:$B$9924,$A108)</f>
        <v>26.378400000000003</v>
      </c>
      <c r="N108">
        <f>SUMIFS(AnnualProduction!O$2:O$9924,AnnualProduction!$B$2:$B$9924,$A108)</f>
        <v>26.378400000000003</v>
      </c>
      <c r="O108">
        <f>SUMIFS(AnnualProduction!P$2:P$9924,AnnualProduction!$B$2:$B$9924,$A108)</f>
        <v>26.378400000000003</v>
      </c>
      <c r="P108">
        <f>SUMIFS(AnnualProduction!Q$2:Q$9924,AnnualProduction!$B$2:$B$9924,$A108)</f>
        <v>26.378400000000003</v>
      </c>
      <c r="Q108">
        <f>SUMIFS(AnnualProduction!R$2:R$9924,AnnualProduction!$B$2:$B$9924,$A108)</f>
        <v>26.378400000000003</v>
      </c>
      <c r="R108">
        <f>SUMIFS(AnnualProduction!S$2:S$9924,AnnualProduction!$B$2:$B$9924,$A108)</f>
        <v>26.378400000000003</v>
      </c>
      <c r="S108">
        <f>SUMIFS(AnnualProduction!T$2:T$9924,AnnualProduction!$B$2:$B$9924,$A108)</f>
        <v>26.378400000000003</v>
      </c>
      <c r="T108">
        <f>SUMIFS(AnnualProduction!U$2:U$9924,AnnualProduction!$B$2:$B$9924,$A108)</f>
        <v>26.378400000000003</v>
      </c>
      <c r="U108">
        <f>SUMIFS(AnnualProduction!V$2:V$9924,AnnualProduction!$B$2:$B$9924,$A108)</f>
        <v>26.378400000000003</v>
      </c>
      <c r="V108">
        <f>SUMIFS(AnnualProduction!W$2:W$9924,AnnualProduction!$B$2:$B$9924,$A108)</f>
        <v>26.378400000000003</v>
      </c>
      <c r="W108">
        <f>SUMIFS(AnnualProduction!X$2:X$9924,AnnualProduction!$B$2:$B$9924,$A108)</f>
        <v>26.378400000000003</v>
      </c>
      <c r="X108">
        <f>SUMIFS(AnnualProduction!Y$2:Y$9924,AnnualProduction!$B$2:$B$9924,$A108)</f>
        <v>26.378400000000003</v>
      </c>
      <c r="Y108">
        <f>SUMIFS(AnnualProduction!Z$2:Z$9924,AnnualProduction!$B$2:$B$9924,$A108)</f>
        <v>26.378400000000003</v>
      </c>
      <c r="Z108">
        <f>SUMIFS(AnnualProduction!AA$2:AA$9924,AnnualProduction!$B$2:$B$9924,$A108)</f>
        <v>26.378400000000003</v>
      </c>
      <c r="AA108">
        <f>SUMIFS(AnnualProduction!AB$2:AB$9924,AnnualProduction!$B$2:$B$9924,$A108)</f>
        <v>26.378400000000003</v>
      </c>
      <c r="AB108">
        <f>SUMIFS(AnnualProduction!AC$2:AC$9924,AnnualProduction!$B$2:$B$9924,$A108)</f>
        <v>26.378400000000003</v>
      </c>
      <c r="AC108">
        <f>SUMIFS(AnnualProduction!AD$2:AD$9924,AnnualProduction!$B$2:$B$9924,$A108)</f>
        <v>26.378400000000003</v>
      </c>
      <c r="AD108">
        <f>SUMIFS(AnnualProduction!AE$2:AE$9924,AnnualProduction!$B$2:$B$9924,$A108)</f>
        <v>26.262599999999992</v>
      </c>
      <c r="AE108">
        <f>SUMIFS(AnnualProduction!AF$2:AF$9924,AnnualProduction!$B$2:$B$9924,$A108)</f>
        <v>26.262599999999992</v>
      </c>
      <c r="AF108">
        <f>SUMIFS(AnnualProduction!AG$2:AG$9924,AnnualProduction!$B$2:$B$9924,$A108)</f>
        <v>26.262599999999992</v>
      </c>
      <c r="AG108">
        <f>SUMIFS(AnnualProduction!AH$2:AH$9924,AnnualProduction!$B$2:$B$9924,$A108)</f>
        <v>23.730999999999995</v>
      </c>
    </row>
    <row r="109" spans="1:58">
      <c r="A109" t="s">
        <v>146</v>
      </c>
      <c r="C109">
        <f>SUMIFS(AnnualProduction!D$2:D$9924,AnnualProduction!$B$2:$B$9924,$A109)</f>
        <v>0</v>
      </c>
      <c r="D109">
        <f>SUMIFS(AnnualProduction!E$2:E$9924,AnnualProduction!$B$2:$B$9924,$A109)</f>
        <v>0</v>
      </c>
      <c r="E109">
        <f>SUMIFS(AnnualProduction!F$2:F$9924,AnnualProduction!$B$2:$B$9924,$A109)</f>
        <v>0</v>
      </c>
      <c r="F109">
        <f>SUMIFS(AnnualProduction!G$2:G$9924,AnnualProduction!$B$2:$B$9924,$A109)</f>
        <v>0</v>
      </c>
      <c r="G109">
        <f>SUMIFS(AnnualProduction!H$2:H$9924,AnnualProduction!$B$2:$B$9924,$A109)</f>
        <v>0</v>
      </c>
      <c r="H109">
        <f>SUMIFS(AnnualProduction!I$2:I$9924,AnnualProduction!$B$2:$B$9924,$A109)</f>
        <v>7.5470000000000015</v>
      </c>
      <c r="I109">
        <f>SUMIFS(AnnualProduction!J$2:J$9924,AnnualProduction!$B$2:$B$9924,$A109)</f>
        <v>7.7919000000000009</v>
      </c>
      <c r="J109">
        <f>SUMIFS(AnnualProduction!K$2:K$9924,AnnualProduction!$B$2:$B$9924,$A109)</f>
        <v>7.7964000000000011</v>
      </c>
      <c r="K109">
        <f>SUMIFS(AnnualProduction!L$2:L$9924,AnnualProduction!$B$2:$B$9924,$A109)</f>
        <v>7.8004000000000007</v>
      </c>
      <c r="L109">
        <f>SUMIFS(AnnualProduction!M$2:M$9924,AnnualProduction!$B$2:$B$9924,$A109)</f>
        <v>5.8164000000000007</v>
      </c>
      <c r="M109">
        <f>SUMIFS(AnnualProduction!N$2:N$9924,AnnualProduction!$B$2:$B$9924,$A109)</f>
        <v>5.8164000000000007</v>
      </c>
      <c r="N109">
        <f>SUMIFS(AnnualProduction!O$2:O$9924,AnnualProduction!$B$2:$B$9924,$A109)</f>
        <v>5.8164000000000007</v>
      </c>
      <c r="O109">
        <f>SUMIFS(AnnualProduction!P$2:P$9924,AnnualProduction!$B$2:$B$9924,$A109)</f>
        <v>4.359</v>
      </c>
      <c r="P109">
        <f>SUMIFS(AnnualProduction!Q$2:Q$9924,AnnualProduction!$B$2:$B$9924,$A109)</f>
        <v>4.7826000000000004</v>
      </c>
      <c r="Q109">
        <f>SUMIFS(AnnualProduction!R$2:R$9924,AnnualProduction!$B$2:$B$9924,$A109)</f>
        <v>3.9576000000000002</v>
      </c>
      <c r="R109">
        <f>SUMIFS(AnnualProduction!S$2:S$9924,AnnualProduction!$B$2:$B$9924,$A109)</f>
        <v>3.6596000000000002</v>
      </c>
      <c r="S109">
        <f>SUMIFS(AnnualProduction!T$2:T$9924,AnnualProduction!$B$2:$B$9924,$A109)</f>
        <v>3.4527999999999999</v>
      </c>
      <c r="T109">
        <f>SUMIFS(AnnualProduction!U$2:U$9924,AnnualProduction!$B$2:$B$9924,$A109)</f>
        <v>3.2460000000000004</v>
      </c>
      <c r="U109">
        <f>SUMIFS(AnnualProduction!V$2:V$9924,AnnualProduction!$B$2:$B$9924,$A109)</f>
        <v>3.6208</v>
      </c>
      <c r="V109">
        <f>SUMIFS(AnnualProduction!W$2:W$9924,AnnualProduction!$B$2:$B$9924,$A109)</f>
        <v>8.5266000000000002</v>
      </c>
      <c r="W109">
        <f>SUMIFS(AnnualProduction!X$2:X$9924,AnnualProduction!$B$2:$B$9924,$A109)</f>
        <v>12.711399999999998</v>
      </c>
      <c r="X109">
        <f>SUMIFS(AnnualProduction!Y$2:Y$9924,AnnualProduction!$B$2:$B$9924,$A109)</f>
        <v>8.2622</v>
      </c>
      <c r="Y109">
        <f>SUMIFS(AnnualProduction!Z$2:Z$9924,AnnualProduction!$B$2:$B$9924,$A109)</f>
        <v>7.782</v>
      </c>
      <c r="Z109">
        <f>SUMIFS(AnnualProduction!AA$2:AA$9924,AnnualProduction!$B$2:$B$9924,$A109)</f>
        <v>7.5725999999999996</v>
      </c>
      <c r="AA109">
        <f>SUMIFS(AnnualProduction!AB$2:AB$9924,AnnualProduction!$B$2:$B$9924,$A109)</f>
        <v>7.3675999999999995</v>
      </c>
      <c r="AB109">
        <f>SUMIFS(AnnualProduction!AC$2:AC$9924,AnnualProduction!$B$2:$B$9924,$A109)</f>
        <v>7.351799999999999</v>
      </c>
      <c r="AC109">
        <f>SUMIFS(AnnualProduction!AD$2:AD$9924,AnnualProduction!$B$2:$B$9924,$A109)</f>
        <v>14.517199999999999</v>
      </c>
      <c r="AD109">
        <f>SUMIFS(AnnualProduction!AE$2:AE$9924,AnnualProduction!$B$2:$B$9924,$A109)</f>
        <v>20.202599999999997</v>
      </c>
      <c r="AE109">
        <f>SUMIFS(AnnualProduction!AF$2:AF$9924,AnnualProduction!$B$2:$B$9924,$A109)</f>
        <v>21.048400000000001</v>
      </c>
      <c r="AF109">
        <f>SUMIFS(AnnualProduction!AG$2:AG$9924,AnnualProduction!$B$2:$B$9924,$A109)</f>
        <v>24.071599999999997</v>
      </c>
      <c r="AG109">
        <f>SUMIFS(AnnualProduction!AH$2:AH$9924,AnnualProduction!$B$2:$B$9924,$A109)</f>
        <v>47.786900000000003</v>
      </c>
    </row>
    <row r="110" spans="1:58">
      <c r="A110" t="s">
        <v>147</v>
      </c>
      <c r="C110">
        <f>SUMIFS(AnnualProduction!D$2:D$9924,AnnualProduction!$B$2:$B$9924,$A110)</f>
        <v>0</v>
      </c>
      <c r="D110">
        <f>SUMIFS(AnnualProduction!E$2:E$9924,AnnualProduction!$B$2:$B$9924,$A110)</f>
        <v>0</v>
      </c>
      <c r="E110">
        <f>SUMIFS(AnnualProduction!F$2:F$9924,AnnualProduction!$B$2:$B$9924,$A110)</f>
        <v>0</v>
      </c>
      <c r="F110">
        <f>SUMIFS(AnnualProduction!G$2:G$9924,AnnualProduction!$B$2:$B$9924,$A110)</f>
        <v>0</v>
      </c>
      <c r="G110">
        <f>SUMIFS(AnnualProduction!H$2:H$9924,AnnualProduction!$B$2:$B$9924,$A110)</f>
        <v>0</v>
      </c>
      <c r="H110">
        <f>SUMIFS(AnnualProduction!I$2:I$9924,AnnualProduction!$B$2:$B$9924,$A110)</f>
        <v>0</v>
      </c>
      <c r="I110">
        <f>SUMIFS(AnnualProduction!J$2:J$9924,AnnualProduction!$B$2:$B$9924,$A110)</f>
        <v>0</v>
      </c>
      <c r="J110">
        <f>SUMIFS(AnnualProduction!K$2:K$9924,AnnualProduction!$B$2:$B$9924,$A110)</f>
        <v>0</v>
      </c>
      <c r="K110">
        <f>SUMIFS(AnnualProduction!L$2:L$9924,AnnualProduction!$B$2:$B$9924,$A110)</f>
        <v>0</v>
      </c>
      <c r="L110">
        <f>SUMIFS(AnnualProduction!M$2:M$9924,AnnualProduction!$B$2:$B$9924,$A110)</f>
        <v>0</v>
      </c>
      <c r="M110">
        <f>SUMIFS(AnnualProduction!N$2:N$9924,AnnualProduction!$B$2:$B$9924,$A110)</f>
        <v>0</v>
      </c>
      <c r="N110">
        <f>SUMIFS(AnnualProduction!O$2:O$9924,AnnualProduction!$B$2:$B$9924,$A110)</f>
        <v>0</v>
      </c>
      <c r="O110">
        <f>SUMIFS(AnnualProduction!P$2:P$9924,AnnualProduction!$B$2:$B$9924,$A110)</f>
        <v>0</v>
      </c>
      <c r="P110">
        <f>SUMIFS(AnnualProduction!Q$2:Q$9924,AnnualProduction!$B$2:$B$9924,$A110)</f>
        <v>0</v>
      </c>
      <c r="Q110">
        <f>SUMIFS(AnnualProduction!R$2:R$9924,AnnualProduction!$B$2:$B$9924,$A110)</f>
        <v>0</v>
      </c>
      <c r="R110">
        <f>SUMIFS(AnnualProduction!S$2:S$9924,AnnualProduction!$B$2:$B$9924,$A110)</f>
        <v>0</v>
      </c>
      <c r="S110">
        <f>SUMIFS(AnnualProduction!T$2:T$9924,AnnualProduction!$B$2:$B$9924,$A110)</f>
        <v>0</v>
      </c>
      <c r="T110">
        <f>SUMIFS(AnnualProduction!U$2:U$9924,AnnualProduction!$B$2:$B$9924,$A110)</f>
        <v>0</v>
      </c>
      <c r="U110">
        <f>SUMIFS(AnnualProduction!V$2:V$9924,AnnualProduction!$B$2:$B$9924,$A110)</f>
        <v>0</v>
      </c>
      <c r="V110">
        <f>SUMIFS(AnnualProduction!W$2:W$9924,AnnualProduction!$B$2:$B$9924,$A110)</f>
        <v>0</v>
      </c>
      <c r="W110">
        <f>SUMIFS(AnnualProduction!X$2:X$9924,AnnualProduction!$B$2:$B$9924,$A110)</f>
        <v>0</v>
      </c>
      <c r="X110">
        <f>SUMIFS(AnnualProduction!Y$2:Y$9924,AnnualProduction!$B$2:$B$9924,$A110)</f>
        <v>0</v>
      </c>
      <c r="Y110">
        <f>SUMIFS(AnnualProduction!Z$2:Z$9924,AnnualProduction!$B$2:$B$9924,$A110)</f>
        <v>0</v>
      </c>
      <c r="Z110">
        <f>SUMIFS(AnnualProduction!AA$2:AA$9924,AnnualProduction!$B$2:$B$9924,$A110)</f>
        <v>0</v>
      </c>
      <c r="AA110">
        <f>SUMIFS(AnnualProduction!AB$2:AB$9924,AnnualProduction!$B$2:$B$9924,$A110)</f>
        <v>0</v>
      </c>
      <c r="AB110">
        <f>SUMIFS(AnnualProduction!AC$2:AC$9924,AnnualProduction!$B$2:$B$9924,$A110)</f>
        <v>0</v>
      </c>
      <c r="AC110">
        <f>SUMIFS(AnnualProduction!AD$2:AD$9924,AnnualProduction!$B$2:$B$9924,$A110)</f>
        <v>0</v>
      </c>
      <c r="AD110">
        <f>SUMIFS(AnnualProduction!AE$2:AE$9924,AnnualProduction!$B$2:$B$9924,$A110)</f>
        <v>0</v>
      </c>
      <c r="AE110">
        <f>SUMIFS(AnnualProduction!AF$2:AF$9924,AnnualProduction!$B$2:$B$9924,$A110)</f>
        <v>0</v>
      </c>
      <c r="AF110">
        <f>SUMIFS(AnnualProduction!AG$2:AG$9924,AnnualProduction!$B$2:$B$9924,$A110)</f>
        <v>0</v>
      </c>
      <c r="AG110">
        <f>SUMIFS(AnnualProduction!AH$2:AH$9924,AnnualProduction!$B$2:$B$9924,$A110)</f>
        <v>0</v>
      </c>
    </row>
    <row r="111" spans="1:58">
      <c r="A111" t="s">
        <v>148</v>
      </c>
      <c r="C111">
        <f>SUMIFS(AnnualProduction!D$2:D$9924,AnnualProduction!$B$2:$B$9924,$A111)</f>
        <v>0</v>
      </c>
      <c r="D111">
        <f>SUMIFS(AnnualProduction!E$2:E$9924,AnnualProduction!$B$2:$B$9924,$A111)</f>
        <v>0</v>
      </c>
      <c r="E111">
        <f>SUMIFS(AnnualProduction!F$2:F$9924,AnnualProduction!$B$2:$B$9924,$A111)</f>
        <v>0</v>
      </c>
      <c r="F111">
        <f>SUMIFS(AnnualProduction!G$2:G$9924,AnnualProduction!$B$2:$B$9924,$A111)</f>
        <v>0</v>
      </c>
      <c r="G111">
        <f>SUMIFS(AnnualProduction!H$2:H$9924,AnnualProduction!$B$2:$B$9924,$A111)</f>
        <v>0</v>
      </c>
      <c r="H111">
        <f>SUMIFS(AnnualProduction!I$2:I$9924,AnnualProduction!$B$2:$B$9924,$A111)</f>
        <v>0</v>
      </c>
      <c r="I111">
        <f>SUMIFS(AnnualProduction!J$2:J$9924,AnnualProduction!$B$2:$B$9924,$A111)</f>
        <v>0</v>
      </c>
      <c r="J111">
        <f>SUMIFS(AnnualProduction!K$2:K$9924,AnnualProduction!$B$2:$B$9924,$A111)</f>
        <v>0</v>
      </c>
      <c r="K111">
        <f>SUMIFS(AnnualProduction!L$2:L$9924,AnnualProduction!$B$2:$B$9924,$A111)</f>
        <v>0</v>
      </c>
      <c r="L111">
        <f>SUMIFS(AnnualProduction!M$2:M$9924,AnnualProduction!$B$2:$B$9924,$A111)</f>
        <v>0</v>
      </c>
      <c r="M111">
        <f>SUMIFS(AnnualProduction!N$2:N$9924,AnnualProduction!$B$2:$B$9924,$A111)</f>
        <v>0</v>
      </c>
      <c r="N111">
        <f>SUMIFS(AnnualProduction!O$2:O$9924,AnnualProduction!$B$2:$B$9924,$A111)</f>
        <v>0</v>
      </c>
      <c r="O111">
        <f>SUMIFS(AnnualProduction!P$2:P$9924,AnnualProduction!$B$2:$B$9924,$A111)</f>
        <v>0</v>
      </c>
      <c r="P111">
        <f>SUMIFS(AnnualProduction!Q$2:Q$9924,AnnualProduction!$B$2:$B$9924,$A111)</f>
        <v>0</v>
      </c>
      <c r="Q111">
        <f>SUMIFS(AnnualProduction!R$2:R$9924,AnnualProduction!$B$2:$B$9924,$A111)</f>
        <v>0</v>
      </c>
      <c r="R111">
        <f>SUMIFS(AnnualProduction!S$2:S$9924,AnnualProduction!$B$2:$B$9924,$A111)</f>
        <v>0</v>
      </c>
      <c r="S111">
        <f>SUMIFS(AnnualProduction!T$2:T$9924,AnnualProduction!$B$2:$B$9924,$A111)</f>
        <v>0</v>
      </c>
      <c r="T111">
        <f>SUMIFS(AnnualProduction!U$2:U$9924,AnnualProduction!$B$2:$B$9924,$A111)</f>
        <v>0</v>
      </c>
      <c r="U111">
        <f>SUMIFS(AnnualProduction!V$2:V$9924,AnnualProduction!$B$2:$B$9924,$A111)</f>
        <v>0</v>
      </c>
      <c r="V111">
        <f>SUMIFS(AnnualProduction!W$2:W$9924,AnnualProduction!$B$2:$B$9924,$A111)</f>
        <v>0</v>
      </c>
      <c r="W111">
        <f>SUMIFS(AnnualProduction!X$2:X$9924,AnnualProduction!$B$2:$B$9924,$A111)</f>
        <v>0</v>
      </c>
      <c r="X111">
        <f>SUMIFS(AnnualProduction!Y$2:Y$9924,AnnualProduction!$B$2:$B$9924,$A111)</f>
        <v>0</v>
      </c>
      <c r="Y111">
        <f>SUMIFS(AnnualProduction!Z$2:Z$9924,AnnualProduction!$B$2:$B$9924,$A111)</f>
        <v>0</v>
      </c>
      <c r="Z111">
        <f>SUMIFS(AnnualProduction!AA$2:AA$9924,AnnualProduction!$B$2:$B$9924,$A111)</f>
        <v>0</v>
      </c>
      <c r="AA111">
        <f>SUMIFS(AnnualProduction!AB$2:AB$9924,AnnualProduction!$B$2:$B$9924,$A111)</f>
        <v>0</v>
      </c>
      <c r="AB111">
        <f>SUMIFS(AnnualProduction!AC$2:AC$9924,AnnualProduction!$B$2:$B$9924,$A111)</f>
        <v>0</v>
      </c>
      <c r="AC111">
        <f>SUMIFS(AnnualProduction!AD$2:AD$9924,AnnualProduction!$B$2:$B$9924,$A111)</f>
        <v>0</v>
      </c>
      <c r="AD111">
        <f>SUMIFS(AnnualProduction!AE$2:AE$9924,AnnualProduction!$B$2:$B$9924,$A111)</f>
        <v>0</v>
      </c>
      <c r="AE111">
        <f>SUMIFS(AnnualProduction!AF$2:AF$9924,AnnualProduction!$B$2:$B$9924,$A111)</f>
        <v>0</v>
      </c>
      <c r="AF111">
        <f>SUMIFS(AnnualProduction!AG$2:AG$9924,AnnualProduction!$B$2:$B$9924,$A111)</f>
        <v>0</v>
      </c>
      <c r="AG111">
        <f>SUMIFS(AnnualProduction!AH$2:AH$9924,AnnualProduction!$B$2:$B$9924,$A111)</f>
        <v>0</v>
      </c>
    </row>
    <row r="112" spans="1:58">
      <c r="A112" t="s">
        <v>149</v>
      </c>
      <c r="C112">
        <f>SUMIFS(AnnualProduction!D$2:D$9924,AnnualProduction!$B$2:$B$9924,$A112)</f>
        <v>0</v>
      </c>
      <c r="D112">
        <f>SUMIFS(AnnualProduction!E$2:E$9924,AnnualProduction!$B$2:$B$9924,$A112)</f>
        <v>0</v>
      </c>
      <c r="E112">
        <f>SUMIFS(AnnualProduction!F$2:F$9924,AnnualProduction!$B$2:$B$9924,$A112)</f>
        <v>0</v>
      </c>
      <c r="F112">
        <f>SUMIFS(AnnualProduction!G$2:G$9924,AnnualProduction!$B$2:$B$9924,$A112)</f>
        <v>0</v>
      </c>
      <c r="G112">
        <f>SUMIFS(AnnualProduction!H$2:H$9924,AnnualProduction!$B$2:$B$9924,$A112)</f>
        <v>0</v>
      </c>
      <c r="H112">
        <f>SUMIFS(AnnualProduction!I$2:I$9924,AnnualProduction!$B$2:$B$9924,$A112)</f>
        <v>0</v>
      </c>
      <c r="I112">
        <f>SUMIFS(AnnualProduction!J$2:J$9924,AnnualProduction!$B$2:$B$9924,$A112)</f>
        <v>0</v>
      </c>
      <c r="J112">
        <f>SUMIFS(AnnualProduction!K$2:K$9924,AnnualProduction!$B$2:$B$9924,$A112)</f>
        <v>0</v>
      </c>
      <c r="K112">
        <f>SUMIFS(AnnualProduction!L$2:L$9924,AnnualProduction!$B$2:$B$9924,$A112)</f>
        <v>0</v>
      </c>
      <c r="L112">
        <f>SUMIFS(AnnualProduction!M$2:M$9924,AnnualProduction!$B$2:$B$9924,$A112)</f>
        <v>0</v>
      </c>
      <c r="M112">
        <f>SUMIFS(AnnualProduction!N$2:N$9924,AnnualProduction!$B$2:$B$9924,$A112)</f>
        <v>0</v>
      </c>
      <c r="N112">
        <f>SUMIFS(AnnualProduction!O$2:O$9924,AnnualProduction!$B$2:$B$9924,$A112)</f>
        <v>0</v>
      </c>
      <c r="O112">
        <f>SUMIFS(AnnualProduction!P$2:P$9924,AnnualProduction!$B$2:$B$9924,$A112)</f>
        <v>0</v>
      </c>
      <c r="P112">
        <f>SUMIFS(AnnualProduction!Q$2:Q$9924,AnnualProduction!$B$2:$B$9924,$A112)</f>
        <v>0</v>
      </c>
      <c r="Q112">
        <f>SUMIFS(AnnualProduction!R$2:R$9924,AnnualProduction!$B$2:$B$9924,$A112)</f>
        <v>0</v>
      </c>
      <c r="R112">
        <f>SUMIFS(AnnualProduction!S$2:S$9924,AnnualProduction!$B$2:$B$9924,$A112)</f>
        <v>0</v>
      </c>
      <c r="S112">
        <f>SUMIFS(AnnualProduction!T$2:T$9924,AnnualProduction!$B$2:$B$9924,$A112)</f>
        <v>0</v>
      </c>
      <c r="T112">
        <f>SUMIFS(AnnualProduction!U$2:U$9924,AnnualProduction!$B$2:$B$9924,$A112)</f>
        <v>0</v>
      </c>
      <c r="U112">
        <f>SUMIFS(AnnualProduction!V$2:V$9924,AnnualProduction!$B$2:$B$9924,$A112)</f>
        <v>0</v>
      </c>
      <c r="V112">
        <f>SUMIFS(AnnualProduction!W$2:W$9924,AnnualProduction!$B$2:$B$9924,$A112)</f>
        <v>0</v>
      </c>
      <c r="W112">
        <f>SUMIFS(AnnualProduction!X$2:X$9924,AnnualProduction!$B$2:$B$9924,$A112)</f>
        <v>0</v>
      </c>
      <c r="X112">
        <f>SUMIFS(AnnualProduction!Y$2:Y$9924,AnnualProduction!$B$2:$B$9924,$A112)</f>
        <v>0</v>
      </c>
      <c r="Y112">
        <f>SUMIFS(AnnualProduction!Z$2:Z$9924,AnnualProduction!$B$2:$B$9924,$A112)</f>
        <v>0</v>
      </c>
      <c r="Z112">
        <f>SUMIFS(AnnualProduction!AA$2:AA$9924,AnnualProduction!$B$2:$B$9924,$A112)</f>
        <v>0</v>
      </c>
      <c r="AA112">
        <f>SUMIFS(AnnualProduction!AB$2:AB$9924,AnnualProduction!$B$2:$B$9924,$A112)</f>
        <v>0</v>
      </c>
      <c r="AB112">
        <f>SUMIFS(AnnualProduction!AC$2:AC$9924,AnnualProduction!$B$2:$B$9924,$A112)</f>
        <v>0</v>
      </c>
      <c r="AC112">
        <f>SUMIFS(AnnualProduction!AD$2:AD$9924,AnnualProduction!$B$2:$B$9924,$A112)</f>
        <v>0</v>
      </c>
      <c r="AD112">
        <f>SUMIFS(AnnualProduction!AE$2:AE$9924,AnnualProduction!$B$2:$B$9924,$A112)</f>
        <v>0</v>
      </c>
      <c r="AE112">
        <f>SUMIFS(AnnualProduction!AF$2:AF$9924,AnnualProduction!$B$2:$B$9924,$A112)</f>
        <v>0</v>
      </c>
      <c r="AF112">
        <f>SUMIFS(AnnualProduction!AG$2:AG$9924,AnnualProduction!$B$2:$B$9924,$A112)</f>
        <v>0</v>
      </c>
      <c r="AG112">
        <f>SUMIFS(AnnualProduction!AH$2:AH$9924,AnnualProduction!$B$2:$B$9924,$A112)</f>
        <v>0</v>
      </c>
    </row>
    <row r="113" spans="1:58">
      <c r="A113" t="s">
        <v>150</v>
      </c>
      <c r="C113">
        <f>SUMIFS(AnnualProduction!D$2:D$9924,AnnualProduction!$B$2:$B$9924,$A113)</f>
        <v>4.9571000000000005</v>
      </c>
      <c r="D113">
        <f>SUMIFS(AnnualProduction!E$2:E$9924,AnnualProduction!$B$2:$B$9924,$A113)</f>
        <v>7.1622000000000012</v>
      </c>
      <c r="E113">
        <f>SUMIFS(AnnualProduction!F$2:F$9924,AnnualProduction!$B$2:$B$9924,$A113)</f>
        <v>8.9051999999999989</v>
      </c>
      <c r="F113">
        <f>SUMIFS(AnnualProduction!G$2:G$9924,AnnualProduction!$B$2:$B$9924,$A113)</f>
        <v>9.8015999999999988</v>
      </c>
      <c r="G113">
        <f>SUMIFS(AnnualProduction!H$2:H$9924,AnnualProduction!$B$2:$B$9924,$A113)</f>
        <v>15.526199999999999</v>
      </c>
      <c r="H113">
        <f>SUMIFS(AnnualProduction!I$2:I$9924,AnnualProduction!$B$2:$B$9924,$A113)</f>
        <v>17.098199999999999</v>
      </c>
      <c r="I113">
        <f>SUMIFS(AnnualProduction!J$2:J$9924,AnnualProduction!$B$2:$B$9924,$A113)</f>
        <v>17.098199999999999</v>
      </c>
      <c r="J113">
        <f>SUMIFS(AnnualProduction!K$2:K$9924,AnnualProduction!$B$2:$B$9924,$A113)</f>
        <v>17.098199999999999</v>
      </c>
      <c r="K113">
        <f>SUMIFS(AnnualProduction!L$2:L$9924,AnnualProduction!$B$2:$B$9924,$A113)</f>
        <v>17.098199999999999</v>
      </c>
      <c r="L113">
        <f>SUMIFS(AnnualProduction!M$2:M$9924,AnnualProduction!$B$2:$B$9924,$A113)</f>
        <v>17.098199999999999</v>
      </c>
      <c r="M113">
        <f>SUMIFS(AnnualProduction!N$2:N$9924,AnnualProduction!$B$2:$B$9924,$A113)</f>
        <v>58.520399999999995</v>
      </c>
      <c r="N113">
        <f>SUMIFS(AnnualProduction!O$2:O$9924,AnnualProduction!$B$2:$B$9924,$A113)</f>
        <v>58.520399999999995</v>
      </c>
      <c r="O113">
        <f>SUMIFS(AnnualProduction!P$2:P$9924,AnnualProduction!$B$2:$B$9924,$A113)</f>
        <v>58.520399999999995</v>
      </c>
      <c r="P113">
        <f>SUMIFS(AnnualProduction!Q$2:Q$9924,AnnualProduction!$B$2:$B$9924,$A113)</f>
        <v>58.520399999999995</v>
      </c>
      <c r="Q113">
        <f>SUMIFS(AnnualProduction!R$2:R$9924,AnnualProduction!$B$2:$B$9924,$A113)</f>
        <v>71.517799999999994</v>
      </c>
      <c r="R113">
        <f>SUMIFS(AnnualProduction!S$2:S$9924,AnnualProduction!$B$2:$B$9924,$A113)</f>
        <v>71.517799999999994</v>
      </c>
      <c r="S113">
        <f>SUMIFS(AnnualProduction!T$2:T$9924,AnnualProduction!$B$2:$B$9924,$A113)</f>
        <v>71.517799999999994</v>
      </c>
      <c r="T113">
        <f>SUMIFS(AnnualProduction!U$2:U$9924,AnnualProduction!$B$2:$B$9924,$A113)</f>
        <v>71.517799999999994</v>
      </c>
      <c r="U113">
        <f>SUMIFS(AnnualProduction!V$2:V$9924,AnnualProduction!$B$2:$B$9924,$A113)</f>
        <v>71.517799999999994</v>
      </c>
      <c r="V113">
        <f>SUMIFS(AnnualProduction!W$2:W$9924,AnnualProduction!$B$2:$B$9924,$A113)</f>
        <v>71.517799999999994</v>
      </c>
      <c r="W113">
        <f>SUMIFS(AnnualProduction!X$2:X$9924,AnnualProduction!$B$2:$B$9924,$A113)</f>
        <v>219.53320000000002</v>
      </c>
      <c r="X113">
        <f>SUMIFS(AnnualProduction!Y$2:Y$9924,AnnualProduction!$B$2:$B$9924,$A113)</f>
        <v>219.53320000000002</v>
      </c>
      <c r="Y113">
        <f>SUMIFS(AnnualProduction!Z$2:Z$9924,AnnualProduction!$B$2:$B$9924,$A113)</f>
        <v>219.81979999999999</v>
      </c>
      <c r="Z113">
        <f>SUMIFS(AnnualProduction!AA$2:AA$9924,AnnualProduction!$B$2:$B$9924,$A113)</f>
        <v>220.09419999999997</v>
      </c>
      <c r="AA113">
        <f>SUMIFS(AnnualProduction!AB$2:AB$9924,AnnualProduction!$B$2:$B$9924,$A113)</f>
        <v>220.21620000000001</v>
      </c>
      <c r="AB113">
        <f>SUMIFS(AnnualProduction!AC$2:AC$9924,AnnualProduction!$B$2:$B$9924,$A113)</f>
        <v>220.97039999999998</v>
      </c>
      <c r="AC113">
        <f>SUMIFS(AnnualProduction!AD$2:AD$9924,AnnualProduction!$B$2:$B$9924,$A113)</f>
        <v>222.09659999999997</v>
      </c>
      <c r="AD113">
        <f>SUMIFS(AnnualProduction!AE$2:AE$9924,AnnualProduction!$B$2:$B$9924,$A113)</f>
        <v>223.5318</v>
      </c>
      <c r="AE113">
        <f>SUMIFS(AnnualProduction!AF$2:AF$9924,AnnualProduction!$B$2:$B$9924,$A113)</f>
        <v>225.19</v>
      </c>
      <c r="AF113">
        <f>SUMIFS(AnnualProduction!AG$2:AG$9924,AnnualProduction!$B$2:$B$9924,$A113)</f>
        <v>227.10559999999998</v>
      </c>
      <c r="AG113">
        <f>SUMIFS(AnnualProduction!AH$2:AH$9924,AnnualProduction!$B$2:$B$9924,$A113)</f>
        <v>376.57489999999996</v>
      </c>
    </row>
    <row r="114" spans="1:58">
      <c r="A114" t="s">
        <v>151</v>
      </c>
      <c r="C114">
        <f>SUMIFS(AnnualProduction!D$2:D$9924,AnnualProduction!$B$2:$B$9924,$A114)</f>
        <v>0</v>
      </c>
      <c r="D114">
        <f>SUMIFS(AnnualProduction!E$2:E$9924,AnnualProduction!$B$2:$B$9924,$A114)</f>
        <v>0</v>
      </c>
      <c r="E114">
        <f>SUMIFS(AnnualProduction!F$2:F$9924,AnnualProduction!$B$2:$B$9924,$A114)</f>
        <v>0</v>
      </c>
      <c r="F114">
        <f>SUMIFS(AnnualProduction!G$2:G$9924,AnnualProduction!$B$2:$B$9924,$A114)</f>
        <v>0</v>
      </c>
      <c r="G114">
        <f>SUMIFS(AnnualProduction!H$2:H$9924,AnnualProduction!$B$2:$B$9924,$A114)</f>
        <v>0</v>
      </c>
      <c r="H114">
        <f>SUMIFS(AnnualProduction!I$2:I$9924,AnnualProduction!$B$2:$B$9924,$A114)</f>
        <v>0</v>
      </c>
      <c r="I114">
        <f>SUMIFS(AnnualProduction!J$2:J$9924,AnnualProduction!$B$2:$B$9924,$A114)</f>
        <v>0</v>
      </c>
      <c r="J114">
        <f>SUMIFS(AnnualProduction!K$2:K$9924,AnnualProduction!$B$2:$B$9924,$A114)</f>
        <v>0</v>
      </c>
      <c r="K114">
        <f>SUMIFS(AnnualProduction!L$2:L$9924,AnnualProduction!$B$2:$B$9924,$A114)</f>
        <v>0</v>
      </c>
      <c r="L114">
        <f>SUMIFS(AnnualProduction!M$2:M$9924,AnnualProduction!$B$2:$B$9924,$A114)</f>
        <v>0</v>
      </c>
      <c r="M114">
        <f>SUMIFS(AnnualProduction!N$2:N$9924,AnnualProduction!$B$2:$B$9924,$A114)</f>
        <v>0</v>
      </c>
      <c r="N114">
        <f>SUMIFS(AnnualProduction!O$2:O$9924,AnnualProduction!$B$2:$B$9924,$A114)</f>
        <v>0</v>
      </c>
      <c r="O114">
        <f>SUMIFS(AnnualProduction!P$2:P$9924,AnnualProduction!$B$2:$B$9924,$A114)</f>
        <v>0</v>
      </c>
      <c r="P114">
        <f>SUMIFS(AnnualProduction!Q$2:Q$9924,AnnualProduction!$B$2:$B$9924,$A114)</f>
        <v>0</v>
      </c>
      <c r="Q114">
        <f>SUMIFS(AnnualProduction!R$2:R$9924,AnnualProduction!$B$2:$B$9924,$A114)</f>
        <v>0</v>
      </c>
      <c r="R114">
        <f>SUMIFS(AnnualProduction!S$2:S$9924,AnnualProduction!$B$2:$B$9924,$A114)</f>
        <v>0</v>
      </c>
      <c r="S114">
        <f>SUMIFS(AnnualProduction!T$2:T$9924,AnnualProduction!$B$2:$B$9924,$A114)</f>
        <v>0</v>
      </c>
      <c r="T114">
        <f>SUMIFS(AnnualProduction!U$2:U$9924,AnnualProduction!$B$2:$B$9924,$A114)</f>
        <v>0</v>
      </c>
      <c r="U114">
        <f>SUMIFS(AnnualProduction!V$2:V$9924,AnnualProduction!$B$2:$B$9924,$A114)</f>
        <v>0</v>
      </c>
      <c r="V114">
        <f>SUMIFS(AnnualProduction!W$2:W$9924,AnnualProduction!$B$2:$B$9924,$A114)</f>
        <v>0</v>
      </c>
      <c r="W114">
        <f>SUMIFS(AnnualProduction!X$2:X$9924,AnnualProduction!$B$2:$B$9924,$A114)</f>
        <v>0</v>
      </c>
      <c r="X114">
        <f>SUMIFS(AnnualProduction!Y$2:Y$9924,AnnualProduction!$B$2:$B$9924,$A114)</f>
        <v>0</v>
      </c>
      <c r="Y114">
        <f>SUMIFS(AnnualProduction!Z$2:Z$9924,AnnualProduction!$B$2:$B$9924,$A114)</f>
        <v>0</v>
      </c>
      <c r="Z114">
        <f>SUMIFS(AnnualProduction!AA$2:AA$9924,AnnualProduction!$B$2:$B$9924,$A114)</f>
        <v>0</v>
      </c>
      <c r="AA114">
        <f>SUMIFS(AnnualProduction!AB$2:AB$9924,AnnualProduction!$B$2:$B$9924,$A114)</f>
        <v>0</v>
      </c>
      <c r="AB114">
        <f>SUMIFS(AnnualProduction!AC$2:AC$9924,AnnualProduction!$B$2:$B$9924,$A114)</f>
        <v>0</v>
      </c>
      <c r="AC114">
        <f>SUMIFS(AnnualProduction!AD$2:AD$9924,AnnualProduction!$B$2:$B$9924,$A114)</f>
        <v>0</v>
      </c>
      <c r="AD114">
        <f>SUMIFS(AnnualProduction!AE$2:AE$9924,AnnualProduction!$B$2:$B$9924,$A114)</f>
        <v>0</v>
      </c>
      <c r="AE114">
        <f>SUMIFS(AnnualProduction!AF$2:AF$9924,AnnualProduction!$B$2:$B$9924,$A114)</f>
        <v>0</v>
      </c>
      <c r="AF114">
        <f>SUMIFS(AnnualProduction!AG$2:AG$9924,AnnualProduction!$B$2:$B$9924,$A114)</f>
        <v>0</v>
      </c>
      <c r="AG114">
        <f>SUMIFS(AnnualProduction!AH$2:AH$9924,AnnualProduction!$B$2:$B$9924,$A114)</f>
        <v>0</v>
      </c>
    </row>
    <row r="115" spans="1:58">
      <c r="A115" t="s">
        <v>152</v>
      </c>
      <c r="C115">
        <f>SUMIFS(AnnualProduction!D$2:D$9924,AnnualProduction!$B$2:$B$9924,$A115)</f>
        <v>3.7079999999999997</v>
      </c>
      <c r="D115">
        <f>SUMIFS(AnnualProduction!E$2:E$9924,AnnualProduction!$B$2:$B$9924,$A115)</f>
        <v>3.7079999999999997</v>
      </c>
      <c r="E115">
        <f>SUMIFS(AnnualProduction!F$2:F$9924,AnnualProduction!$B$2:$B$9924,$A115)</f>
        <v>3.7079999999999997</v>
      </c>
      <c r="F115">
        <f>SUMIFS(AnnualProduction!G$2:G$9924,AnnualProduction!$B$2:$B$9924,$A115)</f>
        <v>3.7079999999999997</v>
      </c>
      <c r="G115">
        <f>SUMIFS(AnnualProduction!H$2:H$9924,AnnualProduction!$B$2:$B$9924,$A115)</f>
        <v>3.7079999999999997</v>
      </c>
      <c r="H115">
        <f>SUMIFS(AnnualProduction!I$2:I$9924,AnnualProduction!$B$2:$B$9924,$A115)</f>
        <v>3.7079999999999997</v>
      </c>
      <c r="I115">
        <f>SUMIFS(AnnualProduction!J$2:J$9924,AnnualProduction!$B$2:$B$9924,$A115)</f>
        <v>3.7079999999999997</v>
      </c>
      <c r="J115">
        <f>SUMIFS(AnnualProduction!K$2:K$9924,AnnualProduction!$B$2:$B$9924,$A115)</f>
        <v>3.7079999999999997</v>
      </c>
      <c r="K115">
        <f>SUMIFS(AnnualProduction!L$2:L$9924,AnnualProduction!$B$2:$B$9924,$A115)</f>
        <v>3.7079999999999997</v>
      </c>
      <c r="L115">
        <f>SUMIFS(AnnualProduction!M$2:M$9924,AnnualProduction!$B$2:$B$9924,$A115)</f>
        <v>3.7079999999999997</v>
      </c>
      <c r="M115">
        <f>SUMIFS(AnnualProduction!N$2:N$9924,AnnualProduction!$B$2:$B$9924,$A115)</f>
        <v>3.5244000000000009</v>
      </c>
      <c r="N115">
        <f>SUMIFS(AnnualProduction!O$2:O$9924,AnnualProduction!$B$2:$B$9924,$A115)</f>
        <v>3.5244000000000009</v>
      </c>
      <c r="O115">
        <f>SUMIFS(AnnualProduction!P$2:P$9924,AnnualProduction!$B$2:$B$9924,$A115)</f>
        <v>3.5244000000000009</v>
      </c>
      <c r="P115">
        <f>SUMIFS(AnnualProduction!Q$2:Q$9924,AnnualProduction!$B$2:$B$9924,$A115)</f>
        <v>3.5244000000000009</v>
      </c>
      <c r="Q115">
        <f>SUMIFS(AnnualProduction!R$2:R$9924,AnnualProduction!$B$2:$B$9924,$A115)</f>
        <v>3.5244000000000009</v>
      </c>
      <c r="R115">
        <f>SUMIFS(AnnualProduction!S$2:S$9924,AnnualProduction!$B$2:$B$9924,$A115)</f>
        <v>3.5244000000000009</v>
      </c>
      <c r="S115">
        <f>SUMIFS(AnnualProduction!T$2:T$9924,AnnualProduction!$B$2:$B$9924,$A115)</f>
        <v>3.5244000000000009</v>
      </c>
      <c r="T115">
        <f>SUMIFS(AnnualProduction!U$2:U$9924,AnnualProduction!$B$2:$B$9924,$A115)</f>
        <v>3.5244000000000009</v>
      </c>
      <c r="U115">
        <f>SUMIFS(AnnualProduction!V$2:V$9924,AnnualProduction!$B$2:$B$9924,$A115)</f>
        <v>3.5244000000000009</v>
      </c>
      <c r="V115">
        <f>SUMIFS(AnnualProduction!W$2:W$9924,AnnualProduction!$B$2:$B$9924,$A115)</f>
        <v>1.8323999999999998</v>
      </c>
      <c r="W115">
        <f>SUMIFS(AnnualProduction!X$2:X$9924,AnnualProduction!$B$2:$B$9924,$A115)</f>
        <v>1.3313999999999997</v>
      </c>
      <c r="X115">
        <f>SUMIFS(AnnualProduction!Y$2:Y$9924,AnnualProduction!$B$2:$B$9924,$A115)</f>
        <v>1.3313999999999997</v>
      </c>
      <c r="Y115">
        <f>SUMIFS(AnnualProduction!Z$2:Z$9924,AnnualProduction!$B$2:$B$9924,$A115)</f>
        <v>1.3313999999999997</v>
      </c>
      <c r="Z115">
        <f>SUMIFS(AnnualProduction!AA$2:AA$9924,AnnualProduction!$B$2:$B$9924,$A115)</f>
        <v>1.3313999999999997</v>
      </c>
      <c r="AA115">
        <f>SUMIFS(AnnualProduction!AB$2:AB$9924,AnnualProduction!$B$2:$B$9924,$A115)</f>
        <v>1.3313999999999997</v>
      </c>
      <c r="AB115">
        <f>SUMIFS(AnnualProduction!AC$2:AC$9924,AnnualProduction!$B$2:$B$9924,$A115)</f>
        <v>0</v>
      </c>
      <c r="AC115">
        <f>SUMIFS(AnnualProduction!AD$2:AD$9924,AnnualProduction!$B$2:$B$9924,$A115)</f>
        <v>0</v>
      </c>
      <c r="AD115">
        <f>SUMIFS(AnnualProduction!AE$2:AE$9924,AnnualProduction!$B$2:$B$9924,$A115)</f>
        <v>0</v>
      </c>
      <c r="AE115">
        <f>SUMIFS(AnnualProduction!AF$2:AF$9924,AnnualProduction!$B$2:$B$9924,$A115)</f>
        <v>0</v>
      </c>
      <c r="AF115">
        <f>SUMIFS(AnnualProduction!AG$2:AG$9924,AnnualProduction!$B$2:$B$9924,$A115)</f>
        <v>0</v>
      </c>
      <c r="AG115">
        <f>SUMIFS(AnnualProduction!AH$2:AH$9924,AnnualProduction!$B$2:$B$9924,$A115)</f>
        <v>0</v>
      </c>
    </row>
    <row r="116" spans="1:58">
      <c r="A116" t="s">
        <v>135</v>
      </c>
      <c r="C116">
        <f>SUMIFS(AnnualProduction!D$2:D$9924,AnnualProduction!$B$2:$B$9924,$A116)</f>
        <v>8.892199999999999</v>
      </c>
      <c r="D116">
        <f>SUMIFS(AnnualProduction!E$2:E$9924,AnnualProduction!$B$2:$B$9924,$A116)</f>
        <v>0</v>
      </c>
      <c r="E116">
        <f>SUMIFS(AnnualProduction!F$2:F$9924,AnnualProduction!$B$2:$B$9924,$A116)</f>
        <v>0</v>
      </c>
      <c r="F116">
        <f>SUMIFS(AnnualProduction!G$2:G$9924,AnnualProduction!$B$2:$B$9924,$A116)</f>
        <v>0</v>
      </c>
      <c r="G116">
        <f>SUMIFS(AnnualProduction!H$2:H$9924,AnnualProduction!$B$2:$B$9924,$A116)</f>
        <v>0</v>
      </c>
      <c r="H116">
        <f>SUMIFS(AnnualProduction!I$2:I$9924,AnnualProduction!$B$2:$B$9924,$A116)</f>
        <v>0</v>
      </c>
      <c r="I116">
        <f>SUMIFS(AnnualProduction!J$2:J$9924,AnnualProduction!$B$2:$B$9924,$A116)</f>
        <v>0</v>
      </c>
      <c r="J116">
        <f>SUMIFS(AnnualProduction!K$2:K$9924,AnnualProduction!$B$2:$B$9924,$A116)</f>
        <v>0</v>
      </c>
      <c r="K116">
        <f>SUMIFS(AnnualProduction!L$2:L$9924,AnnualProduction!$B$2:$B$9924,$A116)</f>
        <v>0</v>
      </c>
      <c r="L116">
        <f>SUMIFS(AnnualProduction!M$2:M$9924,AnnualProduction!$B$2:$B$9924,$A116)</f>
        <v>0</v>
      </c>
      <c r="M116">
        <f>SUMIFS(AnnualProduction!N$2:N$9924,AnnualProduction!$B$2:$B$9924,$A116)</f>
        <v>0</v>
      </c>
      <c r="N116">
        <f>SUMIFS(AnnualProduction!O$2:O$9924,AnnualProduction!$B$2:$B$9924,$A116)</f>
        <v>0</v>
      </c>
      <c r="O116">
        <f>SUMIFS(AnnualProduction!P$2:P$9924,AnnualProduction!$B$2:$B$9924,$A116)</f>
        <v>0</v>
      </c>
      <c r="P116">
        <f>SUMIFS(AnnualProduction!Q$2:Q$9924,AnnualProduction!$B$2:$B$9924,$A116)</f>
        <v>0</v>
      </c>
      <c r="Q116">
        <f>SUMIFS(AnnualProduction!R$2:R$9924,AnnualProduction!$B$2:$B$9924,$A116)</f>
        <v>0</v>
      </c>
      <c r="R116">
        <f>SUMIFS(AnnualProduction!S$2:S$9924,AnnualProduction!$B$2:$B$9924,$A116)</f>
        <v>0</v>
      </c>
      <c r="S116">
        <f>SUMIFS(AnnualProduction!T$2:T$9924,AnnualProduction!$B$2:$B$9924,$A116)</f>
        <v>0</v>
      </c>
      <c r="T116">
        <f>SUMIFS(AnnualProduction!U$2:U$9924,AnnualProduction!$B$2:$B$9924,$A116)</f>
        <v>0</v>
      </c>
      <c r="U116">
        <f>SUMIFS(AnnualProduction!V$2:V$9924,AnnualProduction!$B$2:$B$9924,$A116)</f>
        <v>0</v>
      </c>
      <c r="V116">
        <f>SUMIFS(AnnualProduction!W$2:W$9924,AnnualProduction!$B$2:$B$9924,$A116)</f>
        <v>0</v>
      </c>
      <c r="W116">
        <f>SUMIFS(AnnualProduction!X$2:X$9924,AnnualProduction!$B$2:$B$9924,$A116)</f>
        <v>1.2252000000000001</v>
      </c>
      <c r="X116">
        <f>SUMIFS(AnnualProduction!Y$2:Y$9924,AnnualProduction!$B$2:$B$9924,$A116)</f>
        <v>0</v>
      </c>
      <c r="Y116">
        <f>SUMIFS(AnnualProduction!Z$2:Z$9924,AnnualProduction!$B$2:$B$9924,$A116)</f>
        <v>0</v>
      </c>
      <c r="Z116">
        <f>SUMIFS(AnnualProduction!AA$2:AA$9924,AnnualProduction!$B$2:$B$9924,$A116)</f>
        <v>0</v>
      </c>
      <c r="AA116">
        <f>SUMIFS(AnnualProduction!AB$2:AB$9924,AnnualProduction!$B$2:$B$9924,$A116)</f>
        <v>0</v>
      </c>
      <c r="AB116">
        <f>SUMIFS(AnnualProduction!AC$2:AC$9924,AnnualProduction!$B$2:$B$9924,$A116)</f>
        <v>0</v>
      </c>
      <c r="AC116">
        <f>SUMIFS(AnnualProduction!AD$2:AD$9924,AnnualProduction!$B$2:$B$9924,$A116)</f>
        <v>0</v>
      </c>
      <c r="AD116">
        <f>SUMIFS(AnnualProduction!AE$2:AE$9924,AnnualProduction!$B$2:$B$9924,$A116)</f>
        <v>0</v>
      </c>
      <c r="AE116">
        <f>SUMIFS(AnnualProduction!AF$2:AF$9924,AnnualProduction!$B$2:$B$9924,$A116)</f>
        <v>0</v>
      </c>
      <c r="AF116">
        <f>SUMIFS(AnnualProduction!AG$2:AG$9924,AnnualProduction!$B$2:$B$9924,$A116)</f>
        <v>0</v>
      </c>
      <c r="AG116">
        <f>SUMIFS(AnnualProduction!AH$2:AH$9924,AnnualProduction!$B$2:$B$9924,$A116)</f>
        <v>0</v>
      </c>
    </row>
    <row r="117" spans="1:58">
      <c r="A117" t="s">
        <v>134</v>
      </c>
      <c r="C117">
        <f>SUMIFS(AnnualProduction!D$2:D$9924,AnnualProduction!$B$2:$B$9924,$A117)</f>
        <v>70.1999</v>
      </c>
      <c r="D117">
        <f>SUMIFS(AnnualProduction!E$2:E$9924,AnnualProduction!$B$2:$B$9924,$A117)</f>
        <v>0</v>
      </c>
      <c r="E117">
        <f>SUMIFS(AnnualProduction!F$2:F$9924,AnnualProduction!$B$2:$B$9924,$A117)</f>
        <v>0</v>
      </c>
      <c r="F117">
        <f>SUMIFS(AnnualProduction!G$2:G$9924,AnnualProduction!$B$2:$B$9924,$A117)</f>
        <v>2.5742000000000003</v>
      </c>
      <c r="G117">
        <f>SUMIFS(AnnualProduction!H$2:H$9924,AnnualProduction!$B$2:$B$9924,$A117)</f>
        <v>7.6657999999999999</v>
      </c>
      <c r="H117">
        <f>SUMIFS(AnnualProduction!I$2:I$9924,AnnualProduction!$B$2:$B$9924,$A117)</f>
        <v>6.1765999999999996</v>
      </c>
      <c r="I117">
        <f>SUMIFS(AnnualProduction!J$2:J$9924,AnnualProduction!$B$2:$B$9924,$A117)</f>
        <v>13.8689</v>
      </c>
      <c r="J117">
        <f>SUMIFS(AnnualProduction!K$2:K$9924,AnnualProduction!$B$2:$B$9924,$A117)</f>
        <v>16.046900000000001</v>
      </c>
      <c r="K117">
        <f>SUMIFS(AnnualProduction!L$2:L$9924,AnnualProduction!$B$2:$B$9924,$A117)</f>
        <v>19.6313</v>
      </c>
      <c r="L117">
        <f>SUMIFS(AnnualProduction!M$2:M$9924,AnnualProduction!$B$2:$B$9924,$A117)</f>
        <v>2.0819999999999999</v>
      </c>
      <c r="M117">
        <f>SUMIFS(AnnualProduction!N$2:N$9924,AnnualProduction!$B$2:$B$9924,$A117)</f>
        <v>3.3689999999999998</v>
      </c>
      <c r="N117">
        <f>SUMIFS(AnnualProduction!O$2:O$9924,AnnualProduction!$B$2:$B$9924,$A117)</f>
        <v>5.9496000000000002</v>
      </c>
      <c r="O117">
        <f>SUMIFS(AnnualProduction!P$2:P$9924,AnnualProduction!$B$2:$B$9924,$A117)</f>
        <v>1.2662</v>
      </c>
      <c r="P117">
        <f>SUMIFS(AnnualProduction!Q$2:Q$9924,AnnualProduction!$B$2:$B$9924,$A117)</f>
        <v>1.2662</v>
      </c>
      <c r="Q117">
        <f>SUMIFS(AnnualProduction!R$2:R$9924,AnnualProduction!$B$2:$B$9924,$A117)</f>
        <v>1.2662</v>
      </c>
      <c r="R117">
        <f>SUMIFS(AnnualProduction!S$2:S$9924,AnnualProduction!$B$2:$B$9924,$A117)</f>
        <v>1.2662</v>
      </c>
      <c r="S117">
        <f>SUMIFS(AnnualProduction!T$2:T$9924,AnnualProduction!$B$2:$B$9924,$A117)</f>
        <v>1.2662</v>
      </c>
      <c r="T117">
        <f>SUMIFS(AnnualProduction!U$2:U$9924,AnnualProduction!$B$2:$B$9924,$A117)</f>
        <v>1.2662</v>
      </c>
      <c r="U117">
        <f>SUMIFS(AnnualProduction!V$2:V$9924,AnnualProduction!$B$2:$B$9924,$A117)</f>
        <v>1.2662</v>
      </c>
      <c r="V117">
        <f>SUMIFS(AnnualProduction!W$2:W$9924,AnnualProduction!$B$2:$B$9924,$A117)</f>
        <v>1.2662</v>
      </c>
      <c r="W117">
        <f>SUMIFS(AnnualProduction!X$2:X$9924,AnnualProduction!$B$2:$B$9924,$A117)</f>
        <v>2.5324</v>
      </c>
      <c r="X117">
        <f>SUMIFS(AnnualProduction!Y$2:Y$9924,AnnualProduction!$B$2:$B$9924,$A117)</f>
        <v>1.2662</v>
      </c>
      <c r="Y117">
        <f>SUMIFS(AnnualProduction!Z$2:Z$9924,AnnualProduction!$B$2:$B$9924,$A117)</f>
        <v>1.1195999999999999</v>
      </c>
      <c r="Z117">
        <f>SUMIFS(AnnualProduction!AA$2:AA$9924,AnnualProduction!$B$2:$B$9924,$A117)</f>
        <v>0.88680000000000003</v>
      </c>
      <c r="AA117">
        <f>SUMIFS(AnnualProduction!AB$2:AB$9924,AnnualProduction!$B$2:$B$9924,$A117)</f>
        <v>0.66159999999999997</v>
      </c>
      <c r="AB117">
        <f>SUMIFS(AnnualProduction!AC$2:AC$9924,AnnualProduction!$B$2:$B$9924,$A117)</f>
        <v>0.629</v>
      </c>
      <c r="AC117">
        <f>SUMIFS(AnnualProduction!AD$2:AD$9924,AnnualProduction!$B$2:$B$9924,$A117)</f>
        <v>0</v>
      </c>
      <c r="AD117">
        <f>SUMIFS(AnnualProduction!AE$2:AE$9924,AnnualProduction!$B$2:$B$9924,$A117)</f>
        <v>0</v>
      </c>
      <c r="AE117">
        <f>SUMIFS(AnnualProduction!AF$2:AF$9924,AnnualProduction!$B$2:$B$9924,$A117)</f>
        <v>0</v>
      </c>
      <c r="AF117">
        <f>SUMIFS(AnnualProduction!AG$2:AG$9924,AnnualProduction!$B$2:$B$9924,$A117)</f>
        <v>0</v>
      </c>
      <c r="AG117">
        <f>SUMIFS(AnnualProduction!AH$2:AH$9924,AnnualProduction!$B$2:$B$9924,$A117)</f>
        <v>0</v>
      </c>
    </row>
    <row r="118" spans="1:58">
      <c r="W118"/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5">
        <v>0.48099999999999998</v>
      </c>
      <c r="D124" s="45">
        <v>0.48099999999999998</v>
      </c>
      <c r="E124" s="45">
        <v>0.48099999999999998</v>
      </c>
      <c r="F124" s="45">
        <v>0.48099999999999998</v>
      </c>
      <c r="G124" s="45">
        <v>0.48099999999999998</v>
      </c>
      <c r="H124" s="45">
        <v>0.48099999999999998</v>
      </c>
      <c r="I124" s="45">
        <v>0.50039999999999996</v>
      </c>
      <c r="J124" s="45">
        <v>0.51979999999999993</v>
      </c>
      <c r="K124" s="45">
        <v>0.5391999999999999</v>
      </c>
      <c r="L124" s="45">
        <v>0.55859999999999999</v>
      </c>
      <c r="M124" s="45">
        <v>0.57799999999999996</v>
      </c>
      <c r="N124" s="45">
        <v>0.57329999999999992</v>
      </c>
      <c r="O124" s="45">
        <v>0.56859999999999988</v>
      </c>
      <c r="P124" s="45">
        <v>0.56389999999999985</v>
      </c>
      <c r="Q124" s="45">
        <v>0.55919999999999992</v>
      </c>
      <c r="R124" s="45">
        <v>0.55449999999999999</v>
      </c>
      <c r="S124" s="45">
        <v>0.54979999999999996</v>
      </c>
      <c r="T124" s="45">
        <v>0.54509999999999992</v>
      </c>
      <c r="U124" s="45">
        <v>0.54039999999999999</v>
      </c>
      <c r="V124" s="45">
        <v>0.53570000000000007</v>
      </c>
      <c r="W124" s="45">
        <v>0.53100000000000003</v>
      </c>
      <c r="X124" s="45">
        <v>0.54349999999999998</v>
      </c>
      <c r="Y124" s="45">
        <v>0.55599999999999994</v>
      </c>
      <c r="Z124" s="45">
        <v>0.56850000000000001</v>
      </c>
      <c r="AA124" s="45">
        <v>0.58099999999999996</v>
      </c>
      <c r="AB124" s="45">
        <v>0.59349999999999992</v>
      </c>
      <c r="AC124" s="45">
        <v>0.60599999999999998</v>
      </c>
      <c r="AD124" s="45">
        <v>0.61850000000000005</v>
      </c>
      <c r="AE124" s="45">
        <v>0.63100000000000001</v>
      </c>
      <c r="AF124" s="45">
        <v>0.64349999999999996</v>
      </c>
      <c r="AG124" s="45">
        <v>0.65600000000000003</v>
      </c>
      <c r="AH124" s="45">
        <v>0.65600000000000003</v>
      </c>
      <c r="AI124" s="45">
        <v>0.65600000000000003</v>
      </c>
      <c r="AJ124" s="45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</v>
      </c>
      <c r="G131">
        <f>SUMIFS('New Capacity'!G$2:G$10000,'New Capacity'!$B$2:$B$10000,$A131)</f>
        <v>0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</v>
      </c>
      <c r="J131">
        <f>SUMIFS('New Capacity'!J$2:J$10000,'New Capacity'!$B$2:$B$10000,$A131)</f>
        <v>0</v>
      </c>
      <c r="K131">
        <f>SUMIFS('New Capacity'!K$2:K$10000,'New Capacity'!$B$2:$B$10000,$A131)</f>
        <v>0</v>
      </c>
      <c r="L131">
        <f>SUMIFS('New Capacity'!L$2:L$10000,'New Capacity'!$B$2:$B$10000,$A131)</f>
        <v>0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</v>
      </c>
      <c r="T131">
        <f>SUMIFS('New Capacity'!T$2:T$10000,'New Capacity'!$B$2:$B$10000,$A131)</f>
        <v>0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0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0.64980000000000004</v>
      </c>
      <c r="K133">
        <f>SUMIFS('New Capacity'!K$2:K$10000,'New Capacity'!$B$2:$B$10000,$A133)</f>
        <v>0.49130000000000001</v>
      </c>
      <c r="L133">
        <f>SUMIFS('New Capacity'!L$2:L$10000,'New Capacity'!$B$2:$B$10000,$A133)</f>
        <v>3.1230000000000002</v>
      </c>
      <c r="M133">
        <f>SUMIFS('New Capacity'!M$2:M$10000,'New Capacity'!$B$2:$B$10000,$A133)</f>
        <v>0.61909999999999998</v>
      </c>
      <c r="N133">
        <f>SUMIFS('New Capacity'!N$2:N$10000,'New Capacity'!$B$2:$B$10000,$A133)</f>
        <v>0.70889999999999997</v>
      </c>
      <c r="O133">
        <f>SUMIFS('New Capacity'!O$2:O$10000,'New Capacity'!$B$2:$B$10000,$A133)</f>
        <v>2.0112000000000001</v>
      </c>
      <c r="P133">
        <f>SUMIFS('New Capacity'!P$2:P$10000,'New Capacity'!$B$2:$B$10000,$A133)</f>
        <v>1.1268</v>
      </c>
      <c r="Q133">
        <f>SUMIFS('New Capacity'!Q$2:Q$10000,'New Capacity'!$B$2:$B$10000,$A133)</f>
        <v>1.2102999999999999</v>
      </c>
      <c r="R133">
        <f>SUMIFS('New Capacity'!R$2:R$10000,'New Capacity'!$B$2:$B$10000,$A133)</f>
        <v>1.1847000000000001</v>
      </c>
      <c r="S133">
        <f>SUMIFS('New Capacity'!S$2:S$10000,'New Capacity'!$B$2:$B$10000,$A133)</f>
        <v>2.2692999999999999</v>
      </c>
      <c r="T133">
        <f>SUMIFS('New Capacity'!T$2:T$10000,'New Capacity'!$B$2:$B$10000,$A133)</f>
        <v>2.0066000000000002</v>
      </c>
      <c r="U133">
        <f>SUMIFS('New Capacity'!U$2:U$10000,'New Capacity'!$B$2:$B$10000,$A133)</f>
        <v>1.9946999999999999</v>
      </c>
      <c r="V133">
        <f>SUMIFS('New Capacity'!V$2:V$10000,'New Capacity'!$B$2:$B$10000,$A133)</f>
        <v>2.0089000000000001</v>
      </c>
      <c r="W133">
        <f>SUMIFS('New Capacity'!W$2:W$10000,'New Capacity'!$B$2:$B$10000,$A133)</f>
        <v>0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0</v>
      </c>
      <c r="AD133">
        <f>SUMIFS('New Capacity'!AD$2:AD$10000,'New Capacity'!$B$2:$B$10000,$A133)</f>
        <v>0</v>
      </c>
      <c r="AE133">
        <f>SUMIFS('New Capacity'!AE$2:AE$10000,'New Capacity'!$B$2:$B$10000,$A133)</f>
        <v>0</v>
      </c>
      <c r="AF133">
        <f>SUMIFS('New Capacity'!AF$2:AF$10000,'New Capacity'!$B$2:$B$10000,$A133)</f>
        <v>0.31130000000000002</v>
      </c>
      <c r="AG133">
        <f>SUMIFS('New Capacity'!AG$2:AG$10000,'New Capacity'!$B$2:$B$10000,$A133)</f>
        <v>13.438000000000001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0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0</v>
      </c>
      <c r="V137">
        <f>SUMIFS('New Capacity'!V$2:V$10000,'New Capacity'!$B$2:$B$10000,$A137)</f>
        <v>0.7984</v>
      </c>
      <c r="W137">
        <f>SUMIFS('New Capacity'!W$2:W$10000,'New Capacity'!$B$2:$B$10000,$A137)</f>
        <v>0.30280000000000001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1.339</v>
      </c>
      <c r="AD137">
        <f>SUMIFS('New Capacity'!AD$2:AD$10000,'New Capacity'!$B$2:$B$10000,$A137)</f>
        <v>0.86080000000000001</v>
      </c>
      <c r="AE137">
        <f>SUMIFS('New Capacity'!AE$2:AE$10000,'New Capacity'!$B$2:$B$10000,$A137)</f>
        <v>0.13039999999999999</v>
      </c>
      <c r="AF137">
        <f>SUMIFS('New Capacity'!AF$2:AF$10000,'New Capacity'!$B$2:$B$10000,$A137)</f>
        <v>0.46060000000000001</v>
      </c>
      <c r="AG137">
        <f>SUMIFS('New Capacity'!AG$2:AG$10000,'New Capacity'!$B$2:$B$10000,$A137)</f>
        <v>5.0876000000000001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7.2446999999999999</v>
      </c>
      <c r="N141">
        <f>SUMIFS('New Capacity'!N$2:N$10000,'New Capacity'!$B$2:$B$10000,$A141)</f>
        <v>0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2.2742</v>
      </c>
      <c r="R141">
        <f>SUMIFS('New Capacity'!R$2:R$10000,'New Capacity'!$B$2:$B$10000,$A141)</f>
        <v>0</v>
      </c>
      <c r="S141">
        <f>SUMIFS('New Capacity'!S$2:S$10000,'New Capacity'!$B$2:$B$10000,$A141)</f>
        <v>0</v>
      </c>
      <c r="T141">
        <f>SUMIFS('New Capacity'!T$2:T$10000,'New Capacity'!$B$2:$B$10000,$A141)</f>
        <v>0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25.887699999999999</v>
      </c>
      <c r="X141" s="21">
        <f>SUMIFS('New Capacity'!X$2:X$10000,'New Capacity'!$B$2:$B$10000,$A141)</f>
        <v>0</v>
      </c>
      <c r="Y141">
        <f>SUMIFS('New Capacity'!Y$2:Y$10000,'New Capacity'!$B$2:$B$10000,$A141)</f>
        <v>5.0099999999999999E-2</v>
      </c>
      <c r="Z141">
        <f>SUMIFS('New Capacity'!Z$2:Z$10000,'New Capacity'!$B$2:$B$10000,$A141)</f>
        <v>4.8000000000000001E-2</v>
      </c>
      <c r="AA141">
        <f>SUMIFS('New Capacity'!AA$2:AA$10000,'New Capacity'!$B$2:$B$10000,$A141)</f>
        <v>4.3299999999999998E-2</v>
      </c>
      <c r="AB141">
        <f>SUMIFS('New Capacity'!AB$2:AB$10000,'New Capacity'!$B$2:$B$10000,$A141)</f>
        <v>0.20399999999999999</v>
      </c>
      <c r="AC141">
        <f>SUMIFS('New Capacity'!AC$2:AC$10000,'New Capacity'!$B$2:$B$10000,$A141)</f>
        <v>0.84019999999999995</v>
      </c>
      <c r="AD141">
        <f>SUMIFS('New Capacity'!AD$2:AD$10000,'New Capacity'!$B$2:$B$10000,$A141)</f>
        <v>0.33779999999999999</v>
      </c>
      <c r="AE141">
        <f>SUMIFS('New Capacity'!AE$2:AE$10000,'New Capacity'!$B$2:$B$10000,$A141)</f>
        <v>0.28999999999999998</v>
      </c>
      <c r="AF141">
        <f>SUMIFS('New Capacity'!AF$2:AF$10000,'New Capacity'!$B$2:$B$10000,$A141)</f>
        <v>0.3831</v>
      </c>
      <c r="AG141">
        <f>SUMIFS('New Capacity'!AG$2:AG$10000,'New Capacity'!$B$2:$B$10000,$A141)</f>
        <v>28.263100000000001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</v>
      </c>
      <c r="E143">
        <f>SUMIFS('New Capacity'!E$2:E$10000,'New Capacity'!$B$2:$B$10000,$A143)</f>
        <v>0</v>
      </c>
      <c r="F143">
        <f>SUMIFS('New Capacity'!F$2:F$10000,'New Capacity'!$B$2:$B$10000,$A143)</f>
        <v>0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2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1.0901000000000001</v>
      </c>
      <c r="I146">
        <f>SUMIFS('New Capacity'!I$2:I$10000,'New Capacity'!$B$2:$B$10000,$A146)</f>
        <v>0</v>
      </c>
      <c r="J146">
        <f>SUMIFS('New Capacity'!J$2:J$10000,'New Capacity'!$B$2:$B$10000,$A146)</f>
        <v>0.7631</v>
      </c>
      <c r="K146">
        <f>SUMIFS('New Capacity'!K$2:K$10000,'New Capacity'!$B$2:$B$10000,$A146)</f>
        <v>0.7631</v>
      </c>
      <c r="L146">
        <f>SUMIFS('New Capacity'!L$2:L$10000,'New Capacity'!$B$2:$B$10000,$A146)</f>
        <v>0.76249999999999996</v>
      </c>
      <c r="M146">
        <f>SUMIFS('New Capacity'!M$2:M$10000,'New Capacity'!$B$2:$B$10000,$A146)</f>
        <v>1.6729000000000001</v>
      </c>
      <c r="N146">
        <f>SUMIFS('New Capacity'!N$2:N$10000,'New Capacity'!$B$2:$B$10000,$A146)</f>
        <v>0</v>
      </c>
      <c r="O146">
        <f>SUMIFS('New Capacity'!O$2:O$10000,'New Capacity'!$B$2:$B$10000,$A146)</f>
        <v>1.7064999999999999</v>
      </c>
      <c r="P146">
        <f>SUMIFS('New Capacity'!P$2:P$10000,'New Capacity'!$B$2:$B$10000,$A146)</f>
        <v>0</v>
      </c>
      <c r="Q146">
        <f>SUMIFS('New Capacity'!Q$2:Q$10000,'New Capacity'!$B$2:$B$10000,$A146)</f>
        <v>0.99009999999999998</v>
      </c>
      <c r="R146">
        <f>SUMIFS('New Capacity'!R$2:R$10000,'New Capacity'!$B$2:$B$10000,$A146)</f>
        <v>0.96919999999999995</v>
      </c>
      <c r="S146">
        <f>SUMIFS('New Capacity'!S$2:S$10000,'New Capacity'!$B$2:$B$10000,$A146)</f>
        <v>1.1427</v>
      </c>
      <c r="T146">
        <f>SUMIFS('New Capacity'!T$2:T$10000,'New Capacity'!$B$2:$B$10000,$A146)</f>
        <v>1.1424000000000001</v>
      </c>
      <c r="U146">
        <f>SUMIFS('New Capacity'!U$2:U$10000,'New Capacity'!$B$2:$B$10000,$A146)</f>
        <v>1.0558000000000001</v>
      </c>
      <c r="V146">
        <f>SUMIFS('New Capacity'!V$2:V$10000,'New Capacity'!$B$2:$B$10000,$A146)</f>
        <v>1.1878</v>
      </c>
      <c r="W146">
        <f>SUMIFS('New Capacity'!W$2:W$10000,'New Capacity'!$B$2:$B$10000,$A146)</f>
        <v>0.73419999999999996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0</v>
      </c>
      <c r="AG146">
        <f>SUMIFS('New Capacity'!AG$2:AG$10000,'New Capacity'!$B$2:$B$10000,$A146)</f>
        <v>13.277699999999999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>C35</f>
        <v>4162.8638330219328</v>
      </c>
      <c r="D150" s="10">
        <f t="shared" ref="D150:AG150" si="11">D35</f>
        <v>3853.8405818280839</v>
      </c>
      <c r="E150" s="10">
        <f t="shared" si="11"/>
        <v>4014.6511211094657</v>
      </c>
      <c r="F150" s="10">
        <f t="shared" si="11"/>
        <v>4210.1257226101679</v>
      </c>
      <c r="G150" s="10">
        <f t="shared" si="11"/>
        <v>4252.9124896665189</v>
      </c>
      <c r="H150" s="10">
        <f t="shared" si="11"/>
        <v>4518.7706260544101</v>
      </c>
      <c r="I150" s="10">
        <f t="shared" si="11"/>
        <v>4679.6315282625892</v>
      </c>
      <c r="J150" s="10">
        <f t="shared" si="11"/>
        <v>4872.7073991006446</v>
      </c>
      <c r="K150" s="10">
        <f t="shared" si="11"/>
        <v>5048.0164021675946</v>
      </c>
      <c r="L150" s="10">
        <f t="shared" si="11"/>
        <v>5352.05036653564</v>
      </c>
      <c r="M150" s="10">
        <f t="shared" si="11"/>
        <v>5204.7413708528265</v>
      </c>
      <c r="N150" s="10">
        <f t="shared" si="11"/>
        <v>5441.9010125461127</v>
      </c>
      <c r="O150" s="10">
        <f t="shared" si="11"/>
        <v>5702.2502588952993</v>
      </c>
      <c r="P150" s="10">
        <f t="shared" si="11"/>
        <v>6025.9681939787897</v>
      </c>
      <c r="Q150" s="10">
        <f t="shared" si="11"/>
        <v>6187.526318026753</v>
      </c>
      <c r="R150" s="10">
        <f t="shared" si="11"/>
        <v>6393.23233192307</v>
      </c>
      <c r="S150" s="10">
        <f t="shared" si="11"/>
        <v>6736.0335227999049</v>
      </c>
      <c r="T150" s="10">
        <f t="shared" si="11"/>
        <v>7223.009052387165</v>
      </c>
      <c r="U150" s="10">
        <f t="shared" si="11"/>
        <v>7575.0121891958852</v>
      </c>
      <c r="V150" s="10">
        <f t="shared" si="11"/>
        <v>7965.9009433035717</v>
      </c>
      <c r="W150" s="10">
        <f t="shared" si="11"/>
        <v>7627.9416810140756</v>
      </c>
      <c r="X150" s="10">
        <f t="shared" si="11"/>
        <v>6901.6321445172625</v>
      </c>
      <c r="Y150" s="10">
        <f t="shared" si="11"/>
        <v>6889.7444858152376</v>
      </c>
      <c r="Z150" s="10">
        <f t="shared" si="11"/>
        <v>6881.9990422462924</v>
      </c>
      <c r="AA150" s="10">
        <f t="shared" si="11"/>
        <v>6874.0545538016759</v>
      </c>
      <c r="AB150" s="10">
        <f t="shared" si="11"/>
        <v>6873.6624946803831</v>
      </c>
      <c r="AC150" s="10">
        <f t="shared" si="11"/>
        <v>6960.7380421413554</v>
      </c>
      <c r="AD150" s="10">
        <f t="shared" si="11"/>
        <v>7055.4747477555566</v>
      </c>
      <c r="AE150" s="10">
        <f t="shared" si="11"/>
        <v>7102.6419774948154</v>
      </c>
      <c r="AF150" s="10">
        <f t="shared" si="11"/>
        <v>7180.217490378368</v>
      </c>
      <c r="AG150" s="10">
        <f t="shared" si="11"/>
        <v>10472.024935671167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143.4878415952</v>
      </c>
      <c r="D151">
        <f t="shared" ref="D151:AG151" si="12">SUM(D80:D97)</f>
        <v>337.4595574997</v>
      </c>
      <c r="E151">
        <f t="shared" si="12"/>
        <v>538.6055921894</v>
      </c>
      <c r="F151">
        <f t="shared" si="12"/>
        <v>554.30562246839997</v>
      </c>
      <c r="G151">
        <f t="shared" si="12"/>
        <v>684.58791581929995</v>
      </c>
      <c r="H151">
        <f t="shared" si="12"/>
        <v>757.97000697699991</v>
      </c>
      <c r="I151">
        <f t="shared" si="12"/>
        <v>757.97000697699991</v>
      </c>
      <c r="J151">
        <f t="shared" si="12"/>
        <v>826.35984396770004</v>
      </c>
      <c r="K151">
        <f t="shared" si="12"/>
        <v>878.06594042129996</v>
      </c>
      <c r="L151">
        <f t="shared" si="12"/>
        <v>1206.7348255521999</v>
      </c>
      <c r="M151">
        <f t="shared" si="12"/>
        <v>1535.3549398146999</v>
      </c>
      <c r="N151">
        <f t="shared" si="12"/>
        <v>1609.956144124</v>
      </c>
      <c r="O151">
        <f t="shared" si="12"/>
        <v>1821.6145005819001</v>
      </c>
      <c r="P151">
        <f t="shared" si="12"/>
        <v>1940.2015793414</v>
      </c>
      <c r="Q151">
        <f t="shared" si="12"/>
        <v>2142.9120986962002</v>
      </c>
      <c r="R151">
        <f t="shared" si="12"/>
        <v>2267.5943584361003</v>
      </c>
      <c r="S151">
        <f t="shared" si="12"/>
        <v>2506.4167145086999</v>
      </c>
      <c r="T151">
        <f t="shared" si="12"/>
        <v>2717.5939997913001</v>
      </c>
      <c r="U151">
        <f t="shared" si="12"/>
        <v>2927.5197377862005</v>
      </c>
      <c r="V151">
        <f t="shared" si="12"/>
        <v>3174.9316321263004</v>
      </c>
      <c r="W151">
        <f t="shared" si="12"/>
        <v>3918.3282606666003</v>
      </c>
      <c r="X151">
        <f t="shared" si="12"/>
        <v>3918.3282606666003</v>
      </c>
      <c r="Y151">
        <f t="shared" si="12"/>
        <v>3919.6618646488005</v>
      </c>
      <c r="Z151">
        <f t="shared" si="12"/>
        <v>3920.9094582430002</v>
      </c>
      <c r="AA151">
        <f t="shared" si="12"/>
        <v>3922.0091868276004</v>
      </c>
      <c r="AB151">
        <f t="shared" si="12"/>
        <v>5044.1779106763997</v>
      </c>
      <c r="AC151">
        <f t="shared" si="12"/>
        <v>5000.9947562066</v>
      </c>
      <c r="AD151">
        <f t="shared" si="12"/>
        <v>4982.7862389995989</v>
      </c>
      <c r="AE151">
        <f t="shared" si="12"/>
        <v>5082.8094935114996</v>
      </c>
      <c r="AF151">
        <f t="shared" si="12"/>
        <v>5208.8418780267002</v>
      </c>
      <c r="AG151">
        <f t="shared" si="12"/>
        <v>7599.7526312221007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4306.3516746171326</v>
      </c>
      <c r="D153" s="10">
        <f t="shared" ref="D153:AG153" si="13">SUM(D150:D151)</f>
        <v>4191.3001393277837</v>
      </c>
      <c r="E153" s="10">
        <f t="shared" si="13"/>
        <v>4553.2567132988661</v>
      </c>
      <c r="F153" s="10">
        <f t="shared" si="13"/>
        <v>4764.4313450785676</v>
      </c>
      <c r="G153" s="10">
        <f t="shared" si="13"/>
        <v>4937.5004054858191</v>
      </c>
      <c r="H153" s="10">
        <f t="shared" si="13"/>
        <v>5276.7406330314097</v>
      </c>
      <c r="I153" s="10">
        <f t="shared" si="13"/>
        <v>5437.6015352395889</v>
      </c>
      <c r="J153" s="10">
        <f t="shared" si="13"/>
        <v>5699.0672430683444</v>
      </c>
      <c r="K153" s="10">
        <f t="shared" si="13"/>
        <v>5926.0823425888948</v>
      </c>
      <c r="L153" s="10">
        <f t="shared" si="13"/>
        <v>6558.7851920878402</v>
      </c>
      <c r="M153" s="10">
        <f t="shared" si="13"/>
        <v>6740.0963106675263</v>
      </c>
      <c r="N153" s="10">
        <f t="shared" si="13"/>
        <v>7051.857156670113</v>
      </c>
      <c r="O153" s="10">
        <f t="shared" si="13"/>
        <v>7523.8647594771992</v>
      </c>
      <c r="P153" s="10">
        <f>SUM(P150:P151)</f>
        <v>7966.16977332019</v>
      </c>
      <c r="Q153" s="10">
        <f t="shared" si="13"/>
        <v>8330.4384167229528</v>
      </c>
      <c r="R153" s="10">
        <f t="shared" si="13"/>
        <v>8660.8266903591702</v>
      </c>
      <c r="S153" s="10">
        <f t="shared" si="13"/>
        <v>9242.4502373086052</v>
      </c>
      <c r="T153" s="10">
        <f t="shared" si="13"/>
        <v>9940.6030521784651</v>
      </c>
      <c r="U153" s="10">
        <f t="shared" si="13"/>
        <v>10502.531926982087</v>
      </c>
      <c r="V153" s="10">
        <f t="shared" si="13"/>
        <v>11140.832575429871</v>
      </c>
      <c r="W153" s="10">
        <f t="shared" si="13"/>
        <v>11546.269941680675</v>
      </c>
      <c r="X153" s="10">
        <f t="shared" si="13"/>
        <v>10819.960405183863</v>
      </c>
      <c r="Y153" s="10">
        <f t="shared" si="13"/>
        <v>10809.406350464038</v>
      </c>
      <c r="Z153" s="10">
        <f t="shared" si="13"/>
        <v>10802.908500489293</v>
      </c>
      <c r="AA153" s="10">
        <f t="shared" si="13"/>
        <v>10796.063740629277</v>
      </c>
      <c r="AB153" s="10">
        <f t="shared" si="13"/>
        <v>11917.840405356783</v>
      </c>
      <c r="AC153" s="10">
        <f t="shared" si="13"/>
        <v>11961.732798347955</v>
      </c>
      <c r="AD153" s="10">
        <f t="shared" si="13"/>
        <v>12038.260986755155</v>
      </c>
      <c r="AE153" s="10">
        <f t="shared" si="13"/>
        <v>12185.451471006316</v>
      </c>
      <c r="AF153" s="10">
        <f t="shared" si="13"/>
        <v>12389.059368405069</v>
      </c>
      <c r="AG153" s="10">
        <f t="shared" si="13"/>
        <v>18071.777566893266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101777.47230364422</v>
      </c>
      <c r="D154">
        <f>SUM(D101:D117)*'Operation Life Time'!$K$2</f>
        <v>101856.0278592626</v>
      </c>
      <c r="E154">
        <f>SUM(E101:E117)*'Operation Life Time'!$K$2</f>
        <v>107092.50008567402</v>
      </c>
      <c r="F154">
        <f>SUM(F101:F117)*'Operation Life Time'!$K$2</f>
        <v>111523.02786699621</v>
      </c>
      <c r="G154">
        <f>SUM(G101:G117)*'Operation Life Time'!$K$2</f>
        <v>116469.05564873083</v>
      </c>
      <c r="H154">
        <f>SUM(H101:H117)*'Operation Life Time'!$K$2</f>
        <v>121697.72231958044</v>
      </c>
      <c r="I154">
        <f>SUM(I101:I117)*'Operation Life Time'!$K$2</f>
        <v>127969.00010237521</v>
      </c>
      <c r="J154">
        <f>SUM(J101:J117)*'Operation Life Time'!$K$2</f>
        <v>134326.11121857204</v>
      </c>
      <c r="K154">
        <f>SUM(K101:K117)*'Operation Life Time'!$K$2</f>
        <v>140373.08344563184</v>
      </c>
      <c r="L154">
        <f>SUM(L101:L117)*'Operation Life Time'!$K$2</f>
        <v>147384.16678457399</v>
      </c>
      <c r="M154">
        <f>SUM(M101:M117)*'Operation Life Time'!$K$2</f>
        <v>153916.33345646647</v>
      </c>
      <c r="N154">
        <f>SUM(N101:N117)*'Operation Life Time'!$K$2</f>
        <v>161383.91679577387</v>
      </c>
      <c r="O154">
        <f>SUM(O101:O117)*'Operation Life Time'!$K$2</f>
        <v>169275.22235764243</v>
      </c>
      <c r="P154">
        <f>SUM(P101:P117)*'Operation Life Time'!$K$2</f>
        <v>176905.88903041364</v>
      </c>
      <c r="Q154">
        <f>SUM(Q101:Q117)*'Operation Life Time'!$K$2</f>
        <v>184560.139036537</v>
      </c>
      <c r="R154">
        <f>SUM(R101:R117)*'Operation Life Time'!$K$2</f>
        <v>189632.63904059495</v>
      </c>
      <c r="S154">
        <f>SUM(S101:S117)*'Operation Life Time'!$K$2</f>
        <v>199329.80571501947</v>
      </c>
      <c r="T154">
        <f>SUM(T101:T117)*'Operation Life Time'!$K$2</f>
        <v>209023.55572277438</v>
      </c>
      <c r="U154">
        <f>SUM(U101:U117)*'Operation Life Time'!$K$2</f>
        <v>218866.3057306486</v>
      </c>
      <c r="V154">
        <f>SUM(V101:V117)*'Operation Life Time'!$K$2</f>
        <v>228720.72240519879</v>
      </c>
      <c r="W154">
        <f>SUM(W101:W117)*'Operation Life Time'!$K$2</f>
        <v>238576.88907975046</v>
      </c>
      <c r="X154">
        <f>SUM(X101:X117)*'Operation Life Time'!$K$2</f>
        <v>227504.47240422576</v>
      </c>
      <c r="Y154">
        <f>SUM(Y101:Y117)*'Operation Life Time'!$K$2</f>
        <v>227156.75018172539</v>
      </c>
      <c r="Z154">
        <f>SUM(Z101:Z117)*'Operation Life Time'!$K$2</f>
        <v>226832.52795924377</v>
      </c>
      <c r="AA154">
        <f>SUM(AA101:AA117)*'Operation Life Time'!$K$2</f>
        <v>226459.83351450125</v>
      </c>
      <c r="AB154">
        <f>SUM(AB101:AB117)*'Operation Life Time'!$K$2</f>
        <v>226348.11129218957</v>
      </c>
      <c r="AC154">
        <f>SUM(AC101:AC117)*'Operation Life Time'!$K$2</f>
        <v>226994.50018159562</v>
      </c>
      <c r="AD154">
        <f>SUM(AD101:AD117)*'Operation Life Time'!$K$2</f>
        <v>227929.47240456581</v>
      </c>
      <c r="AE154">
        <f>SUM(AE101:AE117)*'Operation Life Time'!$K$2</f>
        <v>229149.11129443045</v>
      </c>
      <c r="AF154">
        <f>SUM(AF101:AF117)*'Operation Life Time'!$K$2</f>
        <v>230646.47240673937</v>
      </c>
      <c r="AG154">
        <f>SUM(AG101:AG117)*'Operation Life Time'!$K$2</f>
        <v>346335.2780548461</v>
      </c>
    </row>
    <row r="155" spans="1:58" ht="15" thickBot="1">
      <c r="A155" s="14" t="s">
        <v>266</v>
      </c>
      <c r="C155" s="26">
        <f>(C153/C154)</f>
        <v>4.2311442573161058E-2</v>
      </c>
      <c r="D155" s="26">
        <f t="shared" ref="D155:AG155" si="14">(D153/D154)</f>
        <v>4.1149259669923742E-2</v>
      </c>
      <c r="E155" s="26">
        <f t="shared" si="14"/>
        <v>4.2517045634906832E-2</v>
      </c>
      <c r="F155" s="26">
        <f t="shared" si="14"/>
        <v>4.2721502780221222E-2</v>
      </c>
      <c r="G155" s="26">
        <f t="shared" si="14"/>
        <v>4.239323808357523E-2</v>
      </c>
      <c r="H155" s="26">
        <f t="shared" si="14"/>
        <v>4.3359403384515223E-2</v>
      </c>
      <c r="I155" s="26">
        <f t="shared" si="14"/>
        <v>4.2491552883038138E-2</v>
      </c>
      <c r="J155" s="26">
        <f t="shared" si="14"/>
        <v>4.2427099179510729E-2</v>
      </c>
      <c r="K155" s="26">
        <f t="shared" si="14"/>
        <v>4.2216657190437344E-2</v>
      </c>
      <c r="L155" s="26">
        <f t="shared" si="14"/>
        <v>4.4501287588608995E-2</v>
      </c>
      <c r="M155" s="26">
        <f t="shared" si="14"/>
        <v>4.3790650149380592E-2</v>
      </c>
      <c r="N155" s="26">
        <f t="shared" si="14"/>
        <v>4.3696158184052571E-2</v>
      </c>
      <c r="O155" s="26">
        <f t="shared" si="14"/>
        <v>4.4447525483563552E-2</v>
      </c>
      <c r="P155" s="26">
        <f t="shared" si="14"/>
        <v>4.5030551650830836E-2</v>
      </c>
      <c r="Q155" s="26">
        <f t="shared" si="14"/>
        <v>4.5136715111998224E-2</v>
      </c>
      <c r="R155" s="26">
        <f t="shared" si="14"/>
        <v>4.5671603444305459E-2</v>
      </c>
      <c r="S155" s="26">
        <f t="shared" si="14"/>
        <v>4.6367627782281977E-2</v>
      </c>
      <c r="T155" s="26">
        <f t="shared" si="14"/>
        <v>4.7557333994272762E-2</v>
      </c>
      <c r="U155" s="26">
        <f t="shared" si="14"/>
        <v>4.7986061134084289E-2</v>
      </c>
      <c r="V155" s="26">
        <f t="shared" si="14"/>
        <v>4.8709327507688222E-2</v>
      </c>
      <c r="W155" s="26">
        <f t="shared" si="14"/>
        <v>4.8396430962854238E-2</v>
      </c>
      <c r="X155" s="26">
        <f t="shared" si="14"/>
        <v>4.7559330552232645E-2</v>
      </c>
      <c r="Y155" s="26">
        <f t="shared" si="14"/>
        <v>4.7585670871838556E-2</v>
      </c>
      <c r="Z155" s="26">
        <f t="shared" si="14"/>
        <v>4.762504124818602E-2</v>
      </c>
      <c r="AA155" s="26">
        <f t="shared" si="14"/>
        <v>4.7673194725447662E-2</v>
      </c>
      <c r="AB155" s="26">
        <f t="shared" si="14"/>
        <v>5.2652705327733931E-2</v>
      </c>
      <c r="AC155" s="26">
        <f t="shared" si="14"/>
        <v>5.2696134878944506E-2</v>
      </c>
      <c r="AD155" s="26">
        <f t="shared" si="14"/>
        <v>5.2815727864221597E-2</v>
      </c>
      <c r="AE155" s="26">
        <f t="shared" si="14"/>
        <v>5.3176952780538612E-2</v>
      </c>
      <c r="AF155" s="26">
        <f t="shared" si="14"/>
        <v>5.3714497512701034E-2</v>
      </c>
      <c r="AG155" s="26">
        <f t="shared" si="14"/>
        <v>5.2180007963356818E-2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15">C4</f>
        <v>12310.831699999999</v>
      </c>
      <c r="D159">
        <f t="shared" si="15"/>
        <v>5122.5043000000005</v>
      </c>
      <c r="E159">
        <f t="shared" si="15"/>
        <v>5319.9663</v>
      </c>
      <c r="F159">
        <f t="shared" si="15"/>
        <v>5592.5475999999999</v>
      </c>
      <c r="G159">
        <f t="shared" si="15"/>
        <v>6742.4957000000004</v>
      </c>
      <c r="H159">
        <f t="shared" si="15"/>
        <v>7004.6526999999987</v>
      </c>
      <c r="I159">
        <f t="shared" si="15"/>
        <v>7332.7254000000003</v>
      </c>
      <c r="J159">
        <f t="shared" si="15"/>
        <v>7591.6620000000003</v>
      </c>
      <c r="K159">
        <f t="shared" si="15"/>
        <v>7863.4093000000012</v>
      </c>
      <c r="L159">
        <f t="shared" si="15"/>
        <v>7862.08</v>
      </c>
      <c r="M159">
        <f t="shared" si="15"/>
        <v>7786.3217000000004</v>
      </c>
      <c r="N159">
        <f t="shared" si="15"/>
        <v>8111.6556</v>
      </c>
      <c r="O159">
        <f t="shared" si="15"/>
        <v>8321.6905000000006</v>
      </c>
      <c r="P159">
        <f t="shared" si="15"/>
        <v>3942.4536999999996</v>
      </c>
      <c r="Q159">
        <f t="shared" si="15"/>
        <v>3095.3375999999998</v>
      </c>
      <c r="R159">
        <f t="shared" si="15"/>
        <v>3256.1026999999999</v>
      </c>
      <c r="S159">
        <f t="shared" si="15"/>
        <v>3361.1246999999994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4306.3516746171326</v>
      </c>
      <c r="D162" s="10">
        <f t="shared" ref="D162:S162" si="16">SUM(D150:D151)</f>
        <v>4191.3001393277837</v>
      </c>
      <c r="E162" s="10">
        <f t="shared" si="16"/>
        <v>4553.2567132988661</v>
      </c>
      <c r="F162" s="10">
        <f t="shared" si="16"/>
        <v>4764.4313450785676</v>
      </c>
      <c r="G162" s="10">
        <f t="shared" si="16"/>
        <v>4937.5004054858191</v>
      </c>
      <c r="H162" s="10">
        <f t="shared" si="16"/>
        <v>5276.7406330314097</v>
      </c>
      <c r="I162" s="10">
        <f t="shared" si="16"/>
        <v>5437.6015352395889</v>
      </c>
      <c r="J162" s="10">
        <f t="shared" si="16"/>
        <v>5699.0672430683444</v>
      </c>
      <c r="K162" s="10">
        <f t="shared" si="16"/>
        <v>5926.0823425888948</v>
      </c>
      <c r="L162" s="10">
        <f t="shared" si="16"/>
        <v>6558.7851920878402</v>
      </c>
      <c r="M162" s="10">
        <f t="shared" si="16"/>
        <v>6740.0963106675263</v>
      </c>
      <c r="N162" s="10">
        <f t="shared" si="16"/>
        <v>7051.857156670113</v>
      </c>
      <c r="O162" s="10">
        <f t="shared" si="16"/>
        <v>7523.8647594771992</v>
      </c>
      <c r="P162" s="10">
        <f t="shared" si="16"/>
        <v>7966.16977332019</v>
      </c>
      <c r="Q162" s="10">
        <f t="shared" si="16"/>
        <v>8330.4384167229528</v>
      </c>
      <c r="R162" s="10">
        <f t="shared" si="16"/>
        <v>8660.8266903591702</v>
      </c>
      <c r="S162" s="10">
        <f t="shared" si="16"/>
        <v>9242.4502373086052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92963.052903814882</v>
      </c>
      <c r="D163">
        <f>(SUM(D102:D104)+SUM(D111:D116)+SUM(D118:D123)+D126+SUM(D107:D110))*'Operation Life Time'!$K$2</f>
        <v>107519.66063101572</v>
      </c>
      <c r="E163">
        <f>(SUM(E102:E104)+SUM(E111:E116)+SUM(E118:E123)+E126+SUM(E107:E110))*'Operation Life Time'!$K$2</f>
        <v>106094.85167848703</v>
      </c>
      <c r="F163">
        <f>(SUM(F102:F104)+SUM(F111:F116)+SUM(F118:F123)+F126+SUM(F107:F110))*'Operation Life Time'!$K$2</f>
        <v>109889.20939402247</v>
      </c>
      <c r="G163">
        <f>(SUM(G102:G104)+SUM(G111:G116)+SUM(G118:G123)+G126+SUM(G107:G110))*'Operation Life Time'!$K$2</f>
        <v>108243.7893271506</v>
      </c>
      <c r="H163">
        <f>(SUM(H102:H104)+SUM(H111:H116)+SUM(H118:H123)+H126+SUM(H107:H110))*'Operation Life Time'!$K$2</f>
        <v>113965.00816089424</v>
      </c>
      <c r="I163">
        <f>(SUM(I102:I104)+SUM(I111:I116)+SUM(I118:I123)+I126+SUM(I107:I110))*'Operation Life Time'!$K$2</f>
        <v>118178.42143232051</v>
      </c>
      <c r="J163">
        <f>(SUM(J102:J104)+SUM(J111:J116)+SUM(J118:J123)+J126+SUM(J107:J110))*'Operation Life Time'!$K$2</f>
        <v>118317.0847032648</v>
      </c>
      <c r="K163">
        <f>(SUM(K102:K104)+SUM(K111:K116)+SUM(K118:K123)+K126+SUM(K107:K110))*'Operation Life Time'!$K$2</f>
        <v>119143.27574975909</v>
      </c>
      <c r="L163">
        <f>(SUM(L102:L104)+SUM(L111:L116)+SUM(L118:L123)+L126+SUM(L107:L110))*'Operation Life Time'!$K$2</f>
        <v>103750.71678327837</v>
      </c>
      <c r="M163">
        <f>(SUM(M102:M104)+SUM(M111:M116)+SUM(M118:M123)+M126+SUM(M107:M110))*'Operation Life Time'!$K$2</f>
        <v>104581.10227672046</v>
      </c>
      <c r="N163">
        <f>(SUM(N102:N104)+SUM(N111:N116)+SUM(N118:N123)+N126+SUM(N107:N110))*'Operation Life Time'!$K$2</f>
        <v>105241.61016447107</v>
      </c>
      <c r="O163">
        <f>(SUM(O102:O104)+SUM(O111:O116)+SUM(O118:O123)+O126+SUM(O107:O110))*'Operation Life Time'!$K$2</f>
        <v>98216.173595795175</v>
      </c>
      <c r="P163">
        <f>(SUM(P102:P104)+SUM(P111:P116)+SUM(P118:P123)+P126+SUM(P107:P110))*'Operation Life Time'!$K$2</f>
        <v>96601.542592836791</v>
      </c>
      <c r="Q163">
        <f>(SUM(Q102:Q104)+SUM(Q111:Q116)+SUM(Q118:Q123)+Q126+SUM(Q107:Q110))*'Operation Life Time'!$K$2</f>
        <v>96538.772696397689</v>
      </c>
      <c r="R163">
        <f>(SUM(R102:R104)+SUM(R111:R116)+SUM(R118:R123)+R126+SUM(R107:R110))*'Operation Life Time'!$K$2</f>
        <v>92855.752802895731</v>
      </c>
      <c r="S163">
        <f>(SUM(S102:S104)+SUM(S111:S116)+SUM(S118:S123)+S126+SUM(S107:S110))*'Operation Life Time'!$K$2</f>
        <v>85622.899570164998</v>
      </c>
      <c r="W163"/>
    </row>
    <row r="164" spans="1:58" ht="15" hidden="1" thickBot="1">
      <c r="A164" s="14" t="s">
        <v>24</v>
      </c>
      <c r="C164" s="18">
        <f>(C162/C163)</f>
        <v>4.6323260049051324E-2</v>
      </c>
      <c r="D164" s="18">
        <f t="shared" ref="D164:S164" si="17">(D162/D163)</f>
        <v>3.8981709156536697E-2</v>
      </c>
      <c r="E164" s="18">
        <f t="shared" si="17"/>
        <v>4.2916848850471929E-2</v>
      </c>
      <c r="F164" s="18">
        <f t="shared" si="17"/>
        <v>4.3356680527157687E-2</v>
      </c>
      <c r="G164" s="18">
        <f t="shared" si="17"/>
        <v>4.5614630051087415E-2</v>
      </c>
      <c r="H164" s="18">
        <f t="shared" si="17"/>
        <v>4.6301410566143071E-2</v>
      </c>
      <c r="I164" s="18">
        <f t="shared" si="17"/>
        <v>4.6011796987436016E-2</v>
      </c>
      <c r="J164" s="18">
        <f t="shared" si="17"/>
        <v>4.8167745658722151E-2</v>
      </c>
      <c r="K164" s="18">
        <f t="shared" si="17"/>
        <v>4.9739125479776623E-2</v>
      </c>
      <c r="L164" s="18">
        <f t="shared" si="17"/>
        <v>6.3216769921583107E-2</v>
      </c>
      <c r="M164" s="18">
        <f t="shared" si="17"/>
        <v>6.4448510906237197E-2</v>
      </c>
      <c r="N164" s="18">
        <f t="shared" si="17"/>
        <v>6.7006359420475461E-2</v>
      </c>
      <c r="O164" s="18">
        <f t="shared" si="17"/>
        <v>7.6605150496305938E-2</v>
      </c>
      <c r="P164" s="18">
        <f t="shared" si="17"/>
        <v>8.2464208743504047E-2</v>
      </c>
      <c r="Q164" s="18">
        <f t="shared" si="17"/>
        <v>8.6291115828881881E-2</v>
      </c>
      <c r="R164" s="18">
        <f t="shared" si="17"/>
        <v>9.3271837542940911E-2</v>
      </c>
      <c r="S164" s="18">
        <f t="shared" si="17"/>
        <v>0.10794367258883515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3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3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3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3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3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3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3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3">
      <c r="A219" s="42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3">
      <c r="A220" s="30"/>
      <c r="W220"/>
    </row>
    <row r="221" spans="1:33">
      <c r="A221" s="30"/>
      <c r="W221"/>
    </row>
    <row r="222" spans="1:33">
      <c r="W222"/>
    </row>
    <row r="223" spans="1:33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3">
      <c r="A224" t="s">
        <v>132</v>
      </c>
      <c r="C224">
        <v>23.132999999999999</v>
      </c>
      <c r="W224">
        <v>13.479599999999998</v>
      </c>
    </row>
    <row r="225" spans="1:36">
      <c r="A225" t="s">
        <v>133</v>
      </c>
      <c r="C225">
        <v>668.00269999999978</v>
      </c>
      <c r="D225">
        <v>853.04229999999984</v>
      </c>
      <c r="E225">
        <v>829.596</v>
      </c>
      <c r="F225">
        <v>900.37979999999982</v>
      </c>
      <c r="G225">
        <v>861.75620000000015</v>
      </c>
      <c r="H225">
        <v>893.86400000000026</v>
      </c>
      <c r="I225">
        <v>940.55470000000048</v>
      </c>
      <c r="J225">
        <v>941.2248000000003</v>
      </c>
      <c r="K225">
        <v>949.79289999999992</v>
      </c>
      <c r="L225">
        <v>778.48300000000006</v>
      </c>
      <c r="M225">
        <v>655.58690000000001</v>
      </c>
      <c r="N225">
        <v>661.80380000000002</v>
      </c>
      <c r="O225">
        <v>584.42010000000005</v>
      </c>
      <c r="P225">
        <v>577.24030000000016</v>
      </c>
      <c r="Q225">
        <v>536.33000000000004</v>
      </c>
      <c r="R225">
        <v>493.62619999999987</v>
      </c>
      <c r="S225">
        <v>420.78920000000005</v>
      </c>
      <c r="T225">
        <v>404.61979999999988</v>
      </c>
      <c r="U225">
        <v>346.52340000000004</v>
      </c>
      <c r="V225">
        <v>279.49009999999998</v>
      </c>
      <c r="W225">
        <v>285.46649999999994</v>
      </c>
      <c r="X225">
        <v>237.33620000000002</v>
      </c>
      <c r="Y225">
        <v>235.70119999999997</v>
      </c>
      <c r="Z225">
        <v>233.63139999999999</v>
      </c>
      <c r="AA225">
        <v>231.40720000000005</v>
      </c>
      <c r="AB225">
        <v>232.14829999999998</v>
      </c>
      <c r="AC225">
        <v>256.40010000000001</v>
      </c>
      <c r="AD225">
        <v>288.14900000000011</v>
      </c>
      <c r="AE225">
        <v>292.92460000000005</v>
      </c>
      <c r="AF225">
        <v>309.29129999999986</v>
      </c>
      <c r="AG225">
        <v>262.27459999999991</v>
      </c>
    </row>
    <row r="226" spans="1:36">
      <c r="A226" t="s">
        <v>138</v>
      </c>
      <c r="C226">
        <f t="shared" ref="C226:AG226" si="18">C202*C103</f>
        <v>0</v>
      </c>
      <c r="D226">
        <f t="shared" si="18"/>
        <v>0</v>
      </c>
      <c r="E226">
        <f t="shared" si="18"/>
        <v>0</v>
      </c>
      <c r="F226">
        <f t="shared" si="18"/>
        <v>0</v>
      </c>
      <c r="G226">
        <f t="shared" si="18"/>
        <v>0</v>
      </c>
      <c r="H226">
        <f t="shared" si="18"/>
        <v>0</v>
      </c>
      <c r="I226">
        <f t="shared" si="18"/>
        <v>0</v>
      </c>
      <c r="J226">
        <f t="shared" si="18"/>
        <v>0</v>
      </c>
      <c r="K226">
        <f t="shared" si="18"/>
        <v>0</v>
      </c>
      <c r="L226">
        <f t="shared" si="18"/>
        <v>0</v>
      </c>
      <c r="M226">
        <f t="shared" si="18"/>
        <v>0</v>
      </c>
      <c r="N226">
        <f t="shared" si="18"/>
        <v>0</v>
      </c>
      <c r="O226">
        <f t="shared" si="18"/>
        <v>0</v>
      </c>
      <c r="P226">
        <f t="shared" si="18"/>
        <v>0</v>
      </c>
      <c r="Q226">
        <f t="shared" si="18"/>
        <v>0</v>
      </c>
      <c r="R226">
        <f t="shared" si="18"/>
        <v>0</v>
      </c>
      <c r="S226">
        <f t="shared" si="18"/>
        <v>0</v>
      </c>
      <c r="T226">
        <f t="shared" si="18"/>
        <v>0</v>
      </c>
      <c r="U226">
        <f t="shared" si="18"/>
        <v>0</v>
      </c>
      <c r="V226">
        <f t="shared" si="18"/>
        <v>0</v>
      </c>
      <c r="W226">
        <f t="shared" si="18"/>
        <v>0</v>
      </c>
      <c r="X226">
        <f t="shared" si="18"/>
        <v>0</v>
      </c>
      <c r="Y226">
        <f t="shared" si="18"/>
        <v>0</v>
      </c>
      <c r="Z226">
        <f t="shared" si="18"/>
        <v>0</v>
      </c>
      <c r="AA226">
        <f t="shared" si="18"/>
        <v>0</v>
      </c>
      <c r="AB226">
        <f t="shared" si="18"/>
        <v>0</v>
      </c>
      <c r="AC226">
        <f t="shared" si="18"/>
        <v>0</v>
      </c>
      <c r="AD226">
        <f t="shared" si="18"/>
        <v>0</v>
      </c>
      <c r="AE226">
        <f t="shared" si="18"/>
        <v>0</v>
      </c>
      <c r="AF226">
        <f t="shared" si="18"/>
        <v>0</v>
      </c>
      <c r="AG226">
        <f t="shared" si="18"/>
        <v>0</v>
      </c>
    </row>
    <row r="227" spans="1:36">
      <c r="A227" t="s">
        <v>141</v>
      </c>
      <c r="C227">
        <f t="shared" ref="C227:AG227" si="19">C203*C104</f>
        <v>0</v>
      </c>
      <c r="D227">
        <f t="shared" si="19"/>
        <v>0</v>
      </c>
      <c r="E227">
        <f t="shared" si="19"/>
        <v>0</v>
      </c>
      <c r="F227">
        <f t="shared" si="19"/>
        <v>0</v>
      </c>
      <c r="G227">
        <f t="shared" si="19"/>
        <v>0</v>
      </c>
      <c r="H227">
        <f t="shared" si="19"/>
        <v>0</v>
      </c>
      <c r="I227">
        <f t="shared" si="19"/>
        <v>0</v>
      </c>
      <c r="J227">
        <f t="shared" si="19"/>
        <v>0</v>
      </c>
      <c r="K227">
        <f t="shared" si="19"/>
        <v>0</v>
      </c>
      <c r="L227">
        <f t="shared" si="19"/>
        <v>0</v>
      </c>
      <c r="M227">
        <f t="shared" si="19"/>
        <v>0</v>
      </c>
      <c r="N227">
        <f t="shared" si="19"/>
        <v>0</v>
      </c>
      <c r="O227">
        <f t="shared" si="19"/>
        <v>0</v>
      </c>
      <c r="P227">
        <f t="shared" si="19"/>
        <v>0</v>
      </c>
      <c r="Q227">
        <f t="shared" si="19"/>
        <v>0</v>
      </c>
      <c r="R227">
        <f t="shared" si="19"/>
        <v>0</v>
      </c>
      <c r="S227">
        <f t="shared" si="19"/>
        <v>0</v>
      </c>
      <c r="T227">
        <f t="shared" si="19"/>
        <v>0</v>
      </c>
      <c r="U227">
        <f t="shared" si="19"/>
        <v>0</v>
      </c>
      <c r="V227">
        <f t="shared" si="19"/>
        <v>0</v>
      </c>
      <c r="W227">
        <f t="shared" si="19"/>
        <v>0</v>
      </c>
      <c r="X227">
        <f t="shared" si="19"/>
        <v>0</v>
      </c>
      <c r="Y227">
        <f t="shared" si="19"/>
        <v>0</v>
      </c>
      <c r="Z227">
        <f t="shared" si="19"/>
        <v>0</v>
      </c>
      <c r="AA227">
        <f t="shared" si="19"/>
        <v>0</v>
      </c>
      <c r="AB227">
        <f t="shared" si="19"/>
        <v>0</v>
      </c>
      <c r="AC227">
        <f t="shared" si="19"/>
        <v>0</v>
      </c>
      <c r="AD227">
        <f t="shared" si="19"/>
        <v>0</v>
      </c>
      <c r="AE227">
        <f t="shared" si="19"/>
        <v>0</v>
      </c>
      <c r="AF227">
        <f t="shared" si="19"/>
        <v>0</v>
      </c>
      <c r="AG227">
        <f t="shared" si="19"/>
        <v>0</v>
      </c>
    </row>
    <row r="228" spans="1:36">
      <c r="A228" t="s">
        <v>142</v>
      </c>
      <c r="D228">
        <v>53.373000000000019</v>
      </c>
      <c r="E228">
        <v>110.01420000000005</v>
      </c>
      <c r="F228">
        <v>110.01420000000005</v>
      </c>
      <c r="G228">
        <v>154.18499999999995</v>
      </c>
      <c r="H228">
        <v>154.18499999999995</v>
      </c>
      <c r="I228">
        <v>154.18499999999995</v>
      </c>
      <c r="J228">
        <v>202.02420000000009</v>
      </c>
      <c r="K228">
        <v>238.19400000000007</v>
      </c>
      <c r="L228">
        <v>468.10139999999984</v>
      </c>
      <c r="M228">
        <v>513.67499999999995</v>
      </c>
      <c r="N228">
        <v>565.85939999999994</v>
      </c>
      <c r="O228">
        <v>703.15179999999975</v>
      </c>
      <c r="P228">
        <v>781.85079999999982</v>
      </c>
      <c r="Q228">
        <v>847.70159999999998</v>
      </c>
      <c r="R228">
        <v>922.28220000000033</v>
      </c>
      <c r="S228">
        <v>1065.5601999999994</v>
      </c>
      <c r="T228">
        <v>1204.2664000000002</v>
      </c>
      <c r="U228">
        <v>1328.6298000000002</v>
      </c>
      <c r="V228">
        <v>1453.0083999999999</v>
      </c>
      <c r="W228">
        <v>1165.3985999999995</v>
      </c>
      <c r="X228">
        <v>1129.9003999999995</v>
      </c>
      <c r="Y228">
        <v>1128.9683999999997</v>
      </c>
      <c r="Z228">
        <v>1128.1501999999998</v>
      </c>
      <c r="AA228">
        <v>1127.3659999999998</v>
      </c>
      <c r="AB228">
        <v>1127.3455999999996</v>
      </c>
      <c r="AC228">
        <v>1097.1385999999998</v>
      </c>
      <c r="AD228">
        <v>1065.4056</v>
      </c>
      <c r="AE228">
        <v>1066.3146000000002</v>
      </c>
      <c r="AF228">
        <v>1055.3879999999997</v>
      </c>
      <c r="AG228">
        <v>1664.0882999999997</v>
      </c>
      <c r="AH228">
        <v>764.65900000000011</v>
      </c>
      <c r="AI228">
        <v>698.96439999999984</v>
      </c>
      <c r="AJ228">
        <v>682.18140000000017</v>
      </c>
    </row>
    <row r="229" spans="1:36">
      <c r="A229" t="s">
        <v>143</v>
      </c>
      <c r="C229">
        <f t="shared" ref="C229:AG229" si="20">C205*C106</f>
        <v>0</v>
      </c>
      <c r="D229">
        <f t="shared" si="20"/>
        <v>0</v>
      </c>
      <c r="E229">
        <f t="shared" si="20"/>
        <v>0</v>
      </c>
      <c r="F229">
        <f t="shared" si="20"/>
        <v>0</v>
      </c>
      <c r="G229">
        <f t="shared" si="20"/>
        <v>0</v>
      </c>
      <c r="H229">
        <f t="shared" si="20"/>
        <v>0</v>
      </c>
      <c r="I229">
        <f t="shared" si="20"/>
        <v>0</v>
      </c>
      <c r="J229">
        <f t="shared" si="20"/>
        <v>0</v>
      </c>
      <c r="K229">
        <f t="shared" si="20"/>
        <v>0</v>
      </c>
      <c r="L229">
        <f t="shared" si="20"/>
        <v>0</v>
      </c>
      <c r="M229">
        <f t="shared" si="20"/>
        <v>0</v>
      </c>
      <c r="N229">
        <f t="shared" si="20"/>
        <v>0</v>
      </c>
      <c r="O229">
        <f t="shared" si="20"/>
        <v>0</v>
      </c>
      <c r="P229">
        <f t="shared" si="20"/>
        <v>0</v>
      </c>
      <c r="Q229">
        <f t="shared" si="20"/>
        <v>0</v>
      </c>
      <c r="R229">
        <f t="shared" si="20"/>
        <v>0</v>
      </c>
      <c r="S229">
        <f t="shared" si="20"/>
        <v>0</v>
      </c>
      <c r="T229">
        <f t="shared" si="20"/>
        <v>0</v>
      </c>
      <c r="U229">
        <f t="shared" si="20"/>
        <v>0</v>
      </c>
      <c r="V229">
        <f t="shared" si="20"/>
        <v>0</v>
      </c>
      <c r="W229">
        <f t="shared" si="20"/>
        <v>0</v>
      </c>
      <c r="X229">
        <f t="shared" si="20"/>
        <v>0</v>
      </c>
      <c r="Y229">
        <f t="shared" si="20"/>
        <v>0</v>
      </c>
      <c r="Z229">
        <f t="shared" si="20"/>
        <v>0</v>
      </c>
      <c r="AA229">
        <f t="shared" si="20"/>
        <v>0</v>
      </c>
      <c r="AB229">
        <f t="shared" si="20"/>
        <v>0</v>
      </c>
      <c r="AC229">
        <f t="shared" si="20"/>
        <v>0</v>
      </c>
      <c r="AD229">
        <f t="shared" si="20"/>
        <v>0</v>
      </c>
      <c r="AE229">
        <f t="shared" si="20"/>
        <v>0</v>
      </c>
      <c r="AF229">
        <f t="shared" si="20"/>
        <v>0</v>
      </c>
      <c r="AG229">
        <f t="shared" si="20"/>
        <v>0</v>
      </c>
    </row>
    <row r="230" spans="1:36">
      <c r="A230" t="s">
        <v>144</v>
      </c>
      <c r="C230">
        <f t="shared" ref="C230:AG230" si="21">C206*C107</f>
        <v>0</v>
      </c>
      <c r="D230">
        <f t="shared" si="21"/>
        <v>0</v>
      </c>
      <c r="E230">
        <f t="shared" si="21"/>
        <v>0</v>
      </c>
      <c r="F230">
        <f t="shared" si="21"/>
        <v>0</v>
      </c>
      <c r="G230">
        <f t="shared" si="21"/>
        <v>0</v>
      </c>
      <c r="H230">
        <f t="shared" si="21"/>
        <v>0</v>
      </c>
      <c r="I230">
        <f t="shared" si="21"/>
        <v>0</v>
      </c>
      <c r="J230">
        <f t="shared" si="21"/>
        <v>0</v>
      </c>
      <c r="K230">
        <f t="shared" si="21"/>
        <v>0</v>
      </c>
      <c r="L230">
        <f t="shared" si="21"/>
        <v>0</v>
      </c>
      <c r="M230">
        <f t="shared" si="21"/>
        <v>0</v>
      </c>
      <c r="N230">
        <f t="shared" si="21"/>
        <v>0</v>
      </c>
      <c r="O230">
        <f t="shared" si="21"/>
        <v>0</v>
      </c>
      <c r="P230">
        <f t="shared" si="21"/>
        <v>0</v>
      </c>
      <c r="Q230">
        <f t="shared" si="21"/>
        <v>0</v>
      </c>
      <c r="R230">
        <f t="shared" si="21"/>
        <v>0</v>
      </c>
      <c r="S230">
        <f t="shared" si="21"/>
        <v>0</v>
      </c>
      <c r="T230">
        <f t="shared" si="21"/>
        <v>0</v>
      </c>
      <c r="U230">
        <f t="shared" si="21"/>
        <v>0</v>
      </c>
      <c r="V230">
        <f t="shared" si="21"/>
        <v>0</v>
      </c>
      <c r="W230">
        <f t="shared" si="21"/>
        <v>0</v>
      </c>
      <c r="X230">
        <f t="shared" si="21"/>
        <v>0</v>
      </c>
      <c r="Y230">
        <f t="shared" si="21"/>
        <v>0</v>
      </c>
      <c r="Z230">
        <f t="shared" si="21"/>
        <v>0</v>
      </c>
      <c r="AA230">
        <f t="shared" si="21"/>
        <v>0</v>
      </c>
      <c r="AB230">
        <f t="shared" si="21"/>
        <v>0</v>
      </c>
      <c r="AC230">
        <f t="shared" si="21"/>
        <v>0</v>
      </c>
      <c r="AD230">
        <f t="shared" si="21"/>
        <v>0</v>
      </c>
      <c r="AE230">
        <f t="shared" si="21"/>
        <v>0</v>
      </c>
      <c r="AF230">
        <f t="shared" si="21"/>
        <v>0</v>
      </c>
      <c r="AG230">
        <f t="shared" si="21"/>
        <v>0</v>
      </c>
    </row>
    <row r="231" spans="1:36">
      <c r="A231" t="s">
        <v>145</v>
      </c>
      <c r="C231">
        <f t="shared" ref="C231:AG231" si="22">C207*C108</f>
        <v>0</v>
      </c>
      <c r="D231">
        <f t="shared" si="22"/>
        <v>0</v>
      </c>
      <c r="E231">
        <f t="shared" si="22"/>
        <v>0</v>
      </c>
      <c r="F231">
        <f t="shared" si="22"/>
        <v>0</v>
      </c>
      <c r="G231">
        <f t="shared" si="22"/>
        <v>0</v>
      </c>
      <c r="H231">
        <f t="shared" si="22"/>
        <v>0</v>
      </c>
      <c r="I231">
        <f t="shared" si="22"/>
        <v>0</v>
      </c>
      <c r="J231">
        <f t="shared" si="22"/>
        <v>0</v>
      </c>
      <c r="K231">
        <f t="shared" si="22"/>
        <v>0</v>
      </c>
      <c r="L231">
        <f t="shared" si="22"/>
        <v>0</v>
      </c>
      <c r="M231">
        <f t="shared" si="22"/>
        <v>0</v>
      </c>
      <c r="N231">
        <f t="shared" si="22"/>
        <v>0</v>
      </c>
      <c r="O231">
        <f t="shared" si="22"/>
        <v>0</v>
      </c>
      <c r="P231">
        <f t="shared" si="22"/>
        <v>0</v>
      </c>
      <c r="Q231">
        <f t="shared" si="22"/>
        <v>0</v>
      </c>
      <c r="R231">
        <f t="shared" si="22"/>
        <v>0</v>
      </c>
      <c r="S231">
        <f t="shared" si="22"/>
        <v>0</v>
      </c>
      <c r="T231">
        <f t="shared" si="22"/>
        <v>0</v>
      </c>
      <c r="U231">
        <f t="shared" si="22"/>
        <v>0</v>
      </c>
      <c r="V231">
        <f t="shared" si="22"/>
        <v>0</v>
      </c>
      <c r="W231">
        <f t="shared" si="22"/>
        <v>0</v>
      </c>
      <c r="X231">
        <f t="shared" si="22"/>
        <v>0</v>
      </c>
      <c r="Y231">
        <f t="shared" si="22"/>
        <v>0</v>
      </c>
      <c r="Z231">
        <f t="shared" si="22"/>
        <v>0</v>
      </c>
      <c r="AA231">
        <f t="shared" si="22"/>
        <v>0</v>
      </c>
      <c r="AB231">
        <f t="shared" si="22"/>
        <v>0</v>
      </c>
      <c r="AC231">
        <f t="shared" si="22"/>
        <v>0</v>
      </c>
      <c r="AD231">
        <f t="shared" si="22"/>
        <v>0</v>
      </c>
      <c r="AE231">
        <f t="shared" si="22"/>
        <v>0</v>
      </c>
      <c r="AF231">
        <f t="shared" si="22"/>
        <v>0</v>
      </c>
      <c r="AG231">
        <f t="shared" si="22"/>
        <v>0</v>
      </c>
    </row>
    <row r="232" spans="1:36">
      <c r="A232" t="s">
        <v>146</v>
      </c>
      <c r="H232">
        <v>12.721099999999998</v>
      </c>
      <c r="I232">
        <v>13.133599999999999</v>
      </c>
      <c r="J232">
        <v>13.141300000000003</v>
      </c>
      <c r="K232">
        <v>13.147900000000003</v>
      </c>
      <c r="L232">
        <v>9.8040000000000003</v>
      </c>
      <c r="M232">
        <v>9.8040000000000003</v>
      </c>
      <c r="N232">
        <v>9.8040000000000003</v>
      </c>
      <c r="O232">
        <v>7.3475999999999999</v>
      </c>
      <c r="P232">
        <v>8.0614000000000008</v>
      </c>
      <c r="Q232">
        <v>6.6709999999999994</v>
      </c>
      <c r="R232">
        <v>6.1685999999999988</v>
      </c>
      <c r="S232">
        <v>5.8201999999999989</v>
      </c>
      <c r="T232">
        <v>5.4716000000000005</v>
      </c>
      <c r="U232">
        <v>6.1029999999999989</v>
      </c>
      <c r="V232">
        <v>14.3726</v>
      </c>
      <c r="W232">
        <v>21.427199999999999</v>
      </c>
      <c r="X232">
        <v>13.927200000000001</v>
      </c>
      <c r="Y232">
        <v>13.117599999999999</v>
      </c>
      <c r="Z232">
        <v>12.764800000000001</v>
      </c>
      <c r="AA232">
        <v>12.4192</v>
      </c>
      <c r="AB232">
        <v>12.392600000000002</v>
      </c>
      <c r="AC232">
        <v>24.470599999999997</v>
      </c>
      <c r="AD232">
        <v>34.053999999999995</v>
      </c>
      <c r="AE232">
        <v>35.4801</v>
      </c>
      <c r="AF232">
        <v>40.575699999999998</v>
      </c>
      <c r="AG232">
        <v>80.550900000000013</v>
      </c>
      <c r="AH232">
        <v>70.16640000000001</v>
      </c>
      <c r="AI232">
        <v>65.217700000000022</v>
      </c>
      <c r="AJ232">
        <v>64.414200000000008</v>
      </c>
    </row>
    <row r="233" spans="1:36">
      <c r="A233" t="s">
        <v>147</v>
      </c>
      <c r="C233">
        <f t="shared" ref="C233:AG233" si="23">C209*C110</f>
        <v>0</v>
      </c>
      <c r="D233">
        <f t="shared" si="23"/>
        <v>0</v>
      </c>
      <c r="E233">
        <f t="shared" si="23"/>
        <v>0</v>
      </c>
      <c r="F233">
        <f t="shared" si="23"/>
        <v>0</v>
      </c>
      <c r="G233">
        <f t="shared" si="23"/>
        <v>0</v>
      </c>
      <c r="H233">
        <f t="shared" si="23"/>
        <v>0</v>
      </c>
      <c r="I233">
        <f t="shared" si="23"/>
        <v>0</v>
      </c>
      <c r="J233">
        <f t="shared" si="23"/>
        <v>0</v>
      </c>
      <c r="K233">
        <f t="shared" si="23"/>
        <v>0</v>
      </c>
      <c r="L233">
        <f t="shared" si="23"/>
        <v>0</v>
      </c>
      <c r="M233">
        <f t="shared" si="23"/>
        <v>0</v>
      </c>
      <c r="N233">
        <f t="shared" si="23"/>
        <v>0</v>
      </c>
      <c r="O233">
        <f t="shared" si="23"/>
        <v>0</v>
      </c>
      <c r="P233">
        <f t="shared" si="23"/>
        <v>0</v>
      </c>
      <c r="Q233">
        <f t="shared" si="23"/>
        <v>0</v>
      </c>
      <c r="R233">
        <f t="shared" si="23"/>
        <v>0</v>
      </c>
      <c r="S233">
        <f t="shared" si="23"/>
        <v>0</v>
      </c>
      <c r="T233">
        <f t="shared" si="23"/>
        <v>0</v>
      </c>
      <c r="U233">
        <f t="shared" si="23"/>
        <v>0</v>
      </c>
      <c r="V233">
        <f t="shared" si="23"/>
        <v>0</v>
      </c>
      <c r="W233">
        <f t="shared" si="23"/>
        <v>0</v>
      </c>
      <c r="X233">
        <f t="shared" si="23"/>
        <v>0</v>
      </c>
      <c r="Y233">
        <f t="shared" si="23"/>
        <v>0</v>
      </c>
      <c r="Z233">
        <f t="shared" si="23"/>
        <v>0</v>
      </c>
      <c r="AA233">
        <f t="shared" si="23"/>
        <v>0</v>
      </c>
      <c r="AB233">
        <f t="shared" si="23"/>
        <v>0</v>
      </c>
      <c r="AC233">
        <f t="shared" si="23"/>
        <v>0</v>
      </c>
      <c r="AD233">
        <f t="shared" si="23"/>
        <v>0</v>
      </c>
      <c r="AE233">
        <f t="shared" si="23"/>
        <v>0</v>
      </c>
      <c r="AF233">
        <f t="shared" si="23"/>
        <v>0</v>
      </c>
      <c r="AG233">
        <f t="shared" si="23"/>
        <v>0</v>
      </c>
    </row>
    <row r="234" spans="1:36">
      <c r="A234" t="s">
        <v>148</v>
      </c>
      <c r="C234">
        <f t="shared" ref="C234:AG234" si="24">C210*C111</f>
        <v>0</v>
      </c>
      <c r="D234">
        <f t="shared" si="24"/>
        <v>0</v>
      </c>
      <c r="E234">
        <f t="shared" si="24"/>
        <v>0</v>
      </c>
      <c r="F234">
        <f t="shared" si="24"/>
        <v>0</v>
      </c>
      <c r="G234">
        <f t="shared" si="24"/>
        <v>0</v>
      </c>
      <c r="H234">
        <f t="shared" si="24"/>
        <v>0</v>
      </c>
      <c r="I234">
        <f t="shared" si="24"/>
        <v>0</v>
      </c>
      <c r="J234">
        <f t="shared" si="24"/>
        <v>0</v>
      </c>
      <c r="K234">
        <f t="shared" si="24"/>
        <v>0</v>
      </c>
      <c r="L234">
        <f t="shared" si="24"/>
        <v>0</v>
      </c>
      <c r="M234">
        <f t="shared" si="24"/>
        <v>0</v>
      </c>
      <c r="N234">
        <f t="shared" si="24"/>
        <v>0</v>
      </c>
      <c r="O234">
        <f t="shared" si="24"/>
        <v>0</v>
      </c>
      <c r="P234">
        <f t="shared" si="24"/>
        <v>0</v>
      </c>
      <c r="Q234">
        <f t="shared" si="24"/>
        <v>0</v>
      </c>
      <c r="R234">
        <f t="shared" si="24"/>
        <v>0</v>
      </c>
      <c r="S234">
        <f t="shared" si="24"/>
        <v>0</v>
      </c>
      <c r="T234">
        <f t="shared" si="24"/>
        <v>0</v>
      </c>
      <c r="U234">
        <f t="shared" si="24"/>
        <v>0</v>
      </c>
      <c r="V234">
        <f t="shared" si="24"/>
        <v>0</v>
      </c>
      <c r="W234">
        <f t="shared" si="24"/>
        <v>0</v>
      </c>
      <c r="X234">
        <f t="shared" si="24"/>
        <v>0</v>
      </c>
      <c r="Y234">
        <f t="shared" si="24"/>
        <v>0</v>
      </c>
      <c r="Z234">
        <f t="shared" si="24"/>
        <v>0</v>
      </c>
      <c r="AA234">
        <f t="shared" si="24"/>
        <v>0</v>
      </c>
      <c r="AB234">
        <f t="shared" si="24"/>
        <v>0</v>
      </c>
      <c r="AC234">
        <f t="shared" si="24"/>
        <v>0</v>
      </c>
      <c r="AD234">
        <f t="shared" si="24"/>
        <v>0</v>
      </c>
      <c r="AE234">
        <f t="shared" si="24"/>
        <v>0</v>
      </c>
      <c r="AF234">
        <f t="shared" si="24"/>
        <v>0</v>
      </c>
      <c r="AG234">
        <f t="shared" si="24"/>
        <v>0</v>
      </c>
    </row>
    <row r="235" spans="1:36">
      <c r="A235" t="s">
        <v>149</v>
      </c>
      <c r="C235">
        <f t="shared" ref="C235:AG235" si="25">C211*C112</f>
        <v>0</v>
      </c>
      <c r="D235">
        <f t="shared" si="25"/>
        <v>0</v>
      </c>
      <c r="E235">
        <f t="shared" si="25"/>
        <v>0</v>
      </c>
      <c r="F235">
        <f t="shared" si="25"/>
        <v>0</v>
      </c>
      <c r="G235">
        <f t="shared" si="25"/>
        <v>0</v>
      </c>
      <c r="H235">
        <f t="shared" si="25"/>
        <v>0</v>
      </c>
      <c r="I235">
        <f t="shared" si="25"/>
        <v>0</v>
      </c>
      <c r="J235">
        <f t="shared" si="25"/>
        <v>0</v>
      </c>
      <c r="K235">
        <f t="shared" si="25"/>
        <v>0</v>
      </c>
      <c r="L235">
        <f t="shared" si="25"/>
        <v>0</v>
      </c>
      <c r="M235">
        <f t="shared" si="25"/>
        <v>0</v>
      </c>
      <c r="N235">
        <f t="shared" si="25"/>
        <v>0</v>
      </c>
      <c r="O235">
        <f t="shared" si="25"/>
        <v>0</v>
      </c>
      <c r="P235">
        <f t="shared" si="25"/>
        <v>0</v>
      </c>
      <c r="Q235">
        <f t="shared" si="25"/>
        <v>0</v>
      </c>
      <c r="R235">
        <f t="shared" si="25"/>
        <v>0</v>
      </c>
      <c r="S235">
        <f t="shared" si="25"/>
        <v>0</v>
      </c>
      <c r="T235">
        <f t="shared" si="25"/>
        <v>0</v>
      </c>
      <c r="U235">
        <f t="shared" si="25"/>
        <v>0</v>
      </c>
      <c r="V235">
        <f t="shared" si="25"/>
        <v>0</v>
      </c>
      <c r="W235">
        <f t="shared" si="25"/>
        <v>0</v>
      </c>
      <c r="X235">
        <f t="shared" si="25"/>
        <v>0</v>
      </c>
      <c r="Y235">
        <f t="shared" si="25"/>
        <v>0</v>
      </c>
      <c r="Z235">
        <f t="shared" si="25"/>
        <v>0</v>
      </c>
      <c r="AA235">
        <f t="shared" si="25"/>
        <v>0</v>
      </c>
      <c r="AB235">
        <f t="shared" si="25"/>
        <v>0</v>
      </c>
      <c r="AC235">
        <f t="shared" si="25"/>
        <v>0</v>
      </c>
      <c r="AD235">
        <f t="shared" si="25"/>
        <v>0</v>
      </c>
      <c r="AE235">
        <f t="shared" si="25"/>
        <v>0</v>
      </c>
      <c r="AF235">
        <f t="shared" si="25"/>
        <v>0</v>
      </c>
      <c r="AG235">
        <f t="shared" si="25"/>
        <v>0</v>
      </c>
    </row>
    <row r="236" spans="1:36">
      <c r="A236" t="s">
        <v>150</v>
      </c>
      <c r="C236">
        <f t="shared" ref="C236:AG236" si="26">C212*C113</f>
        <v>0</v>
      </c>
      <c r="D236">
        <f t="shared" si="26"/>
        <v>0</v>
      </c>
      <c r="E236">
        <f t="shared" si="26"/>
        <v>0</v>
      </c>
      <c r="F236">
        <f t="shared" si="26"/>
        <v>0</v>
      </c>
      <c r="G236">
        <f t="shared" si="26"/>
        <v>0</v>
      </c>
      <c r="H236">
        <f t="shared" si="26"/>
        <v>0</v>
      </c>
      <c r="I236">
        <f t="shared" si="26"/>
        <v>0</v>
      </c>
      <c r="J236">
        <f t="shared" si="26"/>
        <v>0</v>
      </c>
      <c r="K236">
        <f t="shared" si="26"/>
        <v>0</v>
      </c>
      <c r="L236">
        <f t="shared" si="26"/>
        <v>0</v>
      </c>
      <c r="M236">
        <f t="shared" si="26"/>
        <v>0</v>
      </c>
      <c r="N236">
        <f t="shared" si="26"/>
        <v>0</v>
      </c>
      <c r="O236">
        <f t="shared" si="26"/>
        <v>0</v>
      </c>
      <c r="P236">
        <f t="shared" si="26"/>
        <v>0</v>
      </c>
      <c r="Q236">
        <f t="shared" si="26"/>
        <v>0</v>
      </c>
      <c r="R236">
        <f t="shared" si="26"/>
        <v>0</v>
      </c>
      <c r="S236">
        <f t="shared" si="26"/>
        <v>0</v>
      </c>
      <c r="T236">
        <f t="shared" si="26"/>
        <v>0</v>
      </c>
      <c r="U236">
        <f t="shared" si="26"/>
        <v>0</v>
      </c>
      <c r="V236">
        <f t="shared" si="26"/>
        <v>0</v>
      </c>
      <c r="W236">
        <f t="shared" si="26"/>
        <v>0</v>
      </c>
      <c r="X236">
        <f t="shared" si="26"/>
        <v>0</v>
      </c>
      <c r="Y236">
        <f t="shared" si="26"/>
        <v>0</v>
      </c>
      <c r="Z236">
        <f t="shared" si="26"/>
        <v>0</v>
      </c>
      <c r="AA236">
        <f t="shared" si="26"/>
        <v>0</v>
      </c>
      <c r="AB236">
        <f t="shared" si="26"/>
        <v>0</v>
      </c>
      <c r="AC236">
        <f t="shared" si="26"/>
        <v>0</v>
      </c>
      <c r="AD236">
        <f t="shared" si="26"/>
        <v>0</v>
      </c>
      <c r="AE236">
        <f t="shared" si="26"/>
        <v>0</v>
      </c>
      <c r="AF236">
        <f t="shared" si="26"/>
        <v>0</v>
      </c>
      <c r="AG236">
        <f t="shared" si="26"/>
        <v>0</v>
      </c>
    </row>
    <row r="237" spans="1:36">
      <c r="A237" t="s">
        <v>151</v>
      </c>
      <c r="C237">
        <f t="shared" ref="C237:AG237" si="27">C213*C114</f>
        <v>0</v>
      </c>
      <c r="D237">
        <f t="shared" si="27"/>
        <v>0</v>
      </c>
      <c r="E237">
        <f t="shared" si="27"/>
        <v>0</v>
      </c>
      <c r="F237">
        <f t="shared" si="27"/>
        <v>0</v>
      </c>
      <c r="G237">
        <f t="shared" si="27"/>
        <v>0</v>
      </c>
      <c r="H237">
        <f t="shared" si="27"/>
        <v>0</v>
      </c>
      <c r="I237">
        <f t="shared" si="27"/>
        <v>0</v>
      </c>
      <c r="J237">
        <f t="shared" si="27"/>
        <v>0</v>
      </c>
      <c r="K237">
        <f t="shared" si="27"/>
        <v>0</v>
      </c>
      <c r="L237">
        <f t="shared" si="27"/>
        <v>0</v>
      </c>
      <c r="M237">
        <f t="shared" si="27"/>
        <v>0</v>
      </c>
      <c r="N237">
        <f t="shared" si="27"/>
        <v>0</v>
      </c>
      <c r="O237">
        <f t="shared" si="27"/>
        <v>0</v>
      </c>
      <c r="P237">
        <f t="shared" si="27"/>
        <v>0</v>
      </c>
      <c r="Q237">
        <f t="shared" si="27"/>
        <v>0</v>
      </c>
      <c r="R237">
        <f t="shared" si="27"/>
        <v>0</v>
      </c>
      <c r="S237">
        <f t="shared" si="27"/>
        <v>0</v>
      </c>
      <c r="T237">
        <f t="shared" si="27"/>
        <v>0</v>
      </c>
      <c r="U237">
        <f t="shared" si="27"/>
        <v>0</v>
      </c>
      <c r="V237">
        <f t="shared" si="27"/>
        <v>0</v>
      </c>
      <c r="W237">
        <f t="shared" si="27"/>
        <v>0</v>
      </c>
      <c r="X237">
        <f t="shared" si="27"/>
        <v>0</v>
      </c>
      <c r="Y237">
        <f t="shared" si="27"/>
        <v>0</v>
      </c>
      <c r="Z237">
        <f t="shared" si="27"/>
        <v>0</v>
      </c>
      <c r="AA237">
        <f t="shared" si="27"/>
        <v>0</v>
      </c>
      <c r="AB237">
        <f t="shared" si="27"/>
        <v>0</v>
      </c>
      <c r="AC237">
        <f t="shared" si="27"/>
        <v>0</v>
      </c>
      <c r="AD237">
        <f t="shared" si="27"/>
        <v>0</v>
      </c>
      <c r="AE237">
        <f t="shared" si="27"/>
        <v>0</v>
      </c>
      <c r="AF237">
        <f t="shared" si="27"/>
        <v>0</v>
      </c>
      <c r="AG237">
        <f t="shared" si="27"/>
        <v>0</v>
      </c>
    </row>
    <row r="238" spans="1:36">
      <c r="A238" t="s">
        <v>152</v>
      </c>
      <c r="C238">
        <f t="shared" ref="C238:AG238" si="28">C214*C115</f>
        <v>0</v>
      </c>
      <c r="D238">
        <f t="shared" si="28"/>
        <v>0</v>
      </c>
      <c r="E238">
        <f t="shared" si="28"/>
        <v>0</v>
      </c>
      <c r="F238">
        <f t="shared" si="28"/>
        <v>0</v>
      </c>
      <c r="G238">
        <f t="shared" si="28"/>
        <v>0</v>
      </c>
      <c r="H238">
        <f t="shared" si="28"/>
        <v>0</v>
      </c>
      <c r="I238">
        <f t="shared" si="28"/>
        <v>0</v>
      </c>
      <c r="J238">
        <f t="shared" si="28"/>
        <v>0</v>
      </c>
      <c r="K238">
        <f t="shared" si="28"/>
        <v>0</v>
      </c>
      <c r="L238">
        <f t="shared" si="28"/>
        <v>0</v>
      </c>
      <c r="M238">
        <f t="shared" si="28"/>
        <v>0</v>
      </c>
      <c r="N238">
        <f t="shared" si="28"/>
        <v>0</v>
      </c>
      <c r="O238">
        <f t="shared" si="28"/>
        <v>0</v>
      </c>
      <c r="P238">
        <f t="shared" si="28"/>
        <v>0</v>
      </c>
      <c r="Q238">
        <f t="shared" si="28"/>
        <v>0</v>
      </c>
      <c r="R238">
        <f t="shared" si="28"/>
        <v>0</v>
      </c>
      <c r="S238">
        <f t="shared" si="28"/>
        <v>0</v>
      </c>
      <c r="T238">
        <f t="shared" si="28"/>
        <v>0</v>
      </c>
      <c r="U238">
        <f t="shared" si="28"/>
        <v>0</v>
      </c>
      <c r="V238">
        <f t="shared" si="28"/>
        <v>0</v>
      </c>
      <c r="W238">
        <f t="shared" si="28"/>
        <v>0</v>
      </c>
      <c r="X238">
        <f t="shared" si="28"/>
        <v>0</v>
      </c>
      <c r="Y238">
        <f t="shared" si="28"/>
        <v>0</v>
      </c>
      <c r="Z238">
        <f t="shared" si="28"/>
        <v>0</v>
      </c>
      <c r="AA238">
        <f t="shared" si="28"/>
        <v>0</v>
      </c>
      <c r="AB238">
        <f t="shared" si="28"/>
        <v>0</v>
      </c>
      <c r="AC238">
        <f t="shared" si="28"/>
        <v>0</v>
      </c>
      <c r="AD238">
        <f t="shared" si="28"/>
        <v>0</v>
      </c>
      <c r="AE238">
        <f t="shared" si="28"/>
        <v>0</v>
      </c>
      <c r="AF238">
        <f t="shared" si="28"/>
        <v>0</v>
      </c>
      <c r="AG238">
        <f t="shared" si="28"/>
        <v>0</v>
      </c>
    </row>
    <row r="239" spans="1:36">
      <c r="A239" t="s">
        <v>135</v>
      </c>
      <c r="C239">
        <v>51.110900000000015</v>
      </c>
      <c r="W239">
        <v>7.0423999999999998</v>
      </c>
    </row>
    <row r="240" spans="1:36">
      <c r="A240" t="s">
        <v>134</v>
      </c>
      <c r="C240">
        <v>133.38290000000003</v>
      </c>
      <c r="F240">
        <v>4.8909999999999991</v>
      </c>
      <c r="G240">
        <v>14.565599999999998</v>
      </c>
      <c r="H240">
        <v>11.735800000000001</v>
      </c>
      <c r="I240">
        <v>26.352199999999996</v>
      </c>
      <c r="J240">
        <v>30.489599999999996</v>
      </c>
      <c r="K240">
        <v>37.299999999999997</v>
      </c>
      <c r="L240">
        <v>3.9559999999999995</v>
      </c>
      <c r="M240">
        <v>6.4012000000000002</v>
      </c>
      <c r="N240">
        <v>11.304399999999999</v>
      </c>
      <c r="O240">
        <v>2.4058000000000002</v>
      </c>
      <c r="P240">
        <v>2.4058000000000002</v>
      </c>
      <c r="Q240">
        <v>2.4058000000000002</v>
      </c>
      <c r="R240">
        <v>2.4058000000000002</v>
      </c>
      <c r="S240">
        <v>2.4058000000000002</v>
      </c>
      <c r="T240">
        <v>2.4058000000000002</v>
      </c>
      <c r="U240">
        <v>2.4058000000000002</v>
      </c>
      <c r="V240">
        <v>2.4058000000000002</v>
      </c>
      <c r="W240">
        <v>4.8116000000000003</v>
      </c>
      <c r="X240">
        <v>2.4058000000000002</v>
      </c>
      <c r="Y240">
        <v>2.1271999999999998</v>
      </c>
      <c r="Z240">
        <v>1.6850000000000001</v>
      </c>
      <c r="AA240">
        <v>1.2570000000000001</v>
      </c>
      <c r="AB240">
        <v>1.1952</v>
      </c>
    </row>
    <row r="241" spans="1:33">
      <c r="A241" s="29" t="s">
        <v>149</v>
      </c>
      <c r="W241"/>
    </row>
    <row r="242" spans="1:33">
      <c r="A242" s="42" t="s">
        <v>154</v>
      </c>
      <c r="C242">
        <v>366.3974</v>
      </c>
      <c r="D242">
        <v>366.68079999999992</v>
      </c>
      <c r="E242">
        <v>385.53290000000004</v>
      </c>
      <c r="F242">
        <v>401.48379999999997</v>
      </c>
      <c r="G242">
        <v>419.28900000000004</v>
      </c>
      <c r="H242">
        <v>438.11099999999988</v>
      </c>
      <c r="I242">
        <v>460.68769999999995</v>
      </c>
      <c r="J242">
        <v>483.5736</v>
      </c>
      <c r="K242">
        <v>505.34190000000007</v>
      </c>
      <c r="L242">
        <v>530.5821000000002</v>
      </c>
      <c r="M242">
        <v>554.09719999999993</v>
      </c>
      <c r="N242">
        <v>580.98169999999993</v>
      </c>
      <c r="O242">
        <v>609.39040000000011</v>
      </c>
      <c r="P242">
        <v>636.85979999999995</v>
      </c>
      <c r="Q242">
        <v>664.41460000000006</v>
      </c>
      <c r="R242">
        <v>682.67529999999988</v>
      </c>
      <c r="S242">
        <v>717.58569999999997</v>
      </c>
      <c r="T242">
        <v>752.48429999999996</v>
      </c>
      <c r="U242">
        <v>787.91700000000014</v>
      </c>
      <c r="V242">
        <v>823.39409999999998</v>
      </c>
      <c r="W242">
        <v>858.87669999999991</v>
      </c>
      <c r="X242">
        <v>819.01610000000016</v>
      </c>
      <c r="Y242">
        <v>817.76330000000007</v>
      </c>
      <c r="Z242">
        <v>816.59690000000001</v>
      </c>
      <c r="AA242">
        <v>815.25549999999987</v>
      </c>
      <c r="AB242">
        <v>814.85320000000013</v>
      </c>
      <c r="AC242">
        <v>817.17930000000001</v>
      </c>
      <c r="AD242">
        <v>820.5462</v>
      </c>
      <c r="AE242">
        <v>824.93730000000005</v>
      </c>
      <c r="AF242">
        <v>830.32689999999991</v>
      </c>
      <c r="AG242">
        <v>1246.8063999999999</v>
      </c>
    </row>
    <row r="243" spans="1:33">
      <c r="W243"/>
    </row>
    <row r="244" spans="1:33">
      <c r="W244"/>
    </row>
    <row r="245" spans="1:33">
      <c r="W245"/>
    </row>
    <row r="246" spans="1:33">
      <c r="W246"/>
    </row>
    <row r="247" spans="1:33">
      <c r="W247"/>
    </row>
    <row r="248" spans="1:33">
      <c r="W248"/>
    </row>
    <row r="249" spans="1:33">
      <c r="W249"/>
    </row>
    <row r="250" spans="1:33">
      <c r="W250"/>
    </row>
    <row r="251" spans="1:33">
      <c r="W251"/>
    </row>
    <row r="252" spans="1:33">
      <c r="W252"/>
    </row>
    <row r="253" spans="1:33">
      <c r="W253"/>
    </row>
    <row r="254" spans="1:33">
      <c r="W254"/>
    </row>
    <row r="255" spans="1:33">
      <c r="W255"/>
    </row>
    <row r="256" spans="1:33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4"/>
  <sheetViews>
    <sheetView zoomScale="68" workbookViewId="0">
      <selection activeCell="B2" sqref="B2:AL134"/>
    </sheetView>
  </sheetViews>
  <sheetFormatPr defaultColWidth="8.77734375" defaultRowHeight="14.4"/>
  <cols>
    <col min="2" max="2" width="28.109375" bestFit="1" customWidth="1"/>
  </cols>
  <sheetData>
    <row r="1" spans="1:38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8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  <c r="AL2">
        <v>3.9399999999999998E-2</v>
      </c>
    </row>
    <row r="3" spans="1:38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</row>
    <row r="4" spans="1:38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</row>
    <row r="5" spans="1:38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</row>
    <row r="6" spans="1:38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  <c r="AL6">
        <v>3.6200000000000003E-2</v>
      </c>
    </row>
    <row r="7" spans="1:38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0</v>
      </c>
      <c r="Y7">
        <v>1E-4</v>
      </c>
      <c r="Z7">
        <v>0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2.3E-3</v>
      </c>
    </row>
    <row r="8" spans="1:38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</row>
    <row r="9" spans="1:38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  <c r="AL9">
        <v>3.9399999999999991E-2</v>
      </c>
    </row>
    <row r="10" spans="1:38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  <c r="AL10">
        <v>4.6399999999999997E-2</v>
      </c>
    </row>
    <row r="11" spans="1:38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4.0000000000000002E-4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2.9999999999999997E-4</v>
      </c>
      <c r="Z11">
        <v>0</v>
      </c>
      <c r="AA11">
        <v>2.0000000000000001E-4</v>
      </c>
      <c r="AB11">
        <v>4.0000000000000002E-4</v>
      </c>
      <c r="AC11">
        <v>0</v>
      </c>
      <c r="AD11">
        <v>0</v>
      </c>
      <c r="AE11">
        <v>5.0000000000000001E-4</v>
      </c>
      <c r="AF11">
        <v>5.9999999999999995E-4</v>
      </c>
      <c r="AG11">
        <v>6.9999999999999999E-4</v>
      </c>
      <c r="AH11">
        <v>2.0000000000000001E-4</v>
      </c>
      <c r="AI11">
        <v>0</v>
      </c>
      <c r="AJ11">
        <v>8.9999999999999998E-4</v>
      </c>
      <c r="AL11">
        <v>4.1999999999999997E-3</v>
      </c>
    </row>
    <row r="12" spans="1:38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2.3999999999999998E-3</v>
      </c>
      <c r="I12">
        <v>2.5000000000000001E-3</v>
      </c>
      <c r="J12">
        <v>2.5999999999999999E-3</v>
      </c>
      <c r="K12">
        <v>2.5999999999999999E-3</v>
      </c>
      <c r="L12">
        <v>2.7000000000000001E-3</v>
      </c>
      <c r="M12">
        <v>2.3999999999999998E-3</v>
      </c>
      <c r="N12">
        <v>3.0000000000000001E-3</v>
      </c>
      <c r="O12">
        <v>3.0999999999999999E-3</v>
      </c>
      <c r="P12">
        <v>3.2000000000000002E-3</v>
      </c>
      <c r="Q12">
        <v>3.3E-3</v>
      </c>
      <c r="R12">
        <v>3.3999999999999998E-3</v>
      </c>
      <c r="S12">
        <v>3.5999999999999999E-3</v>
      </c>
      <c r="T12">
        <v>3.7000000000000002E-3</v>
      </c>
      <c r="U12">
        <v>3.8E-3</v>
      </c>
      <c r="V12">
        <v>4.0000000000000001E-3</v>
      </c>
      <c r="W12">
        <v>4.1000000000000003E-3</v>
      </c>
      <c r="X12">
        <v>4.3E-3</v>
      </c>
      <c r="Y12">
        <v>4.1000000000000003E-3</v>
      </c>
      <c r="Z12">
        <v>4.5999999999999999E-3</v>
      </c>
      <c r="AA12">
        <v>4.5999999999999999E-3</v>
      </c>
      <c r="AB12">
        <v>4.5999999999999999E-3</v>
      </c>
      <c r="AC12">
        <v>5.1999999999999998E-3</v>
      </c>
      <c r="AD12">
        <v>5.3E-3</v>
      </c>
      <c r="AE12">
        <v>5.0000000000000001E-3</v>
      </c>
      <c r="AF12">
        <v>5.1000000000000004E-3</v>
      </c>
      <c r="AG12">
        <v>5.1999999999999998E-3</v>
      </c>
      <c r="AH12">
        <v>6.0000000000000001E-3</v>
      </c>
      <c r="AI12">
        <v>6.4000000000000003E-3</v>
      </c>
      <c r="AJ12">
        <v>5.7000000000000002E-3</v>
      </c>
      <c r="AL12">
        <v>0.12710000000000002</v>
      </c>
    </row>
    <row r="13" spans="1:38">
      <c r="B13" s="29" t="s">
        <v>100</v>
      </c>
      <c r="C13">
        <v>2.9999999999999997E-4</v>
      </c>
      <c r="D13">
        <v>2.9999999999999997E-4</v>
      </c>
      <c r="E13">
        <v>2.0000000000000001E-4</v>
      </c>
      <c r="F13">
        <v>5.0000000000000001E-4</v>
      </c>
      <c r="G13">
        <v>2.0000000000000001E-4</v>
      </c>
      <c r="H13">
        <v>5.0000000000000001E-4</v>
      </c>
      <c r="I13">
        <v>5.0000000000000001E-4</v>
      </c>
      <c r="J13">
        <v>2.9999999999999997E-4</v>
      </c>
      <c r="K13">
        <v>5.0000000000000001E-4</v>
      </c>
      <c r="L13">
        <v>5.0000000000000001E-4</v>
      </c>
      <c r="M13">
        <v>1E-4</v>
      </c>
      <c r="N13">
        <v>5.0000000000000001E-4</v>
      </c>
      <c r="O13">
        <v>5.0000000000000001E-4</v>
      </c>
      <c r="P13">
        <v>5.0000000000000001E-4</v>
      </c>
      <c r="Q13">
        <v>5.9999999999999995E-4</v>
      </c>
      <c r="R13">
        <v>5.9999999999999995E-4</v>
      </c>
      <c r="S13">
        <v>5.9999999999999995E-4</v>
      </c>
      <c r="T13">
        <v>6.9999999999999999E-4</v>
      </c>
      <c r="U13">
        <v>6.9999999999999999E-4</v>
      </c>
      <c r="V13">
        <v>6.9999999999999999E-4</v>
      </c>
      <c r="W13">
        <v>6.9999999999999999E-4</v>
      </c>
      <c r="X13">
        <v>6.9999999999999999E-4</v>
      </c>
      <c r="Y13">
        <v>4.0000000000000002E-4</v>
      </c>
      <c r="Z13">
        <v>6.9999999999999999E-4</v>
      </c>
      <c r="AA13">
        <v>5.9999999999999995E-4</v>
      </c>
      <c r="AB13">
        <v>4.0000000000000002E-4</v>
      </c>
      <c r="AC13">
        <v>8.0000000000000004E-4</v>
      </c>
      <c r="AD13">
        <v>8.0000000000000004E-4</v>
      </c>
      <c r="AE13">
        <v>2.9999999999999997E-4</v>
      </c>
      <c r="AF13">
        <v>2.0000000000000001E-4</v>
      </c>
      <c r="AG13">
        <v>2.0000000000000001E-4</v>
      </c>
      <c r="AH13">
        <v>8.0000000000000004E-4</v>
      </c>
      <c r="AI13">
        <v>1E-3</v>
      </c>
      <c r="AJ13">
        <v>1E-4</v>
      </c>
      <c r="AL13">
        <v>1.6999999999999994E-2</v>
      </c>
    </row>
    <row r="14" spans="1:38">
      <c r="B14" s="29" t="s">
        <v>101</v>
      </c>
      <c r="C14">
        <v>1.9E-3</v>
      </c>
      <c r="D14">
        <v>1.1999999999999999E-3</v>
      </c>
      <c r="E14">
        <v>1.2999999999999999E-3</v>
      </c>
      <c r="F14">
        <v>1.1999999999999999E-3</v>
      </c>
      <c r="G14">
        <v>1.5E-3</v>
      </c>
      <c r="H14">
        <v>1.2999999999999999E-3</v>
      </c>
      <c r="I14">
        <v>1.4E-3</v>
      </c>
      <c r="J14">
        <v>1.6999999999999999E-3</v>
      </c>
      <c r="K14">
        <v>1.6000000000000001E-3</v>
      </c>
      <c r="L14">
        <v>1.6999999999999999E-3</v>
      </c>
      <c r="M14">
        <v>2.0999999999999999E-3</v>
      </c>
      <c r="N14">
        <v>1.8E-3</v>
      </c>
      <c r="O14">
        <v>1.9E-3</v>
      </c>
      <c r="P14">
        <v>2.0999999999999999E-3</v>
      </c>
      <c r="Q14">
        <v>2.0999999999999999E-3</v>
      </c>
      <c r="R14">
        <v>2.2000000000000001E-3</v>
      </c>
      <c r="S14">
        <v>2.3E-3</v>
      </c>
      <c r="T14">
        <v>2.5999999999999999E-3</v>
      </c>
      <c r="U14">
        <v>2.7000000000000001E-3</v>
      </c>
      <c r="V14">
        <v>2.8999999999999998E-3</v>
      </c>
      <c r="W14">
        <v>2.5999999999999999E-3</v>
      </c>
      <c r="X14">
        <v>2.2000000000000001E-3</v>
      </c>
      <c r="Y14">
        <v>2.3999999999999998E-3</v>
      </c>
      <c r="Z14">
        <v>2.0999999999999999E-3</v>
      </c>
      <c r="AA14">
        <v>2.2000000000000001E-3</v>
      </c>
      <c r="AB14">
        <v>2.3999999999999998E-3</v>
      </c>
      <c r="AC14">
        <v>2E-3</v>
      </c>
      <c r="AD14">
        <v>2E-3</v>
      </c>
      <c r="AE14">
        <v>2.5000000000000001E-3</v>
      </c>
      <c r="AF14">
        <v>2.5999999999999999E-3</v>
      </c>
      <c r="AG14">
        <v>3.8999999999999998E-3</v>
      </c>
      <c r="AH14">
        <v>3.5000000000000001E-3</v>
      </c>
      <c r="AI14">
        <v>3.3E-3</v>
      </c>
      <c r="AJ14">
        <v>4.3E-3</v>
      </c>
      <c r="AL14">
        <v>7.5499999999999998E-2</v>
      </c>
    </row>
    <row r="15" spans="1:38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2.3699999999999999E-2</v>
      </c>
    </row>
    <row r="16" spans="1:38">
      <c r="B16" s="29" t="s">
        <v>103</v>
      </c>
      <c r="C16">
        <v>0</v>
      </c>
      <c r="D16">
        <v>2.41E-2</v>
      </c>
      <c r="E16">
        <v>2.4400000000000002E-2</v>
      </c>
      <c r="F16">
        <v>2.5000000000000001E-2</v>
      </c>
      <c r="G16">
        <v>2.5499999999999998E-2</v>
      </c>
      <c r="H16">
        <v>2.5899999999999999E-2</v>
      </c>
      <c r="I16">
        <v>2.6200000000000001E-2</v>
      </c>
      <c r="J16">
        <v>2.6599999999999999E-2</v>
      </c>
      <c r="K16">
        <v>2.7099999999999999E-2</v>
      </c>
      <c r="L16">
        <v>2.7199999999999998E-2</v>
      </c>
      <c r="M16">
        <v>2.75E-2</v>
      </c>
      <c r="N16">
        <v>2.7900000000000001E-2</v>
      </c>
      <c r="O16">
        <v>2.8199999999999999E-2</v>
      </c>
      <c r="P16">
        <v>2.8500000000000001E-2</v>
      </c>
      <c r="Q16">
        <v>2.8799999999999999E-2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  <c r="AL16">
        <v>0.98750000000000004</v>
      </c>
    </row>
    <row r="17" spans="2:38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1E-3</v>
      </c>
      <c r="G17">
        <v>8.9999999999999998E-4</v>
      </c>
      <c r="H17">
        <v>8.9999999999999998E-4</v>
      </c>
      <c r="I17">
        <v>8.0000000000000004E-4</v>
      </c>
      <c r="J17">
        <v>8.0000000000000004E-4</v>
      </c>
      <c r="K17">
        <v>6.9999999999999999E-4</v>
      </c>
      <c r="L17">
        <v>8.0000000000000004E-4</v>
      </c>
      <c r="M17">
        <v>8.9999999999999998E-4</v>
      </c>
      <c r="N17">
        <v>8.0000000000000004E-4</v>
      </c>
      <c r="O17">
        <v>8.9999999999999998E-4</v>
      </c>
      <c r="P17">
        <v>8.9999999999999998E-4</v>
      </c>
      <c r="Q17">
        <v>8.9999999999999998E-4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1.3899999999999999E-2</v>
      </c>
    </row>
    <row r="18" spans="2:38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</row>
    <row r="19" spans="2:38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</row>
    <row r="20" spans="2:38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  <c r="AL20">
        <v>0.99739999999999984</v>
      </c>
    </row>
    <row r="21" spans="2:38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1.5E-3</v>
      </c>
    </row>
    <row r="22" spans="2:38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</row>
    <row r="23" spans="2:38">
      <c r="B23" s="29" t="s">
        <v>110</v>
      </c>
      <c r="C23">
        <v>3.7000000000000002E-3</v>
      </c>
      <c r="D23">
        <v>1.06E-2</v>
      </c>
      <c r="E23">
        <v>1.0800000000000001E-2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  <c r="AL23">
        <v>0.51139999999999997</v>
      </c>
    </row>
    <row r="24" spans="2:38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</row>
    <row r="25" spans="2:38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</row>
    <row r="26" spans="2:38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1E-4</v>
      </c>
    </row>
    <row r="27" spans="2:38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</row>
    <row r="28" spans="2:38">
      <c r="B28" s="29" t="s">
        <v>115</v>
      </c>
      <c r="C28">
        <v>5.1000000000000004E-3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5.1000000000000004E-3</v>
      </c>
    </row>
    <row r="29" spans="2:38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1.5E-3</v>
      </c>
    </row>
    <row r="30" spans="2:38">
      <c r="B30" s="29" t="s">
        <v>117</v>
      </c>
      <c r="C30">
        <v>3.7000000000000002E-3</v>
      </c>
      <c r="D30">
        <v>1.06E-2</v>
      </c>
      <c r="E30">
        <v>1.0800000000000001E-2</v>
      </c>
      <c r="F30">
        <v>1.11E-2</v>
      </c>
      <c r="G30">
        <v>1.1299999999999999E-2</v>
      </c>
      <c r="H30">
        <v>1.15E-2</v>
      </c>
      <c r="I30">
        <v>1.18E-2</v>
      </c>
      <c r="J30">
        <v>1.2E-2</v>
      </c>
      <c r="K30">
        <v>1.23E-2</v>
      </c>
      <c r="L30">
        <v>1.26E-2</v>
      </c>
      <c r="M30">
        <v>1.2800000000000001E-2</v>
      </c>
      <c r="N30">
        <v>1.3100000000000001E-2</v>
      </c>
      <c r="O30">
        <v>1.34E-2</v>
      </c>
      <c r="P30">
        <v>1.37E-2</v>
      </c>
      <c r="Q30">
        <v>1.4E-2</v>
      </c>
      <c r="R30">
        <v>1.4200000000000001E-2</v>
      </c>
      <c r="S30">
        <v>1.46E-2</v>
      </c>
      <c r="T30">
        <v>1.49E-2</v>
      </c>
      <c r="U30">
        <v>1.5299999999999999E-2</v>
      </c>
      <c r="V30">
        <v>1.5599999999999999E-2</v>
      </c>
      <c r="W30">
        <v>1.6E-2</v>
      </c>
      <c r="X30">
        <v>1.6400000000000001E-2</v>
      </c>
      <c r="Y30">
        <v>1.6799999999999999E-2</v>
      </c>
      <c r="Z30">
        <v>1.72E-2</v>
      </c>
      <c r="AA30">
        <v>1.7600000000000001E-2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  <c r="AL30">
        <v>0.51139999999999997</v>
      </c>
    </row>
    <row r="31" spans="2:38"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</row>
    <row r="32" spans="2:38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</row>
    <row r="33" spans="2:38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1E-4</v>
      </c>
    </row>
    <row r="34" spans="2:38">
      <c r="B34" s="29" t="s">
        <v>121</v>
      </c>
      <c r="C34">
        <v>5.1000000000000004E-3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5.1000000000000004E-3</v>
      </c>
    </row>
    <row r="35" spans="2:38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  <c r="AL35">
        <v>1.0355999999999999</v>
      </c>
    </row>
    <row r="36" spans="2:38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6.7999999999999996E-3</v>
      </c>
      <c r="Q36">
        <v>6.8999999999999999E-3</v>
      </c>
      <c r="R36">
        <v>7.1000000000000004E-3</v>
      </c>
      <c r="S36">
        <v>7.3000000000000001E-3</v>
      </c>
      <c r="T36">
        <v>7.4999999999999997E-3</v>
      </c>
      <c r="U36">
        <v>7.7999999999999996E-3</v>
      </c>
      <c r="V36">
        <v>8.0000000000000002E-3</v>
      </c>
      <c r="W36">
        <v>7.9000000000000008E-3</v>
      </c>
      <c r="X36">
        <v>7.7000000000000002E-3</v>
      </c>
      <c r="Y36">
        <v>7.7999999999999996E-3</v>
      </c>
      <c r="Z36">
        <v>7.9000000000000008E-3</v>
      </c>
      <c r="AA36">
        <v>8.0000000000000002E-3</v>
      </c>
      <c r="AB36">
        <v>8.2000000000000007E-3</v>
      </c>
      <c r="AC36">
        <v>8.3000000000000001E-3</v>
      </c>
      <c r="AD36">
        <v>8.3999999999999995E-3</v>
      </c>
      <c r="AE36">
        <v>8.5000000000000006E-3</v>
      </c>
      <c r="AF36">
        <v>8.6999999999999994E-3</v>
      </c>
      <c r="AG36">
        <v>9.7000000000000003E-3</v>
      </c>
      <c r="AH36">
        <v>9.9000000000000008E-3</v>
      </c>
      <c r="AI36">
        <v>1.01E-2</v>
      </c>
      <c r="AJ36">
        <v>1.04E-2</v>
      </c>
      <c r="AL36">
        <v>4.5066999999999986</v>
      </c>
    </row>
    <row r="37" spans="2:38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  <c r="AL37">
        <v>4.8984000000000014</v>
      </c>
    </row>
    <row r="38" spans="2:38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</row>
    <row r="39" spans="2:38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  <c r="AL39">
        <v>-85076.701999999845</v>
      </c>
    </row>
    <row r="40" spans="2:38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</row>
    <row r="41" spans="2:38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  <c r="AL41">
        <v>6.7999999999999962E-3</v>
      </c>
    </row>
    <row r="42" spans="2:38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1.1999999999999999E-3</v>
      </c>
      <c r="Q42">
        <v>1.2999999999999999E-3</v>
      </c>
      <c r="R42">
        <v>1.5E-3</v>
      </c>
      <c r="S42">
        <v>1.6999999999999999E-3</v>
      </c>
      <c r="T42">
        <v>1.9E-3</v>
      </c>
      <c r="U42">
        <v>2.0999999999999999E-3</v>
      </c>
      <c r="V42">
        <v>2.3E-3</v>
      </c>
      <c r="W42">
        <v>2.2000000000000001E-3</v>
      </c>
      <c r="X42">
        <v>2E-3</v>
      </c>
      <c r="Y42">
        <v>2.0999999999999999E-3</v>
      </c>
      <c r="Z42">
        <v>2.2000000000000001E-3</v>
      </c>
      <c r="AA42">
        <v>2.2000000000000001E-3</v>
      </c>
      <c r="AB42">
        <v>2.3999999999999998E-3</v>
      </c>
      <c r="AC42">
        <v>2.5000000000000001E-3</v>
      </c>
      <c r="AD42">
        <v>2.5999999999999999E-3</v>
      </c>
      <c r="AE42">
        <v>2.7000000000000001E-3</v>
      </c>
      <c r="AF42">
        <v>2.8E-3</v>
      </c>
      <c r="AG42">
        <v>3.7000000000000002E-3</v>
      </c>
      <c r="AH42">
        <v>3.8999999999999998E-3</v>
      </c>
      <c r="AI42">
        <v>4.1000000000000003E-3</v>
      </c>
      <c r="AJ42">
        <v>4.3E-3</v>
      </c>
      <c r="AL42">
        <v>20.772700000000015</v>
      </c>
    </row>
    <row r="43" spans="2:38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1.6E-2</v>
      </c>
      <c r="Q43">
        <v>1.6299999999999999E-2</v>
      </c>
      <c r="R43">
        <v>1.66E-2</v>
      </c>
      <c r="S43">
        <v>1.7100000000000001E-2</v>
      </c>
      <c r="T43">
        <v>1.77E-2</v>
      </c>
      <c r="U43">
        <v>1.8200000000000001E-2</v>
      </c>
      <c r="V43">
        <v>1.8700000000000001E-2</v>
      </c>
      <c r="W43">
        <v>1.8599999999999998E-2</v>
      </c>
      <c r="X43">
        <v>1.8100000000000002E-2</v>
      </c>
      <c r="Y43">
        <v>1.83E-2</v>
      </c>
      <c r="Z43">
        <v>1.8599999999999998E-2</v>
      </c>
      <c r="AA43">
        <v>1.89E-2</v>
      </c>
      <c r="AB43">
        <v>1.9199999999999998E-2</v>
      </c>
      <c r="AC43">
        <v>1.9400000000000001E-2</v>
      </c>
      <c r="AD43">
        <v>1.9800000000000002E-2</v>
      </c>
      <c r="AE43">
        <v>2.01E-2</v>
      </c>
      <c r="AF43">
        <v>2.0400000000000001E-2</v>
      </c>
      <c r="AG43">
        <v>2.2700000000000001E-2</v>
      </c>
      <c r="AH43">
        <v>2.3199999999999998E-2</v>
      </c>
      <c r="AI43">
        <v>2.3800000000000002E-2</v>
      </c>
      <c r="AJ43">
        <v>2.4299999999999999E-2</v>
      </c>
      <c r="AL43">
        <v>10.590199999999994</v>
      </c>
    </row>
    <row r="44" spans="2:38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</row>
    <row r="45" spans="2:38">
      <c r="B45" s="29" t="s">
        <v>132</v>
      </c>
      <c r="C45">
        <v>4.0000000000000002E-4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2.9999999999999997E-4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6.9999999999999999E-4</v>
      </c>
    </row>
    <row r="46" spans="2:38">
      <c r="B46" s="29" t="s">
        <v>133</v>
      </c>
      <c r="C46">
        <v>2.0899999999999998E-2</v>
      </c>
      <c r="D46">
        <v>2.6700000000000002E-2</v>
      </c>
      <c r="E46">
        <v>2.5999999999999999E-2</v>
      </c>
      <c r="F46">
        <v>2.8199999999999999E-2</v>
      </c>
      <c r="G46">
        <v>2.7E-2</v>
      </c>
      <c r="H46">
        <v>2.8000000000000001E-2</v>
      </c>
      <c r="I46">
        <v>2.9499999999999998E-2</v>
      </c>
      <c r="J46">
        <v>2.9499999999999998E-2</v>
      </c>
      <c r="K46">
        <v>2.98E-2</v>
      </c>
      <c r="L46">
        <v>2.4400000000000002E-2</v>
      </c>
      <c r="M46">
        <v>2.06E-2</v>
      </c>
      <c r="N46">
        <v>2.0799999999999999E-2</v>
      </c>
      <c r="O46">
        <v>1.83E-2</v>
      </c>
      <c r="P46">
        <v>1.8100000000000002E-2</v>
      </c>
      <c r="Q46">
        <v>1.6799999999999999E-2</v>
      </c>
      <c r="R46">
        <v>1.55E-2</v>
      </c>
      <c r="S46">
        <v>1.32E-2</v>
      </c>
      <c r="T46">
        <v>1.2699999999999999E-2</v>
      </c>
      <c r="U46">
        <v>1.09E-2</v>
      </c>
      <c r="V46">
        <v>8.8000000000000005E-3</v>
      </c>
      <c r="W46">
        <v>8.9999999999999993E-3</v>
      </c>
      <c r="X46">
        <v>7.4000000000000003E-3</v>
      </c>
      <c r="Y46">
        <v>7.4000000000000003E-3</v>
      </c>
      <c r="Z46">
        <v>7.3000000000000001E-3</v>
      </c>
      <c r="AA46">
        <v>7.3000000000000001E-3</v>
      </c>
      <c r="AB46">
        <v>7.3000000000000001E-3</v>
      </c>
      <c r="AC46">
        <v>8.0000000000000002E-3</v>
      </c>
      <c r="AD46">
        <v>8.9999999999999993E-3</v>
      </c>
      <c r="AE46">
        <v>9.1999999999999998E-3</v>
      </c>
      <c r="AF46">
        <v>9.7000000000000003E-3</v>
      </c>
      <c r="AG46">
        <v>8.2000000000000007E-3</v>
      </c>
      <c r="AH46">
        <v>8.0999999999999996E-3</v>
      </c>
      <c r="AI46">
        <v>9.2999999999999992E-3</v>
      </c>
      <c r="AJ46">
        <v>8.0000000000000002E-3</v>
      </c>
      <c r="AL46">
        <v>0.54089999999999983</v>
      </c>
    </row>
    <row r="47" spans="2:38">
      <c r="B47" s="29" t="s">
        <v>134</v>
      </c>
      <c r="C47">
        <v>7.0000000000000001E-3</v>
      </c>
      <c r="D47">
        <v>0</v>
      </c>
      <c r="E47">
        <v>0</v>
      </c>
      <c r="F47">
        <v>2.9999999999999997E-4</v>
      </c>
      <c r="G47">
        <v>8.0000000000000004E-4</v>
      </c>
      <c r="H47">
        <v>5.9999999999999995E-4</v>
      </c>
      <c r="I47">
        <v>1.4E-3</v>
      </c>
      <c r="J47">
        <v>1.6000000000000001E-3</v>
      </c>
      <c r="K47">
        <v>2E-3</v>
      </c>
      <c r="L47">
        <v>2.0000000000000001E-4</v>
      </c>
      <c r="M47">
        <v>2.9999999999999997E-4</v>
      </c>
      <c r="N47">
        <v>5.9999999999999995E-4</v>
      </c>
      <c r="O47">
        <v>1E-4</v>
      </c>
      <c r="P47">
        <v>1E-4</v>
      </c>
      <c r="Q47">
        <v>1E-4</v>
      </c>
      <c r="R47">
        <v>1E-4</v>
      </c>
      <c r="S47">
        <v>1E-4</v>
      </c>
      <c r="T47">
        <v>1E-4</v>
      </c>
      <c r="U47">
        <v>1E-4</v>
      </c>
      <c r="V47">
        <v>1E-4</v>
      </c>
      <c r="W47">
        <v>2.9999999999999997E-4</v>
      </c>
      <c r="X47">
        <v>1E-4</v>
      </c>
      <c r="Y47">
        <v>1E-4</v>
      </c>
      <c r="Z47">
        <v>1E-4</v>
      </c>
      <c r="AA47">
        <v>1E-4</v>
      </c>
      <c r="AB47">
        <v>1E-4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1.6399999999999994E-2</v>
      </c>
    </row>
    <row r="48" spans="2:38">
      <c r="B48" s="29" t="s">
        <v>135</v>
      </c>
      <c r="C48">
        <v>8.9999999999999998E-4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1E-4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1E-3</v>
      </c>
    </row>
    <row r="49" spans="2:38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</row>
    <row r="50" spans="2:38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</row>
    <row r="51" spans="2:38">
      <c r="B51" s="29" t="s">
        <v>138</v>
      </c>
      <c r="C51">
        <v>3.8999999999999998E-3</v>
      </c>
      <c r="D51">
        <v>4.0000000000000001E-3</v>
      </c>
      <c r="E51">
        <v>4.0000000000000001E-3</v>
      </c>
      <c r="F51">
        <v>3.0000000000000001E-3</v>
      </c>
      <c r="G51">
        <v>3.0000000000000001E-3</v>
      </c>
      <c r="H51">
        <v>3.0999999999999999E-3</v>
      </c>
      <c r="I51">
        <v>3.0999999999999999E-3</v>
      </c>
      <c r="J51">
        <v>3.0999999999999999E-3</v>
      </c>
      <c r="K51">
        <v>3.0999999999999999E-3</v>
      </c>
      <c r="L51">
        <v>3.0999999999999999E-3</v>
      </c>
      <c r="M51">
        <v>3.0999999999999999E-3</v>
      </c>
      <c r="N51">
        <v>3.0999999999999999E-3</v>
      </c>
      <c r="O51">
        <v>3.0999999999999999E-3</v>
      </c>
      <c r="P51">
        <v>2.5999999999999999E-3</v>
      </c>
      <c r="Q51">
        <v>2.5999999999999999E-3</v>
      </c>
      <c r="R51">
        <v>2.5999999999999999E-3</v>
      </c>
      <c r="S51">
        <v>2.3E-3</v>
      </c>
      <c r="T51">
        <v>4.0000000000000002E-4</v>
      </c>
      <c r="U51">
        <v>4.0000000000000002E-4</v>
      </c>
      <c r="V51">
        <v>4.0000000000000002E-4</v>
      </c>
      <c r="W51">
        <v>4.0000000000000002E-4</v>
      </c>
      <c r="X51">
        <v>4.0000000000000002E-4</v>
      </c>
      <c r="Y51">
        <v>4.0000000000000002E-4</v>
      </c>
      <c r="Z51">
        <v>4.0000000000000002E-4</v>
      </c>
      <c r="AA51">
        <v>4.0000000000000002E-4</v>
      </c>
      <c r="AB51">
        <v>4.0000000000000002E-4</v>
      </c>
      <c r="AC51">
        <v>4.0000000000000002E-4</v>
      </c>
      <c r="AD51">
        <v>4.0000000000000002E-4</v>
      </c>
      <c r="AE51">
        <v>4.0000000000000002E-4</v>
      </c>
      <c r="AF51">
        <v>4.0000000000000002E-4</v>
      </c>
      <c r="AG51">
        <v>4.0000000000000002E-4</v>
      </c>
      <c r="AH51">
        <v>4.0000000000000002E-4</v>
      </c>
      <c r="AI51">
        <v>4.0000000000000002E-4</v>
      </c>
      <c r="AJ51">
        <v>4.0000000000000002E-4</v>
      </c>
      <c r="AL51">
        <v>5.9599999999999945E-2</v>
      </c>
    </row>
    <row r="52" spans="2:38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</row>
    <row r="53" spans="2:38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</row>
    <row r="54" spans="2:38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</row>
    <row r="55" spans="2:38">
      <c r="B55" s="29" t="s">
        <v>142</v>
      </c>
      <c r="C55">
        <v>0</v>
      </c>
      <c r="D55">
        <v>2.3E-3</v>
      </c>
      <c r="E55">
        <v>4.7000000000000002E-3</v>
      </c>
      <c r="F55">
        <v>4.7000000000000002E-3</v>
      </c>
      <c r="G55">
        <v>6.6E-3</v>
      </c>
      <c r="H55">
        <v>6.6E-3</v>
      </c>
      <c r="I55">
        <v>6.6E-3</v>
      </c>
      <c r="J55">
        <v>8.6999999999999994E-3</v>
      </c>
      <c r="K55">
        <v>1.0200000000000001E-2</v>
      </c>
      <c r="L55">
        <v>2.01E-2</v>
      </c>
      <c r="M55">
        <v>2.1999999999999999E-2</v>
      </c>
      <c r="N55">
        <v>2.4199999999999999E-2</v>
      </c>
      <c r="O55">
        <v>3.0099999999999998E-2</v>
      </c>
      <c r="P55">
        <v>3.3500000000000002E-2</v>
      </c>
      <c r="Q55">
        <v>3.6299999999999999E-2</v>
      </c>
      <c r="R55">
        <v>3.95E-2</v>
      </c>
      <c r="S55">
        <v>4.5600000000000002E-2</v>
      </c>
      <c r="T55">
        <v>5.16E-2</v>
      </c>
      <c r="U55">
        <v>5.6899999999999999E-2</v>
      </c>
      <c r="V55">
        <v>6.2199999999999998E-2</v>
      </c>
      <c r="W55">
        <v>4.99E-2</v>
      </c>
      <c r="X55">
        <v>4.8399999999999999E-2</v>
      </c>
      <c r="Y55">
        <v>4.8399999999999999E-2</v>
      </c>
      <c r="Z55">
        <v>4.8300000000000003E-2</v>
      </c>
      <c r="AA55">
        <v>4.8300000000000003E-2</v>
      </c>
      <c r="AB55">
        <v>4.8300000000000003E-2</v>
      </c>
      <c r="AC55">
        <v>4.7E-2</v>
      </c>
      <c r="AD55">
        <v>4.5600000000000002E-2</v>
      </c>
      <c r="AE55">
        <v>4.5699999999999998E-2</v>
      </c>
      <c r="AF55">
        <v>4.5199999999999997E-2</v>
      </c>
      <c r="AG55">
        <v>7.1300000000000002E-2</v>
      </c>
      <c r="AH55">
        <v>7.3400000000000007E-2</v>
      </c>
      <c r="AI55">
        <v>7.3300000000000004E-2</v>
      </c>
      <c r="AJ55">
        <v>7.6899999999999996E-2</v>
      </c>
      <c r="AL55">
        <v>1.2423999999999997</v>
      </c>
    </row>
    <row r="56" spans="2:38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</row>
    <row r="57" spans="2:38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</row>
    <row r="58" spans="2:38">
      <c r="B58" s="29" t="s">
        <v>145</v>
      </c>
      <c r="C58">
        <v>2.5999999999999999E-3</v>
      </c>
      <c r="D58">
        <v>2.5999999999999999E-3</v>
      </c>
      <c r="E58">
        <v>2.5999999999999999E-3</v>
      </c>
      <c r="F58">
        <v>2.5999999999999999E-3</v>
      </c>
      <c r="G58">
        <v>2.5999999999999999E-3</v>
      </c>
      <c r="H58">
        <v>2.5999999999999999E-3</v>
      </c>
      <c r="I58">
        <v>2.5999999999999999E-3</v>
      </c>
      <c r="J58">
        <v>2.5999999999999999E-3</v>
      </c>
      <c r="K58">
        <v>2.5999999999999999E-3</v>
      </c>
      <c r="L58">
        <v>2.5999999999999999E-3</v>
      </c>
      <c r="M58">
        <v>2.5999999999999999E-3</v>
      </c>
      <c r="N58">
        <v>2.5999999999999999E-3</v>
      </c>
      <c r="O58">
        <v>2.5999999999999999E-3</v>
      </c>
      <c r="P58">
        <v>2.5999999999999999E-3</v>
      </c>
      <c r="Q58">
        <v>2.5999999999999999E-3</v>
      </c>
      <c r="R58">
        <v>2.5999999999999999E-3</v>
      </c>
      <c r="S58">
        <v>2.5999999999999999E-3</v>
      </c>
      <c r="T58">
        <v>2.5999999999999999E-3</v>
      </c>
      <c r="U58">
        <v>2.5999999999999999E-3</v>
      </c>
      <c r="V58">
        <v>2.5999999999999999E-3</v>
      </c>
      <c r="W58">
        <v>2.5999999999999999E-3</v>
      </c>
      <c r="X58">
        <v>2.5999999999999999E-3</v>
      </c>
      <c r="Y58">
        <v>2.5999999999999999E-3</v>
      </c>
      <c r="Z58">
        <v>2.5999999999999999E-3</v>
      </c>
      <c r="AA58">
        <v>2.5999999999999999E-3</v>
      </c>
      <c r="AB58">
        <v>2.5999999999999999E-3</v>
      </c>
      <c r="AC58">
        <v>2.5999999999999999E-3</v>
      </c>
      <c r="AD58">
        <v>2.5999999999999999E-3</v>
      </c>
      <c r="AE58">
        <v>2.5999999999999999E-3</v>
      </c>
      <c r="AF58">
        <v>2.5999999999999999E-3</v>
      </c>
      <c r="AG58">
        <v>2.3999999999999998E-3</v>
      </c>
      <c r="AH58">
        <v>2.5999999999999999E-3</v>
      </c>
      <c r="AI58">
        <v>2.5999999999999999E-3</v>
      </c>
      <c r="AJ58">
        <v>2.5999999999999999E-3</v>
      </c>
      <c r="AL58">
        <v>8.8200000000000014E-2</v>
      </c>
    </row>
    <row r="59" spans="2:38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8.0000000000000004E-4</v>
      </c>
      <c r="I59">
        <v>8.0000000000000004E-4</v>
      </c>
      <c r="J59">
        <v>8.0000000000000004E-4</v>
      </c>
      <c r="K59">
        <v>8.0000000000000004E-4</v>
      </c>
      <c r="L59">
        <v>5.9999999999999995E-4</v>
      </c>
      <c r="M59">
        <v>5.9999999999999995E-4</v>
      </c>
      <c r="N59">
        <v>5.9999999999999995E-4</v>
      </c>
      <c r="O59">
        <v>4.0000000000000002E-4</v>
      </c>
      <c r="P59">
        <v>5.0000000000000001E-4</v>
      </c>
      <c r="Q59">
        <v>4.0000000000000002E-4</v>
      </c>
      <c r="R59">
        <v>4.0000000000000002E-4</v>
      </c>
      <c r="S59">
        <v>2.9999999999999997E-4</v>
      </c>
      <c r="T59">
        <v>2.9999999999999997E-4</v>
      </c>
      <c r="U59">
        <v>4.0000000000000002E-4</v>
      </c>
      <c r="V59">
        <v>8.9999999999999998E-4</v>
      </c>
      <c r="W59">
        <v>1.2999999999999999E-3</v>
      </c>
      <c r="X59">
        <v>8.0000000000000004E-4</v>
      </c>
      <c r="Y59">
        <v>8.0000000000000004E-4</v>
      </c>
      <c r="Z59">
        <v>8.0000000000000004E-4</v>
      </c>
      <c r="AA59">
        <v>6.9999999999999999E-4</v>
      </c>
      <c r="AB59">
        <v>6.9999999999999999E-4</v>
      </c>
      <c r="AC59">
        <v>1.5E-3</v>
      </c>
      <c r="AD59">
        <v>2E-3</v>
      </c>
      <c r="AE59">
        <v>2.0999999999999999E-3</v>
      </c>
      <c r="AF59">
        <v>2.3999999999999998E-3</v>
      </c>
      <c r="AG59">
        <v>4.7999999999999996E-3</v>
      </c>
      <c r="AH59">
        <v>5.3E-3</v>
      </c>
      <c r="AI59">
        <v>6.7999999999999996E-3</v>
      </c>
      <c r="AJ59">
        <v>7.0000000000000001E-3</v>
      </c>
      <c r="AL59">
        <v>4.5600000000000002E-2</v>
      </c>
    </row>
    <row r="60" spans="2:38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</row>
    <row r="61" spans="2:38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</row>
    <row r="62" spans="2:38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</row>
    <row r="63" spans="2:38">
      <c r="B63" s="29" t="s">
        <v>150</v>
      </c>
      <c r="C63">
        <v>5.0000000000000001E-4</v>
      </c>
      <c r="D63">
        <v>6.9999999999999999E-4</v>
      </c>
      <c r="E63">
        <v>8.9999999999999998E-4</v>
      </c>
      <c r="F63">
        <v>1E-3</v>
      </c>
      <c r="G63">
        <v>1.6000000000000001E-3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5.8999999999999999E-3</v>
      </c>
      <c r="N63">
        <v>5.8999999999999999E-3</v>
      </c>
      <c r="O63">
        <v>5.8999999999999999E-3</v>
      </c>
      <c r="P63">
        <v>5.8999999999999999E-3</v>
      </c>
      <c r="Q63">
        <v>7.1999999999999998E-3</v>
      </c>
      <c r="R63">
        <v>7.1999999999999998E-3</v>
      </c>
      <c r="S63">
        <v>7.1999999999999998E-3</v>
      </c>
      <c r="T63">
        <v>7.1999999999999998E-3</v>
      </c>
      <c r="U63">
        <v>7.1999999999999998E-3</v>
      </c>
      <c r="V63">
        <v>7.1999999999999998E-3</v>
      </c>
      <c r="W63">
        <v>2.1999999999999999E-2</v>
      </c>
      <c r="X63">
        <v>2.1999999999999999E-2</v>
      </c>
      <c r="Y63">
        <v>2.1999999999999999E-2</v>
      </c>
      <c r="Z63">
        <v>2.1999999999999999E-2</v>
      </c>
      <c r="AA63">
        <v>2.1999999999999999E-2</v>
      </c>
      <c r="AB63">
        <v>2.2100000000000002E-2</v>
      </c>
      <c r="AC63">
        <v>2.2200000000000001E-2</v>
      </c>
      <c r="AD63">
        <v>2.24E-2</v>
      </c>
      <c r="AE63">
        <v>2.2499999999999999E-2</v>
      </c>
      <c r="AF63">
        <v>2.2700000000000001E-2</v>
      </c>
      <c r="AG63">
        <v>3.7699999999999997E-2</v>
      </c>
      <c r="AH63">
        <v>3.85E-2</v>
      </c>
      <c r="AI63">
        <v>3.9600000000000003E-2</v>
      </c>
      <c r="AJ63">
        <v>4.0800000000000003E-2</v>
      </c>
      <c r="AL63">
        <v>0.45849999999999996</v>
      </c>
    </row>
    <row r="64" spans="2:38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</row>
    <row r="65" spans="2:38">
      <c r="B65" s="29" t="s">
        <v>152</v>
      </c>
      <c r="C65">
        <v>4.0000000000000002E-4</v>
      </c>
      <c r="D65">
        <v>4.0000000000000002E-4</v>
      </c>
      <c r="E65">
        <v>4.0000000000000002E-4</v>
      </c>
      <c r="F65">
        <v>4.0000000000000002E-4</v>
      </c>
      <c r="G65">
        <v>4.0000000000000002E-4</v>
      </c>
      <c r="H65">
        <v>4.0000000000000002E-4</v>
      </c>
      <c r="I65">
        <v>4.0000000000000002E-4</v>
      </c>
      <c r="J65">
        <v>4.0000000000000002E-4</v>
      </c>
      <c r="K65">
        <v>4.0000000000000002E-4</v>
      </c>
      <c r="L65">
        <v>4.0000000000000002E-4</v>
      </c>
      <c r="M65">
        <v>4.0000000000000002E-4</v>
      </c>
      <c r="N65">
        <v>4.0000000000000002E-4</v>
      </c>
      <c r="O65">
        <v>4.0000000000000002E-4</v>
      </c>
      <c r="P65">
        <v>4.0000000000000002E-4</v>
      </c>
      <c r="Q65">
        <v>4.0000000000000002E-4</v>
      </c>
      <c r="R65">
        <v>4.0000000000000002E-4</v>
      </c>
      <c r="S65">
        <v>4.0000000000000002E-4</v>
      </c>
      <c r="T65">
        <v>4.0000000000000002E-4</v>
      </c>
      <c r="U65">
        <v>4.0000000000000002E-4</v>
      </c>
      <c r="V65">
        <v>2.0000000000000001E-4</v>
      </c>
      <c r="W65">
        <v>1E-4</v>
      </c>
      <c r="X65">
        <v>1E-4</v>
      </c>
      <c r="Y65">
        <v>1E-4</v>
      </c>
      <c r="Z65">
        <v>1E-4</v>
      </c>
      <c r="AA65">
        <v>1E-4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8.3000000000000001E-3</v>
      </c>
    </row>
    <row r="66" spans="2:38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</row>
    <row r="67" spans="2:38" s="5" customFormat="1">
      <c r="B67" s="29" t="s">
        <v>154</v>
      </c>
      <c r="C67">
        <v>0.03</v>
      </c>
      <c r="D67">
        <v>0.03</v>
      </c>
      <c r="E67">
        <v>3.15E-2</v>
      </c>
      <c r="F67">
        <v>3.2800000000000003E-2</v>
      </c>
      <c r="G67">
        <v>3.4299999999999997E-2</v>
      </c>
      <c r="H67">
        <v>3.5799999999999998E-2</v>
      </c>
      <c r="I67">
        <v>3.7699999999999997E-2</v>
      </c>
      <c r="J67">
        <v>3.9600000000000003E-2</v>
      </c>
      <c r="K67">
        <v>4.1300000000000003E-2</v>
      </c>
      <c r="L67">
        <v>4.3400000000000001E-2</v>
      </c>
      <c r="M67">
        <v>4.53E-2</v>
      </c>
      <c r="N67">
        <v>4.7500000000000001E-2</v>
      </c>
      <c r="O67">
        <v>4.99E-2</v>
      </c>
      <c r="P67">
        <v>5.21E-2</v>
      </c>
      <c r="Q67">
        <v>5.4399999999999997E-2</v>
      </c>
      <c r="R67">
        <v>5.5899999999999998E-2</v>
      </c>
      <c r="S67">
        <v>5.8700000000000002E-2</v>
      </c>
      <c r="T67">
        <v>6.1600000000000002E-2</v>
      </c>
      <c r="U67">
        <v>6.4500000000000002E-2</v>
      </c>
      <c r="V67">
        <v>6.7400000000000002E-2</v>
      </c>
      <c r="W67">
        <v>7.0300000000000001E-2</v>
      </c>
      <c r="X67">
        <v>6.7000000000000004E-2</v>
      </c>
      <c r="Y67">
        <v>6.6900000000000001E-2</v>
      </c>
      <c r="Z67">
        <v>6.6799999999999998E-2</v>
      </c>
      <c r="AA67">
        <v>6.6699999999999995E-2</v>
      </c>
      <c r="AB67">
        <v>6.6699999999999995E-2</v>
      </c>
      <c r="AC67">
        <v>6.6900000000000001E-2</v>
      </c>
      <c r="AD67">
        <v>6.7100000000000007E-2</v>
      </c>
      <c r="AE67">
        <v>6.7500000000000004E-2</v>
      </c>
      <c r="AF67">
        <v>6.7900000000000002E-2</v>
      </c>
      <c r="AG67">
        <v>0.10199999999999999</v>
      </c>
      <c r="AH67">
        <v>0.105</v>
      </c>
      <c r="AI67">
        <v>0.108</v>
      </c>
      <c r="AJ67">
        <v>0.111</v>
      </c>
      <c r="AK67"/>
      <c r="AL67">
        <v>2.0135000000000001</v>
      </c>
    </row>
    <row r="68" spans="2:38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  <c r="AL68">
        <v>3.9399999999999998E-2</v>
      </c>
    </row>
    <row r="69" spans="2:38">
      <c r="B69" s="29" t="s">
        <v>156</v>
      </c>
      <c r="C69">
        <v>0</v>
      </c>
      <c r="D69">
        <v>0</v>
      </c>
      <c r="E69">
        <v>1.3899999999999999E-2</v>
      </c>
      <c r="F69">
        <v>1.4500000000000001E-2</v>
      </c>
      <c r="G69">
        <v>1.52E-2</v>
      </c>
      <c r="H69">
        <v>1.6E-2</v>
      </c>
      <c r="I69">
        <v>1.7000000000000001E-2</v>
      </c>
      <c r="J69">
        <v>1.7899999999999999E-2</v>
      </c>
      <c r="K69">
        <v>1.8800000000000001E-2</v>
      </c>
      <c r="L69">
        <v>0.02</v>
      </c>
      <c r="M69">
        <v>2.1000000000000001E-2</v>
      </c>
      <c r="N69">
        <v>2.2100000000000002E-2</v>
      </c>
      <c r="O69">
        <v>2.3400000000000001E-2</v>
      </c>
      <c r="P69">
        <v>2.4500000000000001E-2</v>
      </c>
      <c r="Q69">
        <v>2.5700000000000001E-2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  <c r="AL69">
        <v>0.82129999999999992</v>
      </c>
    </row>
    <row r="70" spans="2:38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0.01</v>
      </c>
      <c r="H70">
        <v>1.0200000000000001E-2</v>
      </c>
      <c r="I70">
        <v>1.0500000000000001E-2</v>
      </c>
      <c r="J70">
        <v>1.0699999999999999E-2</v>
      </c>
      <c r="K70">
        <v>1.09E-2</v>
      </c>
      <c r="L70">
        <v>1.11E-2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1.26E-2</v>
      </c>
      <c r="S70">
        <v>1.29E-2</v>
      </c>
      <c r="T70">
        <v>1.32E-2</v>
      </c>
      <c r="U70">
        <v>1.35E-2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  <c r="AL70">
        <v>0.45919999999999989</v>
      </c>
    </row>
    <row r="71" spans="2:38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  <c r="AL71">
        <v>0.62959999999999994</v>
      </c>
    </row>
    <row r="72" spans="2:38">
      <c r="B72" s="29" t="s">
        <v>159</v>
      </c>
      <c r="C72">
        <v>0</v>
      </c>
      <c r="D72">
        <v>1E-4</v>
      </c>
      <c r="E72">
        <v>1E-4</v>
      </c>
      <c r="F72">
        <v>1E-4</v>
      </c>
      <c r="G72">
        <v>2.0000000000000001E-4</v>
      </c>
      <c r="H72">
        <v>2.0000000000000001E-4</v>
      </c>
      <c r="I72">
        <v>2.0000000000000001E-4</v>
      </c>
      <c r="J72">
        <v>2.9999999999999997E-4</v>
      </c>
      <c r="K72">
        <v>2.9999999999999997E-4</v>
      </c>
      <c r="L72">
        <v>2.9999999999999997E-4</v>
      </c>
      <c r="M72">
        <v>4.0000000000000002E-4</v>
      </c>
      <c r="N72">
        <v>4.0000000000000002E-4</v>
      </c>
      <c r="O72">
        <v>4.0000000000000002E-4</v>
      </c>
      <c r="P72">
        <v>5.0000000000000001E-4</v>
      </c>
      <c r="Q72">
        <v>5.0000000000000001E-4</v>
      </c>
      <c r="R72">
        <v>6.9999999999999999E-4</v>
      </c>
      <c r="S72">
        <v>8.0000000000000004E-4</v>
      </c>
      <c r="T72">
        <v>1E-3</v>
      </c>
      <c r="U72">
        <v>1.1999999999999999E-3</v>
      </c>
      <c r="V72">
        <v>1.4E-3</v>
      </c>
      <c r="W72">
        <v>1.6000000000000001E-3</v>
      </c>
      <c r="X72">
        <v>1.6999999999999999E-3</v>
      </c>
      <c r="Y72">
        <v>1.9E-3</v>
      </c>
      <c r="Z72">
        <v>2E-3</v>
      </c>
      <c r="AA72">
        <v>2E-3</v>
      </c>
      <c r="AB72">
        <v>2.0999999999999999E-3</v>
      </c>
      <c r="AC72">
        <v>2.0999999999999999E-3</v>
      </c>
      <c r="AD72">
        <v>2.0999999999999999E-3</v>
      </c>
      <c r="AE72">
        <v>2.2000000000000001E-3</v>
      </c>
      <c r="AF72">
        <v>2.2000000000000001E-3</v>
      </c>
      <c r="AG72">
        <v>2.2000000000000001E-3</v>
      </c>
      <c r="AH72">
        <v>2.2000000000000001E-3</v>
      </c>
      <c r="AI72">
        <v>2.2000000000000001E-3</v>
      </c>
      <c r="AJ72">
        <v>2.3E-3</v>
      </c>
      <c r="AL72">
        <v>3.7900000000000003E-2</v>
      </c>
    </row>
    <row r="73" spans="2:38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</row>
    <row r="74" spans="2:38">
      <c r="B74" s="29" t="s">
        <v>161</v>
      </c>
      <c r="C74">
        <v>4.41E-2</v>
      </c>
      <c r="D74">
        <v>4.5199999999999997E-2</v>
      </c>
      <c r="E74">
        <v>4.6399999999999997E-2</v>
      </c>
      <c r="F74">
        <v>4.7500000000000001E-2</v>
      </c>
      <c r="G74">
        <v>4.87E-2</v>
      </c>
      <c r="H74">
        <v>4.9799999999999997E-2</v>
      </c>
      <c r="I74">
        <v>5.1299999999999998E-2</v>
      </c>
      <c r="J74">
        <v>5.2699999999999997E-2</v>
      </c>
      <c r="K74">
        <v>5.4100000000000002E-2</v>
      </c>
      <c r="L74">
        <v>5.5500000000000001E-2</v>
      </c>
      <c r="M74">
        <v>5.45E-2</v>
      </c>
      <c r="N74">
        <v>5.6300000000000003E-2</v>
      </c>
      <c r="O74">
        <v>5.8000000000000003E-2</v>
      </c>
      <c r="P74">
        <v>5.9799999999999999E-2</v>
      </c>
      <c r="Q74">
        <v>6.1499999999999999E-2</v>
      </c>
      <c r="R74">
        <v>6.2899999999999998E-2</v>
      </c>
      <c r="S74">
        <v>6.4600000000000005E-2</v>
      </c>
      <c r="T74">
        <v>6.6199999999999995E-2</v>
      </c>
      <c r="U74">
        <v>6.7699999999999996E-2</v>
      </c>
      <c r="V74">
        <v>6.9199999999999998E-2</v>
      </c>
      <c r="W74">
        <v>7.0400000000000004E-2</v>
      </c>
      <c r="X74">
        <v>7.2400000000000006E-2</v>
      </c>
      <c r="Y74">
        <v>7.4200000000000002E-2</v>
      </c>
      <c r="Z74">
        <v>7.6200000000000004E-2</v>
      </c>
      <c r="AA74">
        <v>7.85E-2</v>
      </c>
      <c r="AB74">
        <v>8.0699999999999994E-2</v>
      </c>
      <c r="AC74">
        <v>8.3199999999999996E-2</v>
      </c>
      <c r="AD74">
        <v>8.5599999999999996E-2</v>
      </c>
      <c r="AE74">
        <v>8.8099999999999998E-2</v>
      </c>
      <c r="AF74">
        <v>9.06E-2</v>
      </c>
      <c r="AG74">
        <v>9.2399999999999996E-2</v>
      </c>
      <c r="AH74">
        <v>9.5000000000000001E-2</v>
      </c>
      <c r="AI74">
        <v>9.7600000000000006E-2</v>
      </c>
      <c r="AJ74">
        <v>0.1002</v>
      </c>
      <c r="AL74">
        <v>2.3010999999999999</v>
      </c>
    </row>
    <row r="75" spans="2:38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</row>
    <row r="76" spans="2:38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</row>
    <row r="77" spans="2:38">
      <c r="B77" s="29" t="s">
        <v>164</v>
      </c>
      <c r="C77">
        <v>2023.5934</v>
      </c>
      <c r="D77">
        <v>3760.7492999999999</v>
      </c>
      <c r="E77">
        <v>3887.3910000000001</v>
      </c>
      <c r="F77">
        <v>4124.4119000000001</v>
      </c>
      <c r="G77">
        <v>4180.0101000000004</v>
      </c>
      <c r="H77">
        <v>4306.9404999999997</v>
      </c>
      <c r="I77">
        <v>4476.5010000000002</v>
      </c>
      <c r="J77">
        <v>4650.6058999999996</v>
      </c>
      <c r="K77">
        <v>4818.0609000000004</v>
      </c>
      <c r="L77">
        <v>5013.7830999999996</v>
      </c>
      <c r="M77">
        <v>4841.9678999999996</v>
      </c>
      <c r="N77">
        <v>5095.8089</v>
      </c>
      <c r="O77">
        <v>5353.4399000000003</v>
      </c>
      <c r="P77">
        <v>916.31269999999995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57449.576500000003</v>
      </c>
    </row>
    <row r="78" spans="2:38">
      <c r="B78" s="29" t="s">
        <v>165</v>
      </c>
      <c r="C78">
        <v>1261.3244999999999</v>
      </c>
      <c r="D78">
        <v>240.22890000000001</v>
      </c>
      <c r="E78">
        <v>262.32220000000001</v>
      </c>
      <c r="F78">
        <v>330.64150000000001</v>
      </c>
      <c r="G78">
        <v>1439.8780999999999</v>
      </c>
      <c r="H78">
        <v>1550.1288</v>
      </c>
      <c r="I78">
        <v>1709.9739</v>
      </c>
      <c r="J78">
        <v>1766.5889999999999</v>
      </c>
      <c r="K78">
        <v>1849.7789</v>
      </c>
      <c r="L78">
        <v>1512.8974000000001</v>
      </c>
      <c r="M78">
        <v>1527.7496000000001</v>
      </c>
      <c r="N78">
        <v>1593.4802</v>
      </c>
      <c r="O78">
        <v>1500.6249</v>
      </c>
      <c r="P78">
        <v>1525.4292</v>
      </c>
      <c r="Q78">
        <v>1553.1315999999999</v>
      </c>
      <c r="R78">
        <v>1662.6175000000001</v>
      </c>
      <c r="S78">
        <v>1713.7240999999999</v>
      </c>
      <c r="T78">
        <v>1765.0402999999999</v>
      </c>
      <c r="U78">
        <v>1826.3404</v>
      </c>
      <c r="V78">
        <v>1964.2016000000001</v>
      </c>
      <c r="W78">
        <v>2110.6561999999999</v>
      </c>
      <c r="X78">
        <v>2093.9728</v>
      </c>
      <c r="Y78">
        <v>2165.5259999999998</v>
      </c>
      <c r="Z78">
        <v>2240.3537000000001</v>
      </c>
      <c r="AA78">
        <v>2315.2908000000002</v>
      </c>
      <c r="AB78">
        <v>2397.2224999999999</v>
      </c>
      <c r="AC78">
        <v>2610.6392999999998</v>
      </c>
      <c r="AD78">
        <v>2810.9301999999998</v>
      </c>
      <c r="AE78">
        <v>2929.4947000000002</v>
      </c>
      <c r="AF78">
        <v>3085.3245999999999</v>
      </c>
      <c r="AG78">
        <v>3569.0526</v>
      </c>
      <c r="AH78">
        <v>3791.9668000000001</v>
      </c>
      <c r="AI78">
        <v>4159.3933999999999</v>
      </c>
      <c r="AJ78">
        <v>4320.0284000000001</v>
      </c>
      <c r="AL78">
        <v>69155.954600000012</v>
      </c>
    </row>
    <row r="79" spans="2:38">
      <c r="B79" s="29" t="s">
        <v>166</v>
      </c>
      <c r="C79">
        <v>3103.7145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3103.7145</v>
      </c>
    </row>
    <row r="80" spans="2:38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5289.3096999999998</v>
      </c>
      <c r="Q80">
        <v>6497.4035999999996</v>
      </c>
      <c r="R80">
        <v>6736.9946</v>
      </c>
      <c r="S80">
        <v>7081.1732000000002</v>
      </c>
      <c r="T80">
        <v>7607.5551999999998</v>
      </c>
      <c r="U80">
        <v>7951.8797999999997</v>
      </c>
      <c r="V80">
        <v>8271.1044000000002</v>
      </c>
      <c r="W80">
        <v>7418.3585000000003</v>
      </c>
      <c r="X80">
        <v>7180.4786999999997</v>
      </c>
      <c r="Y80">
        <v>7225.2641999999996</v>
      </c>
      <c r="Z80">
        <v>7269.1166000000003</v>
      </c>
      <c r="AA80">
        <v>7312.7263000000003</v>
      </c>
      <c r="AB80">
        <v>7369.6643999999997</v>
      </c>
      <c r="AC80">
        <v>7407.0505999999996</v>
      </c>
      <c r="AD80">
        <v>7465.7686999999996</v>
      </c>
      <c r="AE80">
        <v>7544.1565000000001</v>
      </c>
      <c r="AF80">
        <v>7622.2205000000004</v>
      </c>
      <c r="AG80">
        <v>9663.9642000000003</v>
      </c>
      <c r="AH80">
        <v>10945.380999999999</v>
      </c>
      <c r="AI80">
        <v>11141.68</v>
      </c>
      <c r="AJ80">
        <v>11366.47</v>
      </c>
      <c r="AL80">
        <v>166367.72069999998</v>
      </c>
    </row>
    <row r="81" spans="2:38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0</v>
      </c>
    </row>
    <row r="82" spans="2:38">
      <c r="B82" s="29" t="s">
        <v>169</v>
      </c>
      <c r="C82">
        <v>212.06139999999999</v>
      </c>
      <c r="D82">
        <v>1616.7902999999999</v>
      </c>
      <c r="E82">
        <v>1627.2182</v>
      </c>
      <c r="F82">
        <v>1637.9340999999999</v>
      </c>
      <c r="G82">
        <v>162.44210000000001</v>
      </c>
      <c r="H82">
        <v>166.3297</v>
      </c>
      <c r="I82">
        <v>170.18090000000001</v>
      </c>
      <c r="J82">
        <v>174.10429999999999</v>
      </c>
      <c r="K82">
        <v>178.09909999999999</v>
      </c>
      <c r="L82">
        <v>182.16480000000001</v>
      </c>
      <c r="M82">
        <v>182.84979999999999</v>
      </c>
      <c r="N82">
        <v>188.58</v>
      </c>
      <c r="O82">
        <v>194.37649999999999</v>
      </c>
      <c r="P82">
        <v>200.24299999999999</v>
      </c>
      <c r="Q82">
        <v>165.38059999999999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124.6609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7183.4157000000023</v>
      </c>
    </row>
    <row r="83" spans="2:38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</row>
    <row r="84" spans="2:38">
      <c r="B84" s="29" t="s">
        <v>170</v>
      </c>
      <c r="C84">
        <v>4.41E-2</v>
      </c>
      <c r="D84">
        <v>4.5199999999999997E-2</v>
      </c>
      <c r="E84">
        <v>4.6399999999999997E-2</v>
      </c>
      <c r="F84">
        <v>4.7500000000000001E-2</v>
      </c>
      <c r="G84">
        <v>4.87E-2</v>
      </c>
      <c r="H84">
        <v>4.9799999999999997E-2</v>
      </c>
      <c r="I84">
        <v>5.1299999999999998E-2</v>
      </c>
      <c r="J84">
        <v>5.2699999999999997E-2</v>
      </c>
      <c r="K84">
        <v>5.4100000000000002E-2</v>
      </c>
      <c r="L84">
        <v>5.5500000000000001E-2</v>
      </c>
      <c r="M84">
        <v>5.45E-2</v>
      </c>
      <c r="N84">
        <v>5.6300000000000003E-2</v>
      </c>
      <c r="O84">
        <v>5.8000000000000003E-2</v>
      </c>
      <c r="P84">
        <v>5.9799999999999999E-2</v>
      </c>
      <c r="Q84">
        <v>6.1499999999999999E-2</v>
      </c>
      <c r="R84">
        <v>6.2899999999999998E-2</v>
      </c>
      <c r="S84">
        <v>6.4600000000000005E-2</v>
      </c>
      <c r="T84">
        <v>6.6199999999999995E-2</v>
      </c>
      <c r="U84">
        <v>6.7699999999999996E-2</v>
      </c>
      <c r="V84">
        <v>6.9199999999999998E-2</v>
      </c>
      <c r="W84">
        <v>7.0400000000000004E-2</v>
      </c>
      <c r="X84">
        <v>7.2400000000000006E-2</v>
      </c>
      <c r="Y84">
        <v>7.4200000000000002E-2</v>
      </c>
      <c r="Z84">
        <v>7.6200000000000004E-2</v>
      </c>
      <c r="AA84">
        <v>7.85E-2</v>
      </c>
      <c r="AB84">
        <v>8.0699999999999994E-2</v>
      </c>
      <c r="AC84">
        <v>8.3199999999999996E-2</v>
      </c>
      <c r="AD84">
        <v>8.5599999999999996E-2</v>
      </c>
      <c r="AE84">
        <v>8.8099999999999998E-2</v>
      </c>
      <c r="AF84">
        <v>9.06E-2</v>
      </c>
      <c r="AG84">
        <v>9.2399999999999996E-2</v>
      </c>
      <c r="AH84">
        <v>9.5000000000000001E-2</v>
      </c>
      <c r="AI84">
        <v>9.7600000000000006E-2</v>
      </c>
      <c r="AJ84">
        <v>0.1002</v>
      </c>
      <c r="AL84">
        <v>2.3010999999999999</v>
      </c>
    </row>
    <row r="85" spans="2:38">
      <c r="B85" s="29" t="s">
        <v>171</v>
      </c>
      <c r="C85">
        <v>4868.8589000000002</v>
      </c>
      <c r="D85">
        <v>28.045300000000001</v>
      </c>
      <c r="E85">
        <v>28.2742</v>
      </c>
      <c r="F85">
        <v>28.5122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168.00040000000001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L85">
        <v>5121.6909999999998</v>
      </c>
    </row>
    <row r="86" spans="2:38">
      <c r="B86" s="29" t="s">
        <v>172</v>
      </c>
      <c r="C86">
        <v>7.3999999999999996E-2</v>
      </c>
      <c r="D86">
        <v>0.1371</v>
      </c>
      <c r="E86">
        <v>0.14119999999999999</v>
      </c>
      <c r="F86">
        <v>0.14929999999999999</v>
      </c>
      <c r="G86">
        <v>0.15079999999999999</v>
      </c>
      <c r="H86">
        <v>0.15479999999999999</v>
      </c>
      <c r="I86">
        <v>0.16039999999999999</v>
      </c>
      <c r="J86">
        <v>0.16600000000000001</v>
      </c>
      <c r="K86">
        <v>0.1714</v>
      </c>
      <c r="L86">
        <v>0.17780000000000001</v>
      </c>
      <c r="M86">
        <v>0.1711</v>
      </c>
      <c r="N86">
        <v>0.17780000000000001</v>
      </c>
      <c r="O86">
        <v>0.1845</v>
      </c>
      <c r="P86">
        <v>0.19239999999999999</v>
      </c>
      <c r="Q86">
        <v>0.1958</v>
      </c>
      <c r="R86">
        <v>0.20069999999999999</v>
      </c>
      <c r="S86">
        <v>0.20849999999999999</v>
      </c>
      <c r="T86">
        <v>0.2215</v>
      </c>
      <c r="U86">
        <v>0.22900000000000001</v>
      </c>
      <c r="V86">
        <v>0.2356</v>
      </c>
      <c r="W86">
        <v>0.20899999999999999</v>
      </c>
      <c r="X86">
        <v>0.2019</v>
      </c>
      <c r="Y86">
        <v>0.20280000000000001</v>
      </c>
      <c r="Z86">
        <v>0.2036</v>
      </c>
      <c r="AA86">
        <v>0.2044</v>
      </c>
      <c r="AB86">
        <v>0.2056</v>
      </c>
      <c r="AC86">
        <v>0.20619999999999999</v>
      </c>
      <c r="AD86">
        <v>0.2074</v>
      </c>
      <c r="AE86">
        <v>0.2092</v>
      </c>
      <c r="AF86">
        <v>0.2109</v>
      </c>
      <c r="AG86">
        <v>0.26690000000000003</v>
      </c>
      <c r="AH86">
        <v>0.27260000000000001</v>
      </c>
      <c r="AI86">
        <v>0.27739999999999998</v>
      </c>
      <c r="AJ86">
        <v>0.28299999999999997</v>
      </c>
      <c r="AL86">
        <v>6.6605999999999996</v>
      </c>
    </row>
    <row r="87" spans="2:38">
      <c r="B87" s="29" t="s">
        <v>173</v>
      </c>
      <c r="C87">
        <v>1.3299999999999999E-2</v>
      </c>
      <c r="D87">
        <v>2.5000000000000001E-3</v>
      </c>
      <c r="E87">
        <v>2.7000000000000001E-3</v>
      </c>
      <c r="F87">
        <v>3.3999999999999998E-3</v>
      </c>
      <c r="G87">
        <v>1.49E-2</v>
      </c>
      <c r="H87">
        <v>1.6E-2</v>
      </c>
      <c r="I87">
        <v>1.7600000000000001E-2</v>
      </c>
      <c r="J87">
        <v>1.8100000000000002E-2</v>
      </c>
      <c r="K87">
        <v>1.89E-2</v>
      </c>
      <c r="L87">
        <v>1.54E-2</v>
      </c>
      <c r="M87">
        <v>1.55E-2</v>
      </c>
      <c r="N87">
        <v>1.61E-2</v>
      </c>
      <c r="O87">
        <v>1.5100000000000001E-2</v>
      </c>
      <c r="P87">
        <v>1.5299999999999999E-2</v>
      </c>
      <c r="Q87">
        <v>1.55E-2</v>
      </c>
      <c r="R87">
        <v>1.66E-2</v>
      </c>
      <c r="S87">
        <v>1.7000000000000001E-2</v>
      </c>
      <c r="T87">
        <v>1.7500000000000002E-2</v>
      </c>
      <c r="U87">
        <v>1.7999999999999999E-2</v>
      </c>
      <c r="V87">
        <v>1.9300000000000001E-2</v>
      </c>
      <c r="W87">
        <v>2.07E-2</v>
      </c>
      <c r="X87">
        <v>2.0500000000000001E-2</v>
      </c>
      <c r="Y87">
        <v>2.12E-2</v>
      </c>
      <c r="Z87">
        <v>2.1999999999999999E-2</v>
      </c>
      <c r="AA87">
        <v>2.2700000000000001E-2</v>
      </c>
      <c r="AB87">
        <v>2.35E-2</v>
      </c>
      <c r="AC87">
        <v>2.5600000000000001E-2</v>
      </c>
      <c r="AD87">
        <v>2.75E-2</v>
      </c>
      <c r="AE87">
        <v>2.87E-2</v>
      </c>
      <c r="AF87">
        <v>3.0200000000000001E-2</v>
      </c>
      <c r="AG87">
        <v>3.49E-2</v>
      </c>
      <c r="AH87">
        <v>3.7100000000000001E-2</v>
      </c>
      <c r="AI87">
        <v>4.07E-2</v>
      </c>
      <c r="AJ87">
        <v>4.2299999999999997E-2</v>
      </c>
      <c r="AL87">
        <v>0.68630000000000013</v>
      </c>
    </row>
    <row r="88" spans="2:38">
      <c r="B88" s="29" t="s">
        <v>174</v>
      </c>
      <c r="C88">
        <v>2.64E-2</v>
      </c>
      <c r="D88">
        <v>1.1599999999999999E-2</v>
      </c>
      <c r="E88">
        <v>1.15E-2</v>
      </c>
      <c r="F88">
        <v>1.14E-2</v>
      </c>
      <c r="G88">
        <v>1.1000000000000001E-3</v>
      </c>
      <c r="H88">
        <v>1.1000000000000001E-3</v>
      </c>
      <c r="I88">
        <v>1.1000000000000001E-3</v>
      </c>
      <c r="J88">
        <v>1.1000000000000001E-3</v>
      </c>
      <c r="K88">
        <v>1.1000000000000001E-3</v>
      </c>
      <c r="L88">
        <v>1.1999999999999999E-3</v>
      </c>
      <c r="M88">
        <v>1.1000000000000001E-3</v>
      </c>
      <c r="N88">
        <v>1.1999999999999999E-3</v>
      </c>
      <c r="O88">
        <v>1.1999999999999999E-3</v>
      </c>
      <c r="P88">
        <v>1.1999999999999999E-3</v>
      </c>
      <c r="Q88">
        <v>1E-3</v>
      </c>
      <c r="R88">
        <v>0</v>
      </c>
      <c r="S88">
        <v>0</v>
      </c>
      <c r="T88">
        <v>0</v>
      </c>
      <c r="U88">
        <v>0</v>
      </c>
      <c r="V88">
        <v>0</v>
      </c>
      <c r="W88">
        <v>5.9999999999999995E-4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>
        <v>7.3900000000000049E-2</v>
      </c>
    </row>
    <row r="89" spans="2:38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</row>
    <row r="90" spans="2:38">
      <c r="B90" s="29" t="s">
        <v>176</v>
      </c>
      <c r="C90">
        <v>1.1000000000000001E-3</v>
      </c>
      <c r="D90">
        <v>1E-4</v>
      </c>
      <c r="E90">
        <v>1E-4</v>
      </c>
      <c r="F90">
        <v>1E-4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1.4000000000000002E-3</v>
      </c>
    </row>
    <row r="91" spans="2:38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</row>
    <row r="92" spans="2:38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</row>
    <row r="93" spans="2:38">
      <c r="B93" s="29" t="s">
        <v>179</v>
      </c>
      <c r="C93">
        <v>0</v>
      </c>
      <c r="D93">
        <v>2E-3</v>
      </c>
      <c r="E93">
        <v>2.2000000000000001E-3</v>
      </c>
      <c r="F93">
        <v>2.3999999999999998E-3</v>
      </c>
      <c r="G93">
        <v>1.09E-2</v>
      </c>
      <c r="H93">
        <v>1.11E-2</v>
      </c>
      <c r="I93">
        <v>1.12E-2</v>
      </c>
      <c r="J93">
        <v>1.14E-2</v>
      </c>
      <c r="K93">
        <v>1.15E-2</v>
      </c>
      <c r="L93">
        <v>1.17E-2</v>
      </c>
      <c r="M93">
        <v>1.18E-2</v>
      </c>
      <c r="N93">
        <v>1.1900000000000001E-2</v>
      </c>
      <c r="O93">
        <v>1.21E-2</v>
      </c>
      <c r="P93">
        <v>1.2200000000000001E-2</v>
      </c>
      <c r="Q93">
        <v>1.26E-2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  <c r="AL93">
        <v>0.50240000000000007</v>
      </c>
    </row>
    <row r="94" spans="2:38">
      <c r="B94" s="29" t="s">
        <v>180</v>
      </c>
      <c r="C94">
        <v>8.6E-3</v>
      </c>
      <c r="D94">
        <v>9.1999999999999998E-3</v>
      </c>
      <c r="E94">
        <v>9.1999999999999998E-3</v>
      </c>
      <c r="F94">
        <v>9.1999999999999998E-3</v>
      </c>
      <c r="G94">
        <v>8.9999999999999998E-4</v>
      </c>
      <c r="H94">
        <v>8.9999999999999998E-4</v>
      </c>
      <c r="I94">
        <v>8.9999999999999998E-4</v>
      </c>
      <c r="J94">
        <v>8.9999999999999998E-4</v>
      </c>
      <c r="K94">
        <v>8.9999999999999998E-4</v>
      </c>
      <c r="L94">
        <v>1E-3</v>
      </c>
      <c r="M94">
        <v>1E-3</v>
      </c>
      <c r="N94">
        <v>1E-3</v>
      </c>
      <c r="O94">
        <v>1E-3</v>
      </c>
      <c r="P94">
        <v>1E-3</v>
      </c>
      <c r="Q94">
        <v>8.0000000000000004E-4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4.6499999999999993E-2</v>
      </c>
    </row>
    <row r="95" spans="2:38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>
        <v>1.5E-3</v>
      </c>
    </row>
    <row r="96" spans="2:38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  <c r="AL96">
        <v>0.62809999999999988</v>
      </c>
    </row>
    <row r="97" spans="2:38">
      <c r="B97" s="29" t="s">
        <v>183</v>
      </c>
      <c r="C97">
        <v>0</v>
      </c>
      <c r="D97">
        <v>2.9999999999999997E-4</v>
      </c>
      <c r="E97">
        <v>5.0000000000000001E-4</v>
      </c>
      <c r="F97">
        <v>8.0000000000000004E-4</v>
      </c>
      <c r="G97">
        <v>1.1000000000000001E-3</v>
      </c>
      <c r="H97">
        <v>1.2999999999999999E-3</v>
      </c>
      <c r="I97">
        <v>1.6000000000000001E-3</v>
      </c>
      <c r="J97">
        <v>1.9E-3</v>
      </c>
      <c r="K97">
        <v>2.0999999999999999E-3</v>
      </c>
      <c r="L97">
        <v>2.3999999999999998E-3</v>
      </c>
      <c r="M97">
        <v>2.7000000000000001E-3</v>
      </c>
      <c r="N97">
        <v>2.8999999999999998E-3</v>
      </c>
      <c r="O97">
        <v>3.2000000000000002E-3</v>
      </c>
      <c r="P97">
        <v>3.5000000000000001E-3</v>
      </c>
      <c r="Q97">
        <v>3.7000000000000002E-3</v>
      </c>
      <c r="R97">
        <v>3.5000000000000001E-3</v>
      </c>
      <c r="S97">
        <v>3.2000000000000002E-3</v>
      </c>
      <c r="T97">
        <v>3.0000000000000001E-3</v>
      </c>
      <c r="U97">
        <v>2.5000000000000001E-3</v>
      </c>
      <c r="V97">
        <v>2E-3</v>
      </c>
      <c r="W97">
        <v>1.4E-3</v>
      </c>
      <c r="X97">
        <v>1E-3</v>
      </c>
      <c r="Y97">
        <v>4.0000000000000002E-4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4.5000000000000005E-2</v>
      </c>
    </row>
    <row r="98" spans="2:38">
      <c r="B98" s="29" t="s">
        <v>184</v>
      </c>
      <c r="C98">
        <v>2.58E-2</v>
      </c>
      <c r="D98">
        <v>2.5899999999999999E-2</v>
      </c>
      <c r="E98">
        <v>2.5999999999999999E-2</v>
      </c>
      <c r="F98">
        <v>2.6100000000000002E-2</v>
      </c>
      <c r="G98">
        <v>2.6200000000000001E-2</v>
      </c>
      <c r="H98">
        <v>2.63E-2</v>
      </c>
      <c r="I98">
        <v>2.64E-2</v>
      </c>
      <c r="J98">
        <v>2.6499999999999999E-2</v>
      </c>
      <c r="K98">
        <v>2.6599999999999999E-2</v>
      </c>
      <c r="L98">
        <v>2.6700000000000002E-2</v>
      </c>
      <c r="M98">
        <v>2.6800000000000001E-2</v>
      </c>
      <c r="N98">
        <v>2.6800000000000001E-2</v>
      </c>
      <c r="O98">
        <v>2.69E-2</v>
      </c>
      <c r="P98">
        <v>2.7E-2</v>
      </c>
      <c r="Q98">
        <v>2.7E-2</v>
      </c>
      <c r="R98">
        <v>2.76E-2</v>
      </c>
      <c r="S98">
        <v>2.81E-2</v>
      </c>
      <c r="T98">
        <v>2.87E-2</v>
      </c>
      <c r="U98">
        <v>2.9399999999999999E-2</v>
      </c>
      <c r="V98">
        <v>3.0200000000000001E-2</v>
      </c>
      <c r="W98">
        <v>3.1099999999999999E-2</v>
      </c>
      <c r="X98">
        <v>3.1800000000000002E-2</v>
      </c>
      <c r="Y98">
        <v>3.27E-2</v>
      </c>
      <c r="Z98">
        <v>3.3300000000000003E-2</v>
      </c>
      <c r="AA98">
        <v>3.3599999999999998E-2</v>
      </c>
      <c r="AB98">
        <v>3.39E-2</v>
      </c>
      <c r="AC98">
        <v>3.4099999999999998E-2</v>
      </c>
      <c r="AD98">
        <v>3.4299999999999997E-2</v>
      </c>
      <c r="AE98">
        <v>3.4599999999999999E-2</v>
      </c>
      <c r="AF98">
        <v>3.4799999999999998E-2</v>
      </c>
      <c r="AG98">
        <v>3.5000000000000003E-2</v>
      </c>
      <c r="AH98">
        <v>3.5200000000000002E-2</v>
      </c>
      <c r="AI98">
        <v>3.5400000000000001E-2</v>
      </c>
      <c r="AJ98">
        <v>3.56E-2</v>
      </c>
      <c r="AL98">
        <v>1.0164</v>
      </c>
    </row>
    <row r="99" spans="2:38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</row>
    <row r="100" spans="2:38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  <c r="AL100">
        <v>6.4000000000000012E-3</v>
      </c>
    </row>
    <row r="101" spans="2:38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</row>
    <row r="102" spans="2:38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</row>
    <row r="103" spans="2:38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  <c r="AL103">
        <v>1.560000000000001E-2</v>
      </c>
    </row>
    <row r="104" spans="2:38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0</v>
      </c>
    </row>
    <row r="105" spans="2:38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</row>
    <row r="106" spans="2:38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5.0000000000000001E-4</v>
      </c>
      <c r="S106">
        <v>1E-3</v>
      </c>
      <c r="T106">
        <v>1.6000000000000001E-3</v>
      </c>
      <c r="U106">
        <v>2.3E-3</v>
      </c>
      <c r="V106">
        <v>3.0000000000000001E-3</v>
      </c>
      <c r="W106">
        <v>3.8999999999999998E-3</v>
      </c>
      <c r="X106">
        <v>4.4000000000000003E-3</v>
      </c>
      <c r="Y106">
        <v>5.1000000000000004E-3</v>
      </c>
      <c r="Z106">
        <v>5.5999999999999999E-3</v>
      </c>
      <c r="AA106">
        <v>5.7000000000000002E-3</v>
      </c>
      <c r="AB106">
        <v>5.7999999999999996E-3</v>
      </c>
      <c r="AC106">
        <v>5.8999999999999999E-3</v>
      </c>
      <c r="AD106">
        <v>6.0000000000000001E-3</v>
      </c>
      <c r="AE106">
        <v>6.1000000000000004E-3</v>
      </c>
      <c r="AF106">
        <v>6.1999999999999998E-3</v>
      </c>
      <c r="AG106">
        <v>6.3E-3</v>
      </c>
      <c r="AH106">
        <v>6.3E-3</v>
      </c>
      <c r="AI106">
        <v>6.4000000000000003E-3</v>
      </c>
      <c r="AJ106">
        <v>6.4999999999999997E-3</v>
      </c>
      <c r="AL106">
        <v>8.8600000000000012E-2</v>
      </c>
    </row>
    <row r="107" spans="2:38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</row>
    <row r="108" spans="2:38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8.6999999999999994E-3</v>
      </c>
      <c r="S108">
        <v>8.3999999999999995E-3</v>
      </c>
      <c r="T108">
        <v>8.0999999999999996E-3</v>
      </c>
      <c r="U108">
        <v>7.6E-3</v>
      </c>
      <c r="V108">
        <v>7.1999999999999998E-3</v>
      </c>
      <c r="W108">
        <v>6.4999999999999997E-3</v>
      </c>
      <c r="X108">
        <v>6.3E-3</v>
      </c>
      <c r="Y108">
        <v>5.7999999999999996E-3</v>
      </c>
      <c r="Z108">
        <v>5.4999999999999997E-3</v>
      </c>
      <c r="AA108">
        <v>5.5999999999999999E-3</v>
      </c>
      <c r="AB108">
        <v>5.7999999999999996E-3</v>
      </c>
      <c r="AC108">
        <v>5.8999999999999999E-3</v>
      </c>
      <c r="AD108">
        <v>6.0000000000000001E-3</v>
      </c>
      <c r="AE108">
        <v>6.1000000000000004E-3</v>
      </c>
      <c r="AF108">
        <v>6.1999999999999998E-3</v>
      </c>
      <c r="AG108">
        <v>6.3E-3</v>
      </c>
      <c r="AH108">
        <v>6.3E-3</v>
      </c>
      <c r="AI108">
        <v>6.4000000000000003E-3</v>
      </c>
      <c r="AJ108">
        <v>6.4000000000000003E-3</v>
      </c>
      <c r="AL108">
        <v>0.2306</v>
      </c>
    </row>
    <row r="109" spans="2:38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</row>
    <row r="110" spans="2:38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</row>
    <row r="111" spans="2:38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0</v>
      </c>
    </row>
    <row r="112" spans="2:38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0</v>
      </c>
    </row>
    <row r="113" spans="2:38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>
        <v>0</v>
      </c>
    </row>
    <row r="114" spans="2:38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</row>
    <row r="115" spans="2:38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>
        <v>0</v>
      </c>
    </row>
    <row r="116" spans="2:38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0</v>
      </c>
    </row>
    <row r="117" spans="2:38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>
        <v>0</v>
      </c>
    </row>
    <row r="118" spans="2:38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  <c r="AL118">
        <v>3.4036</v>
      </c>
    </row>
    <row r="119" spans="2:38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>
        <v>0</v>
      </c>
    </row>
    <row r="120" spans="2:38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</row>
    <row r="121" spans="2:38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  <c r="AL121">
        <v>6.1599999999999988E-2</v>
      </c>
    </row>
    <row r="122" spans="2:38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>
        <v>0</v>
      </c>
    </row>
    <row r="123" spans="2:38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</row>
    <row r="124" spans="2:38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>
        <v>0</v>
      </c>
    </row>
    <row r="125" spans="2:38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>
        <v>0</v>
      </c>
    </row>
    <row r="126" spans="2:38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  <c r="AL126">
        <v>0.18210000000000001</v>
      </c>
    </row>
    <row r="127" spans="2:38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0</v>
      </c>
    </row>
    <row r="128" spans="2:38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>
        <v>0</v>
      </c>
    </row>
    <row r="129" spans="2:38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>
        <v>0</v>
      </c>
    </row>
    <row r="130" spans="2:38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</row>
    <row r="131" spans="2:38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  <c r="AL131">
        <v>6.0600000000000001E-2</v>
      </c>
    </row>
    <row r="132" spans="2:38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L132">
        <v>0</v>
      </c>
    </row>
    <row r="133" spans="2:38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  <c r="AL133">
        <v>0</v>
      </c>
    </row>
    <row r="134" spans="2:38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zoomScale="75" workbookViewId="0">
      <selection activeCell="B2" sqref="B2:AJ134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110</v>
      </c>
      <c r="C23">
        <v>48.500700000000002</v>
      </c>
      <c r="D23">
        <v>139.297</v>
      </c>
      <c r="E23">
        <v>141.90180000000001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117</v>
      </c>
      <c r="C30">
        <v>48.500700000000002</v>
      </c>
      <c r="D30">
        <v>139.297</v>
      </c>
      <c r="E30">
        <v>141.90180000000001</v>
      </c>
      <c r="F30">
        <v>144.4906</v>
      </c>
      <c r="G30">
        <v>147.06370000000001</v>
      </c>
      <c r="H30">
        <v>149.62180000000001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108.53700000000001</v>
      </c>
      <c r="G51">
        <v>108.53700000000001</v>
      </c>
      <c r="H51">
        <v>112.6425</v>
      </c>
      <c r="I51">
        <v>112.6425</v>
      </c>
      <c r="J51">
        <v>112.6425</v>
      </c>
      <c r="K51">
        <v>112.6425</v>
      </c>
      <c r="L51">
        <v>112.6425</v>
      </c>
      <c r="M51">
        <v>112.6425</v>
      </c>
      <c r="N51">
        <v>112.6425</v>
      </c>
      <c r="O51">
        <v>112.6425</v>
      </c>
      <c r="P51">
        <v>96.542500000000004</v>
      </c>
      <c r="Q51">
        <v>96.542500000000004</v>
      </c>
      <c r="R51">
        <v>96.542500000000004</v>
      </c>
      <c r="S51">
        <v>84.064999999999998</v>
      </c>
      <c r="T51">
        <v>13.891999999999999</v>
      </c>
      <c r="U51">
        <v>13.891999999999999</v>
      </c>
      <c r="V51">
        <v>13.891999999999999</v>
      </c>
      <c r="W51">
        <v>13.891999999999999</v>
      </c>
      <c r="X51">
        <v>13.891999999999999</v>
      </c>
      <c r="Y51">
        <v>13.891999999999999</v>
      </c>
      <c r="Z51">
        <v>13.891999999999999</v>
      </c>
      <c r="AA51">
        <v>13.891999999999999</v>
      </c>
      <c r="AB51">
        <v>13.891999999999999</v>
      </c>
      <c r="AC51">
        <v>13.891999999999999</v>
      </c>
      <c r="AD51">
        <v>13.891999999999999</v>
      </c>
      <c r="AE51">
        <v>13.891999999999999</v>
      </c>
      <c r="AF51">
        <v>13.891999999999999</v>
      </c>
      <c r="AG51">
        <v>13.891999999999999</v>
      </c>
      <c r="AH51">
        <v>13.891999999999999</v>
      </c>
      <c r="AI51">
        <v>13.891999999999999</v>
      </c>
      <c r="AJ51">
        <v>13.891999999999999</v>
      </c>
    </row>
    <row r="52" spans="1:36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124.44450000000001</v>
      </c>
      <c r="K55">
        <v>146.72399999999999</v>
      </c>
      <c r="L55">
        <v>288.34370000000001</v>
      </c>
      <c r="M55">
        <v>316.41669999999999</v>
      </c>
      <c r="N55">
        <v>348.56150000000002</v>
      </c>
      <c r="O55">
        <v>439.7627</v>
      </c>
      <c r="P55">
        <v>490.8605</v>
      </c>
      <c r="Q55">
        <v>545.74419999999998</v>
      </c>
      <c r="R55">
        <v>599.4683</v>
      </c>
      <c r="S55">
        <v>702.37419999999997</v>
      </c>
      <c r="T55">
        <v>793.36800000000005</v>
      </c>
      <c r="U55">
        <v>883.82259999999997</v>
      </c>
      <c r="V55">
        <v>974.92129999999997</v>
      </c>
      <c r="W55">
        <v>974.92129999999997</v>
      </c>
      <c r="X55">
        <v>974.92129999999997</v>
      </c>
      <c r="Y55">
        <v>974.92129999999997</v>
      </c>
      <c r="Z55">
        <v>974.92129999999997</v>
      </c>
      <c r="AA55">
        <v>974.92129999999997</v>
      </c>
      <c r="AB55">
        <v>974.92129999999997</v>
      </c>
      <c r="AC55">
        <v>942.04420000000005</v>
      </c>
      <c r="AD55">
        <v>907.15380000000005</v>
      </c>
      <c r="AE55">
        <v>907.15380000000005</v>
      </c>
      <c r="AF55">
        <v>894.06380000000001</v>
      </c>
      <c r="AG55">
        <v>1503.4431999999999</v>
      </c>
      <c r="AH55">
        <v>1548.6312</v>
      </c>
      <c r="AI55">
        <v>1537.5436999999999</v>
      </c>
      <c r="AJ55">
        <v>1618.5210999999999</v>
      </c>
    </row>
    <row r="56" spans="1:36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145</v>
      </c>
      <c r="C58">
        <v>191.6825</v>
      </c>
      <c r="D58">
        <v>191.6825</v>
      </c>
      <c r="E58">
        <v>192.27680000000001</v>
      </c>
      <c r="F58">
        <v>194.02610000000001</v>
      </c>
      <c r="G58">
        <v>195.34180000000001</v>
      </c>
      <c r="H58">
        <v>195.34180000000001</v>
      </c>
      <c r="I58">
        <v>195.34180000000001</v>
      </c>
      <c r="J58">
        <v>195.34180000000001</v>
      </c>
      <c r="K58">
        <v>195.34180000000001</v>
      </c>
      <c r="L58">
        <v>195.34180000000001</v>
      </c>
      <c r="M58">
        <v>195.34180000000001</v>
      </c>
      <c r="N58">
        <v>195.34180000000001</v>
      </c>
      <c r="O58">
        <v>195.34180000000001</v>
      </c>
      <c r="P58">
        <v>195.34180000000001</v>
      </c>
      <c r="Q58">
        <v>195.34180000000001</v>
      </c>
      <c r="R58">
        <v>195.34180000000001</v>
      </c>
      <c r="S58">
        <v>195.34180000000001</v>
      </c>
      <c r="T58">
        <v>195.34180000000001</v>
      </c>
      <c r="U58">
        <v>195.34180000000001</v>
      </c>
      <c r="V58">
        <v>195.34180000000001</v>
      </c>
      <c r="W58">
        <v>195.34180000000001</v>
      </c>
      <c r="X58">
        <v>195.34180000000001</v>
      </c>
      <c r="Y58">
        <v>195.34180000000001</v>
      </c>
      <c r="Z58">
        <v>195.34180000000001</v>
      </c>
      <c r="AA58">
        <v>195.34180000000001</v>
      </c>
      <c r="AB58">
        <v>195.34180000000001</v>
      </c>
      <c r="AC58">
        <v>195.34180000000001</v>
      </c>
      <c r="AD58">
        <v>194.4896</v>
      </c>
      <c r="AE58">
        <v>194.4896</v>
      </c>
      <c r="AF58">
        <v>194.4896</v>
      </c>
      <c r="AG58">
        <v>194.4896</v>
      </c>
      <c r="AH58">
        <v>194.4896</v>
      </c>
      <c r="AI58">
        <v>194.4896</v>
      </c>
      <c r="AJ58">
        <v>194.4896</v>
      </c>
    </row>
    <row r="59" spans="1:36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19.019200000000001</v>
      </c>
      <c r="V59">
        <v>36.274900000000002</v>
      </c>
      <c r="W59">
        <v>42.819299999999998</v>
      </c>
      <c r="X59">
        <v>42.819299999999998</v>
      </c>
      <c r="Y59">
        <v>42.819299999999998</v>
      </c>
      <c r="Z59">
        <v>42.819299999999998</v>
      </c>
      <c r="AA59">
        <v>42.819299999999998</v>
      </c>
      <c r="AB59">
        <v>42.819299999999998</v>
      </c>
      <c r="AC59">
        <v>71.759100000000004</v>
      </c>
      <c r="AD59">
        <v>90.3643</v>
      </c>
      <c r="AE59">
        <v>93.182100000000005</v>
      </c>
      <c r="AF59">
        <v>103.13639999999999</v>
      </c>
      <c r="AG59">
        <v>194.07329999999999</v>
      </c>
      <c r="AH59">
        <v>210.22450000000001</v>
      </c>
      <c r="AI59">
        <v>247.19030000000001</v>
      </c>
      <c r="AJ59">
        <v>254.36089999999999</v>
      </c>
    </row>
    <row r="60" spans="1:36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84.868200000000002</v>
      </c>
      <c r="N63">
        <v>83.630899999999997</v>
      </c>
      <c r="O63">
        <v>82.393699999999995</v>
      </c>
      <c r="P63">
        <v>81.168899999999994</v>
      </c>
      <c r="Q63">
        <v>97.726699999999994</v>
      </c>
      <c r="R63">
        <v>96.293899999999994</v>
      </c>
      <c r="S63">
        <v>94.905199999999994</v>
      </c>
      <c r="T63">
        <v>93.566000000000003</v>
      </c>
      <c r="U63">
        <v>92.280500000000004</v>
      </c>
      <c r="V63">
        <v>91.051199999999994</v>
      </c>
      <c r="W63">
        <v>271.959</v>
      </c>
      <c r="X63">
        <v>267.31900000000002</v>
      </c>
      <c r="Y63">
        <v>263.48610000000002</v>
      </c>
      <c r="Z63">
        <v>260.04730000000001</v>
      </c>
      <c r="AA63">
        <v>256.79829999999998</v>
      </c>
      <c r="AB63">
        <v>254.6138</v>
      </c>
      <c r="AC63">
        <v>253.13919999999999</v>
      </c>
      <c r="AD63">
        <v>252.26439999999999</v>
      </c>
      <c r="AE63">
        <v>251.85919999999999</v>
      </c>
      <c r="AF63">
        <v>251.93549999999999</v>
      </c>
      <c r="AG63">
        <v>398.9194</v>
      </c>
      <c r="AH63">
        <v>410.8526</v>
      </c>
      <c r="AI63">
        <v>422.78579999999999</v>
      </c>
      <c r="AJ63">
        <v>434.71899999999999</v>
      </c>
    </row>
    <row r="64" spans="1:36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27.5809</v>
      </c>
      <c r="E65">
        <v>27.385999999999999</v>
      </c>
      <c r="F65">
        <v>27.189800000000002</v>
      </c>
      <c r="G65">
        <v>26.9925</v>
      </c>
      <c r="H65">
        <v>26.794699999999999</v>
      </c>
      <c r="I65">
        <v>26.597000000000001</v>
      </c>
      <c r="J65">
        <v>26.400099999999998</v>
      </c>
      <c r="K65">
        <v>26.2044</v>
      </c>
      <c r="L65">
        <v>26.0108</v>
      </c>
      <c r="M65">
        <v>24.562100000000001</v>
      </c>
      <c r="N65">
        <v>24.3627</v>
      </c>
      <c r="O65">
        <v>24.163900000000002</v>
      </c>
      <c r="P65">
        <v>23.967600000000001</v>
      </c>
      <c r="Q65">
        <v>23.775300000000001</v>
      </c>
      <c r="R65">
        <v>23.588200000000001</v>
      </c>
      <c r="S65">
        <v>23.4071</v>
      </c>
      <c r="T65">
        <v>23.232700000000001</v>
      </c>
      <c r="U65">
        <v>23.0655</v>
      </c>
      <c r="V65">
        <v>11.909599999999999</v>
      </c>
      <c r="W65">
        <v>8.5254999999999992</v>
      </c>
      <c r="X65">
        <v>8.4525000000000006</v>
      </c>
      <c r="Y65">
        <v>8.3869000000000007</v>
      </c>
      <c r="Z65">
        <v>8.3277999999999999</v>
      </c>
      <c r="AA65">
        <v>8.2745999999999995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170</v>
      </c>
      <c r="C84">
        <v>591.16880000000003</v>
      </c>
      <c r="D84">
        <v>605.84</v>
      </c>
      <c r="E84">
        <v>620.94770000000005</v>
      </c>
      <c r="F84">
        <v>635.57619999999997</v>
      </c>
      <c r="G84">
        <v>650.59079999999994</v>
      </c>
      <c r="H84">
        <v>665.37440000000004</v>
      </c>
      <c r="I84">
        <v>683.86810000000003</v>
      </c>
      <c r="J84">
        <v>702.06700000000001</v>
      </c>
      <c r="K84">
        <v>720.28599999999994</v>
      </c>
      <c r="L84">
        <v>737.83040000000005</v>
      </c>
      <c r="M84">
        <v>736.03340000000003</v>
      </c>
      <c r="N84">
        <v>747.7672</v>
      </c>
      <c r="O84">
        <v>770.37049999999999</v>
      </c>
      <c r="P84">
        <v>793.58749999999998</v>
      </c>
      <c r="Q84">
        <v>815.23159999999996</v>
      </c>
      <c r="R84">
        <v>833.94569999999999</v>
      </c>
      <c r="S84">
        <v>855.07140000000004</v>
      </c>
      <c r="T84">
        <v>876.16240000000005</v>
      </c>
      <c r="U84">
        <v>895.43979999999999</v>
      </c>
      <c r="V84">
        <v>913.83929999999998</v>
      </c>
      <c r="W84">
        <v>929.19280000000003</v>
      </c>
      <c r="X84">
        <v>954.59040000000005</v>
      </c>
      <c r="Y84">
        <v>977.726</v>
      </c>
      <c r="Z84">
        <v>1003.3694</v>
      </c>
      <c r="AA84">
        <v>1032.6974</v>
      </c>
      <c r="AB84">
        <v>1062.1025999999999</v>
      </c>
      <c r="AC84">
        <v>1093.8486</v>
      </c>
      <c r="AD84">
        <v>1125.6596</v>
      </c>
      <c r="AE84">
        <v>1158.0459000000001</v>
      </c>
      <c r="AF84">
        <v>1187.1614</v>
      </c>
      <c r="AG84">
        <v>1210.1777</v>
      </c>
      <c r="AH84">
        <v>1243.9462000000001</v>
      </c>
      <c r="AI84">
        <v>1277.4829999999999</v>
      </c>
      <c r="AJ84">
        <v>1311.4782</v>
      </c>
    </row>
    <row r="85" spans="1:36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183</v>
      </c>
      <c r="C97">
        <v>0</v>
      </c>
      <c r="D97">
        <v>1.776</v>
      </c>
      <c r="E97">
        <v>3.5512999999999999</v>
      </c>
      <c r="F97">
        <v>5.3272000000000004</v>
      </c>
      <c r="G97">
        <v>7.1032000000000002</v>
      </c>
      <c r="H97">
        <v>8.8785000000000007</v>
      </c>
      <c r="I97">
        <v>10.654400000000001</v>
      </c>
      <c r="J97">
        <v>12.4297</v>
      </c>
      <c r="K97">
        <v>14.2057</v>
      </c>
      <c r="L97">
        <v>15.9816</v>
      </c>
      <c r="M97">
        <v>17.756900000000002</v>
      </c>
      <c r="N97">
        <v>19.532900000000001</v>
      </c>
      <c r="O97">
        <v>21.308800000000002</v>
      </c>
      <c r="P97">
        <v>24.369900000000001</v>
      </c>
      <c r="Q97">
        <v>25.137799999999999</v>
      </c>
      <c r="R97">
        <v>23.361799999999999</v>
      </c>
      <c r="S97">
        <v>21.586500000000001</v>
      </c>
      <c r="T97">
        <v>19.810600000000001</v>
      </c>
      <c r="U97">
        <v>18.034600000000001</v>
      </c>
      <c r="V97">
        <v>14.4833</v>
      </c>
      <c r="W97">
        <v>10.9321</v>
      </c>
      <c r="X97">
        <v>7.3802000000000003</v>
      </c>
      <c r="Y97">
        <v>2.5432000000000001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184</v>
      </c>
      <c r="C98">
        <v>19.2073</v>
      </c>
      <c r="D98">
        <v>19.3109</v>
      </c>
      <c r="E98">
        <v>19.3964</v>
      </c>
      <c r="F98">
        <v>19.4818</v>
      </c>
      <c r="G98">
        <v>19.589200000000002</v>
      </c>
      <c r="H98">
        <v>19.652699999999999</v>
      </c>
      <c r="I98">
        <v>19.725200000000001</v>
      </c>
      <c r="J98">
        <v>19.797799999999999</v>
      </c>
      <c r="K98">
        <v>19.8703</v>
      </c>
      <c r="L98">
        <v>20.146599999999999</v>
      </c>
      <c r="M98">
        <v>19.627300000000002</v>
      </c>
      <c r="N98">
        <v>20.0688</v>
      </c>
      <c r="O98">
        <v>20.122299999999999</v>
      </c>
      <c r="P98">
        <v>20.128900000000002</v>
      </c>
      <c r="Q98">
        <v>20.456</v>
      </c>
      <c r="R98">
        <v>20.642499999999998</v>
      </c>
      <c r="S98">
        <v>21.064800000000002</v>
      </c>
      <c r="T98">
        <v>21.487200000000001</v>
      </c>
      <c r="U98">
        <v>22.047999999999998</v>
      </c>
      <c r="V98">
        <v>22.150500000000001</v>
      </c>
      <c r="W98">
        <v>23.343399999999999</v>
      </c>
      <c r="X98">
        <v>23.827999999999999</v>
      </c>
      <c r="Y98">
        <v>24.4756</v>
      </c>
      <c r="Z98">
        <v>24.959800000000001</v>
      </c>
      <c r="AA98">
        <v>25.1646</v>
      </c>
      <c r="AB98">
        <v>25.369599999999998</v>
      </c>
      <c r="AC98">
        <v>25.5502</v>
      </c>
      <c r="AD98">
        <v>25.730699999999999</v>
      </c>
      <c r="AE98">
        <v>25.844999999999999</v>
      </c>
      <c r="AF98">
        <v>25.517900000000001</v>
      </c>
      <c r="AG98">
        <v>26.272500000000001</v>
      </c>
      <c r="AH98">
        <v>26.4316</v>
      </c>
      <c r="AI98">
        <v>26.590699999999998</v>
      </c>
      <c r="AJ98">
        <v>26.7498</v>
      </c>
    </row>
    <row r="99" spans="1:36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18.2545</v>
      </c>
      <c r="S106">
        <v>37.958300000000001</v>
      </c>
      <c r="T106">
        <v>57.5717</v>
      </c>
      <c r="U106">
        <v>84.0702</v>
      </c>
      <c r="V106">
        <v>111.20780000000001</v>
      </c>
      <c r="W106">
        <v>156.17910000000001</v>
      </c>
      <c r="X106">
        <v>159.92760000000001</v>
      </c>
      <c r="Y106">
        <v>186.70580000000001</v>
      </c>
      <c r="Z106">
        <v>203.7509</v>
      </c>
      <c r="AA106">
        <v>206.94990000000001</v>
      </c>
      <c r="AB106">
        <v>210.16730000000001</v>
      </c>
      <c r="AC106">
        <v>213.26740000000001</v>
      </c>
      <c r="AD106">
        <v>216.37970000000001</v>
      </c>
      <c r="AE106">
        <v>219.51009999999999</v>
      </c>
      <c r="AF106">
        <v>222.65379999999999</v>
      </c>
      <c r="AG106">
        <v>224.40350000000001</v>
      </c>
      <c r="AH106">
        <v>227.43780000000001</v>
      </c>
      <c r="AI106">
        <v>230.46860000000001</v>
      </c>
      <c r="AJ106">
        <v>233.50290000000001</v>
      </c>
    </row>
    <row r="107" spans="1:36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309.5376</v>
      </c>
      <c r="S108">
        <v>299.8562</v>
      </c>
      <c r="T108">
        <v>290.15120000000002</v>
      </c>
      <c r="U108">
        <v>273.66789999999997</v>
      </c>
      <c r="V108">
        <v>256.43970000000002</v>
      </c>
      <c r="W108">
        <v>234.01130000000001</v>
      </c>
      <c r="X108">
        <v>225.23490000000001</v>
      </c>
      <c r="Y108">
        <v>206.85650000000001</v>
      </c>
      <c r="Z108">
        <v>198.03460000000001</v>
      </c>
      <c r="AA108">
        <v>202.90710000000001</v>
      </c>
      <c r="AB108">
        <v>207.7731</v>
      </c>
      <c r="AC108">
        <v>211.25149999999999</v>
      </c>
      <c r="AD108">
        <v>214.727</v>
      </c>
      <c r="AE108">
        <v>218.1996</v>
      </c>
      <c r="AF108">
        <v>221.6696</v>
      </c>
      <c r="AG108">
        <v>225.41669999999999</v>
      </c>
      <c r="AH108">
        <v>227.50700000000001</v>
      </c>
      <c r="AI108">
        <v>229.60079999999999</v>
      </c>
      <c r="AJ108">
        <v>231.69110000000001</v>
      </c>
    </row>
    <row r="109" spans="1:36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0.48</v>
      </c>
      <c r="I113">
        <v>0.72</v>
      </c>
      <c r="J113">
        <v>0.96</v>
      </c>
      <c r="K113">
        <v>0.96</v>
      </c>
      <c r="L113">
        <v>1.224</v>
      </c>
      <c r="M113">
        <v>1.5596000000000001</v>
      </c>
      <c r="N113">
        <v>1.704</v>
      </c>
      <c r="O113">
        <v>1.7359</v>
      </c>
      <c r="P113">
        <v>1.9759</v>
      </c>
      <c r="Q113">
        <v>2.2159</v>
      </c>
      <c r="R113">
        <v>2.4559000000000002</v>
      </c>
      <c r="S113">
        <v>2.6959</v>
      </c>
      <c r="T113">
        <v>2.9359000000000002</v>
      </c>
      <c r="U113">
        <v>3.1758999999999999</v>
      </c>
      <c r="V113">
        <v>3.6558999999999999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0.48</v>
      </c>
      <c r="I116">
        <v>0.72</v>
      </c>
      <c r="J116">
        <v>0.72</v>
      </c>
      <c r="K116">
        <v>0.96</v>
      </c>
      <c r="L116">
        <v>0.98399999999999999</v>
      </c>
      <c r="M116">
        <v>1.3196000000000001</v>
      </c>
      <c r="N116">
        <v>1.464</v>
      </c>
      <c r="O116">
        <v>1.4959</v>
      </c>
      <c r="P116">
        <v>1.7359</v>
      </c>
      <c r="Q116">
        <v>1.9759</v>
      </c>
      <c r="R116">
        <v>2.2159</v>
      </c>
      <c r="S116">
        <v>2.4559000000000002</v>
      </c>
      <c r="T116">
        <v>2.6959</v>
      </c>
      <c r="U116">
        <v>2.9359000000000002</v>
      </c>
      <c r="V116">
        <v>3.1758999999999999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24064.405999999999</v>
      </c>
      <c r="E17">
        <v>365.74430000000001</v>
      </c>
      <c r="F17">
        <v>603.01499999999999</v>
      </c>
      <c r="G17">
        <v>451.44139999999999</v>
      </c>
      <c r="H17">
        <v>368.12459999999999</v>
      </c>
      <c r="I17">
        <v>390.1866</v>
      </c>
      <c r="J17">
        <v>364.9461</v>
      </c>
      <c r="K17">
        <v>456.22289999999998</v>
      </c>
      <c r="L17">
        <v>170.56620000000001</v>
      </c>
      <c r="M17">
        <v>306.43119999999999</v>
      </c>
      <c r="N17">
        <v>378.12810000000002</v>
      </c>
      <c r="O17">
        <v>244.18459999999999</v>
      </c>
      <c r="P17">
        <v>323.24799999999999</v>
      </c>
      <c r="Q17">
        <v>316.29649999999998</v>
      </c>
      <c r="R17">
        <v>1194.3525999999999</v>
      </c>
      <c r="S17">
        <v>24350.205999999998</v>
      </c>
      <c r="T17">
        <v>651.54420000000005</v>
      </c>
      <c r="U17">
        <v>888.91489999999999</v>
      </c>
      <c r="V17">
        <v>737.24130000000002</v>
      </c>
      <c r="W17">
        <v>654.02449999999999</v>
      </c>
      <c r="X17">
        <v>644.0865</v>
      </c>
      <c r="Y17">
        <v>618.846</v>
      </c>
      <c r="Z17">
        <v>710.12279999999998</v>
      </c>
      <c r="AA17">
        <v>424.46609999999998</v>
      </c>
      <c r="AB17">
        <v>560.43110000000001</v>
      </c>
      <c r="AC17">
        <v>597.82809999999995</v>
      </c>
      <c r="AD17">
        <v>463.88459999999998</v>
      </c>
      <c r="AE17">
        <v>542.9479</v>
      </c>
      <c r="AF17">
        <v>536.09640000000002</v>
      </c>
      <c r="AG17">
        <v>1414.0525</v>
      </c>
      <c r="AH17">
        <v>24539.806</v>
      </c>
      <c r="AI17">
        <v>841.04420000000005</v>
      </c>
      <c r="AJ17">
        <v>1078.5148999999999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46.082599999999999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120.57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1347.0118</v>
      </c>
      <c r="E31">
        <v>46.345199999999998</v>
      </c>
      <c r="F31">
        <v>46.082599999999999</v>
      </c>
      <c r="G31">
        <v>45.829300000000003</v>
      </c>
      <c r="H31">
        <v>45.5854</v>
      </c>
      <c r="I31">
        <v>49.068199999999997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1286.0038999999999</v>
      </c>
      <c r="AD31">
        <v>120.6998</v>
      </c>
      <c r="AE31">
        <v>120.57</v>
      </c>
      <c r="AF31">
        <v>120.4532</v>
      </c>
      <c r="AG31">
        <v>119.4019</v>
      </c>
      <c r="AH31">
        <v>130.55500000000001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820</v>
      </c>
      <c r="F46">
        <v>60</v>
      </c>
      <c r="G46">
        <v>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1798</v>
      </c>
      <c r="E49">
        <v>973</v>
      </c>
      <c r="F49">
        <v>0</v>
      </c>
      <c r="G49">
        <v>112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37</v>
      </c>
      <c r="F52">
        <v>0</v>
      </c>
      <c r="G52">
        <v>0</v>
      </c>
      <c r="H52">
        <v>357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1129.1443999999999</v>
      </c>
      <c r="E56">
        <v>1198.2947999999999</v>
      </c>
      <c r="F56">
        <v>0</v>
      </c>
      <c r="G56">
        <v>934.46439999999996</v>
      </c>
      <c r="H56">
        <v>0</v>
      </c>
      <c r="I56">
        <v>0</v>
      </c>
      <c r="J56">
        <v>1012.0767</v>
      </c>
      <c r="K56">
        <v>765.18</v>
      </c>
      <c r="L56">
        <v>4863.8531000000003</v>
      </c>
      <c r="M56">
        <v>964.15260000000001</v>
      </c>
      <c r="N56">
        <v>1103.9965</v>
      </c>
      <c r="O56">
        <v>3132.2561999999998</v>
      </c>
      <c r="P56">
        <v>1754.9277</v>
      </c>
      <c r="Q56">
        <v>1884.9522999999999</v>
      </c>
      <c r="R56">
        <v>1845.1280999999999</v>
      </c>
      <c r="S56">
        <v>3534.2465000000002</v>
      </c>
      <c r="T56">
        <v>3125.1370000000002</v>
      </c>
      <c r="U56">
        <v>3106.6158</v>
      </c>
      <c r="V56">
        <v>3128.7356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484.8974</v>
      </c>
      <c r="AG56">
        <v>20928.813999999998</v>
      </c>
      <c r="AH56">
        <v>1551.9603</v>
      </c>
      <c r="AI56">
        <v>631.28039999999999</v>
      </c>
      <c r="AJ56">
        <v>3546.3090999999999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2486.1774999999998</v>
      </c>
      <c r="D59">
        <v>0</v>
      </c>
      <c r="E59">
        <v>27.014099999999999</v>
      </c>
      <c r="F59">
        <v>79.513199999999998</v>
      </c>
      <c r="G59">
        <v>59.8048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587.05499999999995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532.62440000000004</v>
      </c>
      <c r="W60">
        <v>202.00239999999999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893.2681</v>
      </c>
      <c r="AD60">
        <v>574.27769999999998</v>
      </c>
      <c r="AE60">
        <v>86.975999999999999</v>
      </c>
      <c r="AF60">
        <v>307.25459999999998</v>
      </c>
      <c r="AG60">
        <v>3393.9580999999998</v>
      </c>
      <c r="AH60">
        <v>498.53129999999999</v>
      </c>
      <c r="AI60">
        <v>1141.0023000000001</v>
      </c>
      <c r="AJ60">
        <v>221.3322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4252.6674999999996</v>
      </c>
      <c r="N64">
        <v>0</v>
      </c>
      <c r="O64">
        <v>0</v>
      </c>
      <c r="P64">
        <v>0</v>
      </c>
      <c r="Q64">
        <v>1216.0231000000001</v>
      </c>
      <c r="R64">
        <v>0</v>
      </c>
      <c r="S64">
        <v>0</v>
      </c>
      <c r="T64">
        <v>0</v>
      </c>
      <c r="U64">
        <v>0</v>
      </c>
      <c r="V64">
        <v>0</v>
      </c>
      <c r="W64">
        <v>11778.893</v>
      </c>
      <c r="X64">
        <v>0</v>
      </c>
      <c r="Y64">
        <v>21.5258</v>
      </c>
      <c r="Z64">
        <v>20.137499999999999</v>
      </c>
      <c r="AA64">
        <v>17.750800000000002</v>
      </c>
      <c r="AB64">
        <v>81.8108</v>
      </c>
      <c r="AC64">
        <v>330.33249999999998</v>
      </c>
      <c r="AD64">
        <v>130.45349999999999</v>
      </c>
      <c r="AE64">
        <v>110.1559</v>
      </c>
      <c r="AF64">
        <v>143.35040000000001</v>
      </c>
      <c r="AG64">
        <v>9128.9716000000008</v>
      </c>
      <c r="AH64">
        <v>753.8048</v>
      </c>
      <c r="AI64">
        <v>754.6028</v>
      </c>
      <c r="AJ64">
        <v>706.77599999999995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9399.0951000000005</v>
      </c>
      <c r="D85">
        <v>271.77519999999998</v>
      </c>
      <c r="E85">
        <v>279.23140000000001</v>
      </c>
      <c r="F85">
        <v>271.42770000000002</v>
      </c>
      <c r="G85">
        <v>278.03590000000003</v>
      </c>
      <c r="H85">
        <v>274.34530000000001</v>
      </c>
      <c r="I85">
        <v>336.31979999999999</v>
      </c>
      <c r="J85">
        <v>331.57080000000002</v>
      </c>
      <c r="K85">
        <v>332.03899999999999</v>
      </c>
      <c r="L85">
        <v>320.9024</v>
      </c>
      <c r="M85">
        <v>0</v>
      </c>
      <c r="N85">
        <v>224.59989999999999</v>
      </c>
      <c r="O85">
        <v>405.8999</v>
      </c>
      <c r="P85">
        <v>416.31529999999998</v>
      </c>
      <c r="Q85">
        <v>390.2056</v>
      </c>
      <c r="R85">
        <v>341.38029999999998</v>
      </c>
      <c r="S85">
        <v>381.48230000000001</v>
      </c>
      <c r="T85">
        <v>380.78680000000003</v>
      </c>
      <c r="U85">
        <v>350.39210000000003</v>
      </c>
      <c r="V85">
        <v>335.5342</v>
      </c>
      <c r="W85">
        <v>294.56549999999999</v>
      </c>
      <c r="X85">
        <v>454.76670000000001</v>
      </c>
      <c r="Y85">
        <v>416.14859999999999</v>
      </c>
      <c r="Z85">
        <v>457.06560000000002</v>
      </c>
      <c r="AA85">
        <v>499.11790000000002</v>
      </c>
      <c r="AB85">
        <v>9723.8184000000001</v>
      </c>
      <c r="AC85">
        <v>804.11289999999997</v>
      </c>
      <c r="AD85">
        <v>812.01649999999995</v>
      </c>
      <c r="AE85">
        <v>813.49030000000005</v>
      </c>
      <c r="AF85">
        <v>765.06690000000003</v>
      </c>
      <c r="AG85">
        <v>712.82690000000002</v>
      </c>
      <c r="AH85">
        <v>892.88760000000002</v>
      </c>
      <c r="AI85">
        <v>884.61210000000005</v>
      </c>
      <c r="AJ85">
        <v>892.95809999999994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1404.0859</v>
      </c>
      <c r="E94">
        <v>133.53729999999999</v>
      </c>
      <c r="F94">
        <v>133.87520000000001</v>
      </c>
      <c r="G94">
        <v>6040.0355</v>
      </c>
      <c r="H94">
        <v>105.8085</v>
      </c>
      <c r="I94">
        <v>100.834</v>
      </c>
      <c r="J94">
        <v>101.0825</v>
      </c>
      <c r="K94">
        <v>101.32850000000001</v>
      </c>
      <c r="L94">
        <v>101.5714</v>
      </c>
      <c r="M94">
        <v>101.849</v>
      </c>
      <c r="N94">
        <v>99.0655</v>
      </c>
      <c r="O94">
        <v>99.310100000000006</v>
      </c>
      <c r="P94">
        <v>99.552400000000006</v>
      </c>
      <c r="Q94">
        <v>275.37709999999998</v>
      </c>
      <c r="R94">
        <v>1579.1428000000001</v>
      </c>
      <c r="S94">
        <v>1813.3887999999999</v>
      </c>
      <c r="T94">
        <v>495.78019999999998</v>
      </c>
      <c r="U94">
        <v>496.80770000000001</v>
      </c>
      <c r="V94">
        <v>6617.3001999999997</v>
      </c>
      <c r="W94">
        <v>469.91930000000002</v>
      </c>
      <c r="X94">
        <v>696.56920000000002</v>
      </c>
      <c r="Y94">
        <v>698.08360000000005</v>
      </c>
      <c r="Z94">
        <v>699.44659999999999</v>
      </c>
      <c r="AA94">
        <v>700.67319999999995</v>
      </c>
      <c r="AB94">
        <v>701.77719999999999</v>
      </c>
      <c r="AC94">
        <v>846.82100000000003</v>
      </c>
      <c r="AD94">
        <v>847.89859999999999</v>
      </c>
      <c r="AE94">
        <v>848.86829999999998</v>
      </c>
      <c r="AF94">
        <v>1030.5691999999999</v>
      </c>
      <c r="AG94">
        <v>2391.3834999999999</v>
      </c>
      <c r="AH94">
        <v>2786.3453</v>
      </c>
      <c r="AI94">
        <v>1421.9969000000001</v>
      </c>
      <c r="AJ94">
        <v>1421.9969000000001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61.203000000000003</v>
      </c>
      <c r="E98">
        <v>61.18</v>
      </c>
      <c r="F98">
        <v>61.203000000000003</v>
      </c>
      <c r="G98">
        <v>61.203000000000003</v>
      </c>
      <c r="H98">
        <v>61.18</v>
      </c>
      <c r="I98">
        <v>61.203000000000003</v>
      </c>
      <c r="J98">
        <v>61.18</v>
      </c>
      <c r="K98">
        <v>61.203000000000003</v>
      </c>
      <c r="L98">
        <v>61.203000000000003</v>
      </c>
      <c r="M98">
        <v>122.383</v>
      </c>
      <c r="N98">
        <v>122.383</v>
      </c>
      <c r="O98">
        <v>122.40600000000001</v>
      </c>
      <c r="P98">
        <v>166.69210000000001</v>
      </c>
      <c r="Q98">
        <v>87.643199999999993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32.496499999999997</v>
      </c>
      <c r="D99">
        <v>180.8647</v>
      </c>
      <c r="E99">
        <v>177.89070000000001</v>
      </c>
      <c r="F99">
        <v>178.74870000000001</v>
      </c>
      <c r="G99">
        <v>180.42779999999999</v>
      </c>
      <c r="H99">
        <v>176.2201</v>
      </c>
      <c r="I99">
        <v>176.3826</v>
      </c>
      <c r="J99">
        <v>176.39949999999999</v>
      </c>
      <c r="K99">
        <v>177.2576</v>
      </c>
      <c r="L99">
        <v>199.9659</v>
      </c>
      <c r="M99">
        <v>108.80249999999999</v>
      </c>
      <c r="N99">
        <v>219.07740000000001</v>
      </c>
      <c r="O99">
        <v>175.06370000000001</v>
      </c>
      <c r="P99">
        <v>168.75450000000001</v>
      </c>
      <c r="Q99">
        <v>37.8339</v>
      </c>
      <c r="R99">
        <v>54.069899999999997</v>
      </c>
      <c r="S99">
        <v>229.7227</v>
      </c>
      <c r="T99">
        <v>226.74870000000001</v>
      </c>
      <c r="U99">
        <v>243.62090000000001</v>
      </c>
      <c r="V99">
        <v>192.2792</v>
      </c>
      <c r="W99">
        <v>314.19900000000001</v>
      </c>
      <c r="X99">
        <v>232.44460000000001</v>
      </c>
      <c r="Y99">
        <v>251.31180000000001</v>
      </c>
      <c r="Z99">
        <v>233.2612</v>
      </c>
      <c r="AA99">
        <v>223.661</v>
      </c>
      <c r="AB99">
        <v>132.506</v>
      </c>
      <c r="AC99">
        <v>239.9667</v>
      </c>
      <c r="AD99">
        <v>195.953</v>
      </c>
      <c r="AE99">
        <v>181.9675</v>
      </c>
      <c r="AF99">
        <v>0</v>
      </c>
      <c r="AG99">
        <v>141.35890000000001</v>
      </c>
      <c r="AH99">
        <v>248.125</v>
      </c>
      <c r="AI99">
        <v>245.15100000000001</v>
      </c>
      <c r="AJ99">
        <v>262.02319999999997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1216.9698000000001</v>
      </c>
      <c r="S107">
        <v>1316.7561000000001</v>
      </c>
      <c r="T107">
        <v>1313.7706000000001</v>
      </c>
      <c r="U107">
        <v>1775.4244000000001</v>
      </c>
      <c r="V107">
        <v>1821.3032000000001</v>
      </c>
      <c r="W107">
        <v>3069.1658000000002</v>
      </c>
      <c r="X107">
        <v>268.23809999999997</v>
      </c>
      <c r="Y107">
        <v>1802.1434999999999</v>
      </c>
      <c r="Z107">
        <v>1154.152</v>
      </c>
      <c r="AA107">
        <v>230.79519999999999</v>
      </c>
      <c r="AB107">
        <v>230.52680000000001</v>
      </c>
      <c r="AC107">
        <v>221.35400000000001</v>
      </c>
      <c r="AD107">
        <v>220.90389999999999</v>
      </c>
      <c r="AE107">
        <v>220.9571</v>
      </c>
      <c r="AF107">
        <v>220.78790000000001</v>
      </c>
      <c r="AG107">
        <v>1391.8530000000001</v>
      </c>
      <c r="AH107">
        <v>1474.5989999999999</v>
      </c>
      <c r="AI107">
        <v>1474.5989999999999</v>
      </c>
      <c r="AJ107">
        <v>1925.9838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0</v>
      </c>
      <c r="S109">
        <v>867.08190000000002</v>
      </c>
      <c r="T109">
        <v>867.27729999999997</v>
      </c>
      <c r="U109">
        <v>402.85809999999998</v>
      </c>
      <c r="V109">
        <v>369.11020000000002</v>
      </c>
      <c r="W109">
        <v>0</v>
      </c>
      <c r="X109">
        <v>971.62850000000003</v>
      </c>
      <c r="Y109">
        <v>318.26870000000002</v>
      </c>
      <c r="Z109">
        <v>970.85220000000004</v>
      </c>
      <c r="AA109">
        <v>1884.7617</v>
      </c>
      <c r="AB109">
        <v>1885.1966</v>
      </c>
      <c r="AC109">
        <v>1775.1904999999999</v>
      </c>
      <c r="AD109">
        <v>1789.9975999999999</v>
      </c>
      <c r="AE109">
        <v>1790.0586000000001</v>
      </c>
      <c r="AF109">
        <v>864.95979999999997</v>
      </c>
      <c r="AG109">
        <v>229.6885</v>
      </c>
      <c r="AH109">
        <v>1012.4021</v>
      </c>
      <c r="AI109">
        <v>1012.4021</v>
      </c>
      <c r="AJ109">
        <v>544.58920000000001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0</v>
      </c>
      <c r="I114">
        <v>16</v>
      </c>
      <c r="J114">
        <v>16</v>
      </c>
      <c r="K114">
        <v>0</v>
      </c>
      <c r="L114">
        <v>17.600000000000001</v>
      </c>
      <c r="M114">
        <v>22.371200000000002</v>
      </c>
      <c r="N114">
        <v>9.6288</v>
      </c>
      <c r="O114">
        <v>2.1236999999999999</v>
      </c>
      <c r="P114">
        <v>16</v>
      </c>
      <c r="Q114">
        <v>16</v>
      </c>
      <c r="R114">
        <v>16</v>
      </c>
      <c r="S114">
        <v>16</v>
      </c>
      <c r="T114">
        <v>16</v>
      </c>
      <c r="U114">
        <v>16</v>
      </c>
      <c r="V114">
        <v>32</v>
      </c>
      <c r="W114">
        <v>44.276200000000003</v>
      </c>
      <c r="X114">
        <v>16</v>
      </c>
      <c r="Y114">
        <v>48</v>
      </c>
      <c r="Z114">
        <v>32</v>
      </c>
      <c r="AA114">
        <v>32</v>
      </c>
      <c r="AB114">
        <v>32</v>
      </c>
      <c r="AC114">
        <v>48</v>
      </c>
      <c r="AD114">
        <v>48</v>
      </c>
      <c r="AE114">
        <v>32</v>
      </c>
      <c r="AF114">
        <v>49.6</v>
      </c>
      <c r="AG114">
        <v>54.371200000000002</v>
      </c>
      <c r="AH114">
        <v>57.628799999999998</v>
      </c>
      <c r="AI114">
        <v>34.123699999999999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0</v>
      </c>
      <c r="I117">
        <v>16</v>
      </c>
      <c r="J117">
        <v>0</v>
      </c>
      <c r="K117">
        <v>16</v>
      </c>
      <c r="L117">
        <v>1.6</v>
      </c>
      <c r="M117">
        <v>22.371200000000002</v>
      </c>
      <c r="N117">
        <v>9.6288</v>
      </c>
      <c r="O117">
        <v>2.1236999999999999</v>
      </c>
      <c r="P117">
        <v>16</v>
      </c>
      <c r="Q117">
        <v>16</v>
      </c>
      <c r="R117">
        <v>16</v>
      </c>
      <c r="S117">
        <v>16</v>
      </c>
      <c r="T117">
        <v>16</v>
      </c>
      <c r="U117">
        <v>16</v>
      </c>
      <c r="V117">
        <v>16</v>
      </c>
      <c r="W117">
        <v>44.276200000000003</v>
      </c>
      <c r="X117">
        <v>32</v>
      </c>
      <c r="Y117">
        <v>32</v>
      </c>
      <c r="Z117">
        <v>16</v>
      </c>
      <c r="AA117">
        <v>48</v>
      </c>
      <c r="AB117">
        <v>16</v>
      </c>
      <c r="AC117">
        <v>48</v>
      </c>
      <c r="AD117">
        <v>32</v>
      </c>
      <c r="AE117">
        <v>48</v>
      </c>
      <c r="AF117">
        <v>33.6</v>
      </c>
      <c r="AG117">
        <v>54.371200000000002</v>
      </c>
      <c r="AH117">
        <v>41.628799999999998</v>
      </c>
      <c r="AI117">
        <v>34.123699999999999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4"/>
  <sheetViews>
    <sheetView topLeftCell="A37" workbookViewId="0">
      <selection activeCell="A45" sqref="A45:XFD46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4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4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4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4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4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4" t="s">
        <v>103</v>
      </c>
      <c r="C8" s="32"/>
      <c r="D8" s="32">
        <v>2208.0189752358001</v>
      </c>
      <c r="E8" s="32">
        <v>2241.5776824187001</v>
      </c>
      <c r="F8" s="32">
        <v>2296.9070581926999</v>
      </c>
      <c r="G8" s="32">
        <v>2338.3288650475001</v>
      </c>
      <c r="H8" s="32">
        <v>2372.1059756087002</v>
      </c>
      <c r="I8" s="32">
        <v>2407.9073752643999</v>
      </c>
      <c r="J8" s="32">
        <v>2441.3928439577999</v>
      </c>
      <c r="K8" s="32">
        <v>2483.2533752394002</v>
      </c>
      <c r="L8" s="32">
        <v>2498.9036018078</v>
      </c>
      <c r="M8" s="32">
        <v>2527.02006162</v>
      </c>
      <c r="N8" s="32">
        <v>2561.7150389184999</v>
      </c>
      <c r="O8" s="32">
        <v>2584.1200893594</v>
      </c>
      <c r="P8" s="32">
        <v>2613.7795672499001</v>
      </c>
      <c r="Q8" s="32">
        <v>2642.8012133193001</v>
      </c>
      <c r="R8" s="32">
        <v>2752.3885101727001</v>
      </c>
      <c r="S8" s="32">
        <v>2778.6119633142998</v>
      </c>
      <c r="T8" s="32">
        <v>2804.8354072805</v>
      </c>
      <c r="U8" s="32">
        <v>2831.0680267026</v>
      </c>
      <c r="V8" s="32">
        <v>2857.2914706687998</v>
      </c>
      <c r="W8" s="32">
        <v>2883.5240900909998</v>
      </c>
      <c r="X8" s="32">
        <v>2906.8205636050002</v>
      </c>
      <c r="Y8" s="32">
        <v>2930.1170371191001</v>
      </c>
      <c r="Z8" s="32">
        <v>2953.4135106331</v>
      </c>
      <c r="AA8" s="32">
        <v>2976.7099841472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4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4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4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143.95070369320001</v>
      </c>
      <c r="G11" s="32">
        <v>147.04756221829999</v>
      </c>
      <c r="H11" s="32">
        <v>150.1279395011</v>
      </c>
      <c r="I11" s="32">
        <v>153.44366270610001</v>
      </c>
      <c r="J11" s="32">
        <v>156.74291818360001</v>
      </c>
      <c r="K11" s="32">
        <v>160.0263816714</v>
      </c>
      <c r="L11" s="32">
        <v>163.29472214960001</v>
      </c>
      <c r="M11" s="32">
        <v>166.5178692913</v>
      </c>
      <c r="N11" s="32">
        <v>170.15337184270001</v>
      </c>
      <c r="O11" s="32">
        <v>173.7741162829</v>
      </c>
      <c r="P11" s="32">
        <v>177.3808797104</v>
      </c>
      <c r="Q11" s="32">
        <v>180.97442570870001</v>
      </c>
      <c r="R11" s="32">
        <v>184.555511104</v>
      </c>
      <c r="S11" s="32">
        <v>188.78726431960001</v>
      </c>
      <c r="T11" s="32">
        <v>193.005962283</v>
      </c>
      <c r="U11" s="32">
        <v>197.212422637</v>
      </c>
      <c r="V11" s="32">
        <v>201.40742923709999</v>
      </c>
      <c r="W11" s="32">
        <v>205.55181632700001</v>
      </c>
      <c r="X11" s="32">
        <v>210.35264203700001</v>
      </c>
      <c r="Y11" s="32">
        <v>215.143838485</v>
      </c>
      <c r="Z11" s="32">
        <v>219.92939252330001</v>
      </c>
      <c r="AA11" s="32">
        <v>224.62880352100001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4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4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4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4" t="s">
        <v>117</v>
      </c>
      <c r="C15" s="32">
        <v>46.682344880000002</v>
      </c>
      <c r="D15" s="32">
        <v>137.70500890010001</v>
      </c>
      <c r="E15" s="32">
        <v>140.83672873250001</v>
      </c>
      <c r="F15" s="32">
        <v>143.95070369320001</v>
      </c>
      <c r="G15" s="32">
        <v>147.04756221829999</v>
      </c>
      <c r="H15" s="32">
        <v>150.1279395011</v>
      </c>
      <c r="I15" s="32">
        <v>153.44366270610001</v>
      </c>
      <c r="J15" s="32">
        <v>156.74291818360001</v>
      </c>
      <c r="K15" s="32">
        <v>160.0263816714</v>
      </c>
      <c r="L15" s="32">
        <v>163.29472214960001</v>
      </c>
      <c r="M15" s="32">
        <v>166.5178692913</v>
      </c>
      <c r="N15" s="32">
        <v>170.15337184270001</v>
      </c>
      <c r="O15" s="32">
        <v>173.7741162829</v>
      </c>
      <c r="P15" s="32">
        <v>177.3808797104</v>
      </c>
      <c r="Q15" s="32">
        <v>180.97442570870001</v>
      </c>
      <c r="R15" s="32">
        <v>184.555511104</v>
      </c>
      <c r="S15" s="32">
        <v>188.78726431960001</v>
      </c>
      <c r="T15" s="32">
        <v>193.005962283</v>
      </c>
      <c r="U15" s="32">
        <v>197.212422637</v>
      </c>
      <c r="V15" s="32">
        <v>201.40742923709999</v>
      </c>
      <c r="W15" s="32">
        <v>205.55181632700001</v>
      </c>
      <c r="X15" s="32">
        <v>210.35264203700001</v>
      </c>
      <c r="Y15" s="32">
        <v>215.143838485</v>
      </c>
      <c r="Z15" s="32">
        <v>219.92939252330001</v>
      </c>
      <c r="AA15" s="32">
        <v>224.62880352100001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4" t="s">
        <v>120</v>
      </c>
      <c r="C16" s="32">
        <v>0.2197161094</v>
      </c>
      <c r="D16" s="32">
        <v>0.2197161094</v>
      </c>
      <c r="E16" s="32">
        <v>0.2197161094</v>
      </c>
      <c r="F16" s="32">
        <v>0.2197161094</v>
      </c>
      <c r="G16" s="32">
        <v>0.2197161094</v>
      </c>
      <c r="H16" s="32">
        <v>0.2197161094</v>
      </c>
      <c r="I16" s="32">
        <v>0.2197161094</v>
      </c>
      <c r="J16" s="32">
        <v>0.2197161094</v>
      </c>
      <c r="K16" s="32">
        <v>0.2197161094</v>
      </c>
      <c r="L16" s="32">
        <v>0.2197161094</v>
      </c>
      <c r="M16" s="32">
        <v>0.2197161094</v>
      </c>
      <c r="N16" s="32">
        <v>0.2197161094</v>
      </c>
      <c r="O16" s="32">
        <v>0.2197161094</v>
      </c>
      <c r="P16" s="32">
        <v>0.2197161094</v>
      </c>
      <c r="Q16" s="32">
        <v>0.2197161094</v>
      </c>
      <c r="R16" s="32">
        <v>0.2197161094</v>
      </c>
      <c r="S16" s="32">
        <v>0.2197161094</v>
      </c>
      <c r="T16" s="32">
        <v>0.2197161094</v>
      </c>
      <c r="U16" s="32">
        <v>0.2197161094</v>
      </c>
      <c r="V16" s="32">
        <v>0.2197161094</v>
      </c>
      <c r="W16" s="32">
        <v>0.2197161094</v>
      </c>
      <c r="X16" s="32">
        <v>0.2197161094</v>
      </c>
      <c r="Y16" s="32">
        <v>0.2197161094</v>
      </c>
      <c r="Z16" s="32">
        <v>0.2197161094</v>
      </c>
      <c r="AA16" s="32">
        <v>0.2197161094</v>
      </c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4" t="s">
        <v>121</v>
      </c>
      <c r="C17" s="32">
        <v>34.242721657799997</v>
      </c>
      <c r="D17" s="32">
        <v>34.242721657799997</v>
      </c>
      <c r="E17" s="32">
        <v>34.242721657799997</v>
      </c>
      <c r="F17" s="32">
        <v>34.242721657799997</v>
      </c>
      <c r="G17" s="32">
        <v>34.242721657799997</v>
      </c>
      <c r="H17" s="32">
        <v>34.242721657799997</v>
      </c>
      <c r="I17" s="32">
        <v>34.242721657799997</v>
      </c>
      <c r="J17" s="32">
        <v>34.242721657799997</v>
      </c>
      <c r="K17" s="32">
        <v>34.242721657799997</v>
      </c>
      <c r="L17" s="32">
        <v>34.242721657799997</v>
      </c>
      <c r="M17" s="32">
        <v>34.242721657799997</v>
      </c>
      <c r="N17" s="32">
        <v>34.242721657799997</v>
      </c>
      <c r="O17" s="32">
        <v>34.242721657799997</v>
      </c>
      <c r="P17" s="32">
        <v>34.242721657799997</v>
      </c>
      <c r="Q17" s="32">
        <v>34.242721657799997</v>
      </c>
      <c r="R17" s="32">
        <v>34.242721657799997</v>
      </c>
      <c r="S17" s="32">
        <v>34.242721657799997</v>
      </c>
      <c r="T17" s="32">
        <v>34.242721657799997</v>
      </c>
      <c r="U17" s="32">
        <v>34.242721657799997</v>
      </c>
      <c r="V17" s="32">
        <v>34.242721657799997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4" t="s">
        <v>132</v>
      </c>
      <c r="C18" s="32"/>
      <c r="D18" s="32"/>
      <c r="E18" s="32">
        <v>45.512468720100003</v>
      </c>
      <c r="F18" s="32">
        <v>48.842649358199999</v>
      </c>
      <c r="G18" s="32">
        <v>54.337447410999999</v>
      </c>
      <c r="H18" s="32">
        <v>54.337447410999999</v>
      </c>
      <c r="I18" s="32">
        <v>54.337447410999999</v>
      </c>
      <c r="J18" s="32">
        <v>54.337447410999999</v>
      </c>
      <c r="K18" s="32">
        <v>54.337447410999999</v>
      </c>
      <c r="L18" s="32">
        <v>54.337447410999999</v>
      </c>
      <c r="M18" s="32">
        <v>54.337447410999999</v>
      </c>
      <c r="N18" s="32">
        <v>54.337447410999999</v>
      </c>
      <c r="O18" s="32">
        <v>54.337447410999999</v>
      </c>
      <c r="P18" s="32">
        <v>54.337447410999999</v>
      </c>
      <c r="Q18" s="32">
        <v>54.337447410999999</v>
      </c>
      <c r="R18" s="32">
        <v>54.337447410999999</v>
      </c>
      <c r="S18" s="32">
        <v>54.337447410999999</v>
      </c>
      <c r="T18" s="32">
        <v>54.337447410999999</v>
      </c>
      <c r="U18" s="32">
        <v>54.337447410999999</v>
      </c>
      <c r="V18" s="32">
        <v>54.337447410999999</v>
      </c>
      <c r="W18" s="32">
        <v>54.337447410999999</v>
      </c>
      <c r="X18" s="32">
        <v>54.337447410999999</v>
      </c>
      <c r="Y18" s="32">
        <v>54.337447410999999</v>
      </c>
      <c r="Z18" s="32">
        <v>54.337447410999999</v>
      </c>
      <c r="AA18" s="32">
        <v>54.337447410999999</v>
      </c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4" t="s">
        <v>135</v>
      </c>
      <c r="C19" s="32"/>
      <c r="D19" s="32">
        <v>99.794413120499996</v>
      </c>
      <c r="E19" s="32">
        <v>153.79884246770001</v>
      </c>
      <c r="F19" s="32">
        <v>153.79884246770001</v>
      </c>
      <c r="G19" s="32">
        <v>160.01517965869999</v>
      </c>
      <c r="H19" s="32">
        <v>160.01517965869999</v>
      </c>
      <c r="I19" s="32">
        <v>160.01517965869999</v>
      </c>
      <c r="J19" s="32">
        <v>160.01517965869999</v>
      </c>
      <c r="K19" s="32">
        <v>160.01517965869999</v>
      </c>
      <c r="L19" s="32">
        <v>160.01517965869999</v>
      </c>
      <c r="M19" s="32">
        <v>160.01517965869999</v>
      </c>
      <c r="N19" s="32">
        <v>160.01517965869999</v>
      </c>
      <c r="O19" s="32">
        <v>160.01517965869999</v>
      </c>
      <c r="P19" s="32">
        <v>160.01517965869999</v>
      </c>
      <c r="Q19" s="32">
        <v>160.01517965869999</v>
      </c>
      <c r="R19" s="32">
        <v>160.01517965869999</v>
      </c>
      <c r="S19" s="32">
        <v>160.01517965869999</v>
      </c>
      <c r="T19" s="32">
        <v>160.01517965869999</v>
      </c>
      <c r="U19" s="32">
        <v>160.01517965869999</v>
      </c>
      <c r="V19" s="32">
        <v>160.01517965869999</v>
      </c>
      <c r="W19" s="32">
        <v>160.01517965869999</v>
      </c>
      <c r="X19" s="32">
        <v>160.01517965869999</v>
      </c>
      <c r="Y19" s="32">
        <v>160.01517965869999</v>
      </c>
      <c r="Z19" s="32">
        <v>160.01517965869999</v>
      </c>
      <c r="AA19" s="32">
        <v>160.01517965869999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4" t="s">
        <v>138</v>
      </c>
      <c r="C20" s="32"/>
      <c r="D20" s="32"/>
      <c r="E20" s="32">
        <v>2.0536113935000002</v>
      </c>
      <c r="F20" s="32">
        <v>2.0536113935000002</v>
      </c>
      <c r="G20" s="32">
        <v>2.0536113935000002</v>
      </c>
      <c r="H20" s="32">
        <v>21.868186189900001</v>
      </c>
      <c r="I20" s="32">
        <v>21.868186189900001</v>
      </c>
      <c r="J20" s="32">
        <v>21.868186189900001</v>
      </c>
      <c r="K20" s="32">
        <v>21.868186189900001</v>
      </c>
      <c r="L20" s="32">
        <v>21.868186189900001</v>
      </c>
      <c r="M20" s="32">
        <v>21.868186189900001</v>
      </c>
      <c r="N20" s="32">
        <v>21.868186189900001</v>
      </c>
      <c r="O20" s="32">
        <v>21.868186189900001</v>
      </c>
      <c r="P20" s="32">
        <v>21.868186189900001</v>
      </c>
      <c r="Q20" s="32">
        <v>21.868186189900001</v>
      </c>
      <c r="R20" s="32">
        <v>21.868186189900001</v>
      </c>
      <c r="S20" s="32">
        <v>21.868186189900001</v>
      </c>
      <c r="T20" s="32">
        <v>21.868186189900001</v>
      </c>
      <c r="U20" s="32">
        <v>21.868186189900001</v>
      </c>
      <c r="V20" s="32">
        <v>21.868186189900001</v>
      </c>
      <c r="W20" s="32">
        <v>21.868186189900001</v>
      </c>
      <c r="X20" s="32">
        <v>21.868186189900001</v>
      </c>
      <c r="Y20" s="32">
        <v>21.868186189900001</v>
      </c>
      <c r="Z20" s="32">
        <v>21.868186189900001</v>
      </c>
      <c r="AA20" s="32">
        <v>21.868186189900001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4" t="s">
        <v>142</v>
      </c>
      <c r="C21" s="32"/>
      <c r="D21" s="32">
        <v>76.300542691100006</v>
      </c>
      <c r="E21" s="32">
        <v>157.27383852809999</v>
      </c>
      <c r="F21" s="32">
        <v>157.27383852809999</v>
      </c>
      <c r="G21" s="32">
        <v>220.41911989830001</v>
      </c>
      <c r="H21" s="32">
        <v>220.41911989830001</v>
      </c>
      <c r="I21" s="32">
        <v>220.41911989830001</v>
      </c>
      <c r="J21" s="32">
        <v>288.808956889</v>
      </c>
      <c r="K21" s="32">
        <v>340.51505334260003</v>
      </c>
      <c r="L21" s="32">
        <v>669.18393847350001</v>
      </c>
      <c r="M21" s="32">
        <v>734.33536340820001</v>
      </c>
      <c r="N21" s="32">
        <v>808.9365677175</v>
      </c>
      <c r="O21" s="32">
        <v>1020.5949241754</v>
      </c>
      <c r="P21" s="32">
        <v>1139.1820029349001</v>
      </c>
      <c r="Q21" s="32">
        <v>1266.5553339604</v>
      </c>
      <c r="R21" s="32">
        <v>1391.2375937003001</v>
      </c>
      <c r="S21" s="32">
        <v>1630.0599497728999</v>
      </c>
      <c r="T21" s="32">
        <v>1841.2372350554999</v>
      </c>
      <c r="U21" s="32">
        <v>2051.1629730504001</v>
      </c>
      <c r="V21" s="32">
        <v>2262.5834292976001</v>
      </c>
      <c r="W21" s="32">
        <v>2262.5834292976001</v>
      </c>
      <c r="X21" s="32">
        <v>2262.5834292976001</v>
      </c>
      <c r="Y21" s="32">
        <v>2262.5834292976001</v>
      </c>
      <c r="Z21" s="32">
        <v>2262.5834292976001</v>
      </c>
      <c r="AA21" s="32">
        <v>2262.5834292976001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4" t="s">
        <v>145</v>
      </c>
      <c r="C22" s="32">
        <v>119.2965945217</v>
      </c>
      <c r="D22" s="32">
        <v>119.2965945217</v>
      </c>
      <c r="E22" s="32">
        <v>120.59283750279999</v>
      </c>
      <c r="F22" s="32">
        <v>124.4081942018</v>
      </c>
      <c r="G22" s="32">
        <v>127.2778641976</v>
      </c>
      <c r="H22" s="32">
        <v>127.2778641976</v>
      </c>
      <c r="I22" s="32">
        <v>127.2778641976</v>
      </c>
      <c r="J22" s="32">
        <v>127.2778641976</v>
      </c>
      <c r="K22" s="32">
        <v>127.2778641976</v>
      </c>
      <c r="L22" s="32">
        <v>127.2778641976</v>
      </c>
      <c r="M22" s="32">
        <v>127.2778641976</v>
      </c>
      <c r="N22" s="32">
        <v>127.2778641976</v>
      </c>
      <c r="O22" s="32">
        <v>127.2778641976</v>
      </c>
      <c r="P22" s="32">
        <v>127.2778641976</v>
      </c>
      <c r="Q22" s="32">
        <v>127.2778641976</v>
      </c>
      <c r="R22" s="32">
        <v>127.2778641976</v>
      </c>
      <c r="S22" s="32">
        <v>127.2778641976</v>
      </c>
      <c r="T22" s="32">
        <v>127.2778641976</v>
      </c>
      <c r="U22" s="32">
        <v>127.2778641976</v>
      </c>
      <c r="V22" s="32">
        <v>127.2778641976</v>
      </c>
      <c r="W22" s="32">
        <v>127.2778641976</v>
      </c>
      <c r="X22" s="32">
        <v>127.2778641976</v>
      </c>
      <c r="Y22" s="32">
        <v>127.2778641976</v>
      </c>
      <c r="Z22" s="32">
        <v>127.2778641976</v>
      </c>
      <c r="AA22" s="32">
        <v>127.2778641976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4" t="s">
        <v>146</v>
      </c>
      <c r="C23" s="32"/>
      <c r="D23" s="32"/>
      <c r="E23" s="32"/>
      <c r="F23" s="32"/>
      <c r="G23" s="32"/>
      <c r="H23" s="32">
        <v>39.669518875999998</v>
      </c>
      <c r="I23" s="32">
        <v>39.669518875999998</v>
      </c>
      <c r="J23" s="32">
        <v>39.669518875999998</v>
      </c>
      <c r="K23" s="32">
        <v>39.669518875999998</v>
      </c>
      <c r="L23" s="32">
        <v>39.669518875999998</v>
      </c>
      <c r="M23" s="32">
        <v>39.669518875999998</v>
      </c>
      <c r="N23" s="32">
        <v>39.669518875999998</v>
      </c>
      <c r="O23" s="32">
        <v>39.669518875999998</v>
      </c>
      <c r="P23" s="32">
        <v>39.669518875999998</v>
      </c>
      <c r="Q23" s="32">
        <v>39.669518875999998</v>
      </c>
      <c r="R23" s="32">
        <v>39.669518875999998</v>
      </c>
      <c r="S23" s="32">
        <v>39.669518875999998</v>
      </c>
      <c r="T23" s="32">
        <v>39.669518875999998</v>
      </c>
      <c r="U23" s="32">
        <v>39.669518875999998</v>
      </c>
      <c r="V23" s="32">
        <v>75.660956968899995</v>
      </c>
      <c r="W23" s="32">
        <v>89.311020454900003</v>
      </c>
      <c r="X23" s="32">
        <v>89.311020454900003</v>
      </c>
      <c r="Y23" s="32">
        <v>89.311020454900003</v>
      </c>
      <c r="Z23" s="32">
        <v>89.311020454900003</v>
      </c>
      <c r="AA23" s="32">
        <v>89.311020454900003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4" t="s">
        <v>150</v>
      </c>
      <c r="C24" s="32"/>
      <c r="D24" s="32">
        <v>17.8767600929</v>
      </c>
      <c r="E24" s="32">
        <v>35.182746503700002</v>
      </c>
      <c r="F24" s="32">
        <v>43.737239445599997</v>
      </c>
      <c r="G24" s="32">
        <v>96.293446186699995</v>
      </c>
      <c r="H24" s="32">
        <v>110.19144367200001</v>
      </c>
      <c r="I24" s="32">
        <v>110.19144367200001</v>
      </c>
      <c r="J24" s="32">
        <v>110.19144367200001</v>
      </c>
      <c r="K24" s="32">
        <v>110.19144367200001</v>
      </c>
      <c r="L24" s="32">
        <v>110.19144367200001</v>
      </c>
      <c r="M24" s="32">
        <v>373.6601329998</v>
      </c>
      <c r="N24" s="32">
        <v>373.6601329998</v>
      </c>
      <c r="O24" s="32">
        <v>373.6601329998</v>
      </c>
      <c r="P24" s="32">
        <v>373.6601329998</v>
      </c>
      <c r="Q24" s="32">
        <v>448.99732132909998</v>
      </c>
      <c r="R24" s="32">
        <v>448.99732132909998</v>
      </c>
      <c r="S24" s="32">
        <v>448.99732132909998</v>
      </c>
      <c r="T24" s="32">
        <v>448.99732132909998</v>
      </c>
      <c r="U24" s="32">
        <v>448.99732132909998</v>
      </c>
      <c r="V24" s="32">
        <v>448.99732132909998</v>
      </c>
      <c r="W24" s="32">
        <v>1178.7438863834</v>
      </c>
      <c r="X24" s="32">
        <v>1178.7438863834</v>
      </c>
      <c r="Y24" s="32">
        <v>1180.0774903655999</v>
      </c>
      <c r="Z24" s="32">
        <v>1181.3250839597999</v>
      </c>
      <c r="AA24" s="32">
        <v>1182.4248125444001</v>
      </c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4" t="s">
        <v>152</v>
      </c>
      <c r="C25" s="32">
        <v>24.191247073500001</v>
      </c>
      <c r="D25" s="32">
        <v>24.191247073500001</v>
      </c>
      <c r="E25" s="32">
        <v>24.191247073500001</v>
      </c>
      <c r="F25" s="32">
        <v>24.191247073500001</v>
      </c>
      <c r="G25" s="32">
        <v>24.191247073500001</v>
      </c>
      <c r="H25" s="32">
        <v>24.191247073500001</v>
      </c>
      <c r="I25" s="32">
        <v>24.191247073500001</v>
      </c>
      <c r="J25" s="32">
        <v>24.191247073500001</v>
      </c>
      <c r="K25" s="32">
        <v>24.191247073500001</v>
      </c>
      <c r="L25" s="32">
        <v>24.191247073500001</v>
      </c>
      <c r="M25" s="32">
        <v>24.191247073500001</v>
      </c>
      <c r="N25" s="32">
        <v>24.191247073500001</v>
      </c>
      <c r="O25" s="32">
        <v>24.191247073500001</v>
      </c>
      <c r="P25" s="32">
        <v>24.191247073500001</v>
      </c>
      <c r="Q25" s="32">
        <v>24.191247073500001</v>
      </c>
      <c r="R25" s="32">
        <v>24.191247073500001</v>
      </c>
      <c r="S25" s="32">
        <v>24.191247073500001</v>
      </c>
      <c r="T25" s="32">
        <v>24.191247073500001</v>
      </c>
      <c r="U25" s="32">
        <v>24.191247073500001</v>
      </c>
      <c r="V25" s="32">
        <v>24.191247073500001</v>
      </c>
      <c r="W25" s="32">
        <v>24.191247073500001</v>
      </c>
      <c r="X25" s="32">
        <v>24.191247073500001</v>
      </c>
      <c r="Y25" s="32">
        <v>24.191247073500001</v>
      </c>
      <c r="Z25" s="32">
        <v>24.191247073500001</v>
      </c>
      <c r="AA25" s="32">
        <v>24.191247073500001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4" t="s">
        <v>170</v>
      </c>
      <c r="C26" s="32">
        <v>635.13227974680001</v>
      </c>
      <c r="D26" s="32">
        <v>653.4971542925</v>
      </c>
      <c r="E26" s="32">
        <v>672.36587237360004</v>
      </c>
      <c r="F26" s="32">
        <v>690.70726503460003</v>
      </c>
      <c r="G26" s="32">
        <v>709.49519867499998</v>
      </c>
      <c r="H26" s="32">
        <v>728.03374456400002</v>
      </c>
      <c r="I26" s="32">
        <v>750.7601409911</v>
      </c>
      <c r="J26" s="32">
        <v>773.16562958980001</v>
      </c>
      <c r="K26" s="32">
        <v>795.60275622710003</v>
      </c>
      <c r="L26" s="32">
        <v>817.28734083020004</v>
      </c>
      <c r="M26" s="32">
        <v>817.28734083020004</v>
      </c>
      <c r="N26" s="32">
        <v>832.46440255790003</v>
      </c>
      <c r="O26" s="32">
        <v>859.89258857940001</v>
      </c>
      <c r="P26" s="32">
        <v>888.02458243299998</v>
      </c>
      <c r="Q26" s="32">
        <v>914.3922454538</v>
      </c>
      <c r="R26" s="32">
        <v>937.46059893819995</v>
      </c>
      <c r="S26" s="32">
        <v>963.23879570120005</v>
      </c>
      <c r="T26" s="32">
        <v>988.96999490799999</v>
      </c>
      <c r="U26" s="32">
        <v>1012.6473096825</v>
      </c>
      <c r="V26" s="32">
        <v>1035.3206201567</v>
      </c>
      <c r="W26" s="32">
        <v>1055.2255211668</v>
      </c>
      <c r="X26" s="32">
        <v>1085.9558210361999</v>
      </c>
      <c r="Y26" s="32">
        <v>1114.0765503425</v>
      </c>
      <c r="Z26" s="32">
        <v>1144.9621955491</v>
      </c>
      <c r="AA26" s="32">
        <v>1178.6894731558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4" t="s">
        <v>176</v>
      </c>
      <c r="C27" s="32">
        <v>182.57058939160001</v>
      </c>
      <c r="D27" s="32">
        <v>182.57058939160001</v>
      </c>
      <c r="E27" s="32">
        <v>182.57058939160001</v>
      </c>
      <c r="F27" s="32">
        <v>182.57058939160001</v>
      </c>
      <c r="G27" s="32">
        <v>182.57058939160001</v>
      </c>
      <c r="H27" s="32">
        <v>182.57058939160001</v>
      </c>
      <c r="I27" s="32">
        <v>182.57058939160001</v>
      </c>
      <c r="J27" s="32">
        <v>182.57058939160001</v>
      </c>
      <c r="K27" s="32">
        <v>182.57058939160001</v>
      </c>
      <c r="L27" s="32">
        <v>182.57058939160001</v>
      </c>
      <c r="M27" s="32">
        <v>182.57058939160001</v>
      </c>
      <c r="N27" s="32">
        <v>182.57058939160001</v>
      </c>
      <c r="O27" s="32">
        <v>182.57058939160001</v>
      </c>
      <c r="P27" s="32">
        <v>182.57058939160001</v>
      </c>
      <c r="Q27" s="32">
        <v>182.57058939160001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4" t="s">
        <v>179</v>
      </c>
      <c r="C28" s="32"/>
      <c r="D28" s="32">
        <v>128.8312834342</v>
      </c>
      <c r="E28" s="32">
        <v>141.08393958959999</v>
      </c>
      <c r="F28" s="32">
        <v>153.36759961070001</v>
      </c>
      <c r="G28" s="32">
        <v>707.56839704979996</v>
      </c>
      <c r="H28" s="32">
        <v>717.27680937210005</v>
      </c>
      <c r="I28" s="32">
        <v>726.52878863759997</v>
      </c>
      <c r="J28" s="32">
        <v>735.80356891120005</v>
      </c>
      <c r="K28" s="32">
        <v>745.10092080649997</v>
      </c>
      <c r="L28" s="32">
        <v>754.42055988430002</v>
      </c>
      <c r="M28" s="32">
        <v>763.76567002779996</v>
      </c>
      <c r="N28" s="32">
        <v>772.85538135460001</v>
      </c>
      <c r="O28" s="32">
        <v>781.9675358467</v>
      </c>
      <c r="P28" s="32">
        <v>791.10192246860004</v>
      </c>
      <c r="Q28" s="32">
        <v>816.36902701070005</v>
      </c>
      <c r="R28" s="32">
        <v>961.26257921419995</v>
      </c>
      <c r="S28" s="32">
        <v>998.81798655809996</v>
      </c>
      <c r="T28" s="32">
        <v>1032.0554243259</v>
      </c>
      <c r="U28" s="32">
        <v>1065.3561360381</v>
      </c>
      <c r="V28" s="32">
        <v>1118.3228043752999</v>
      </c>
      <c r="W28" s="32">
        <v>1151.7316304850001</v>
      </c>
      <c r="X28" s="32">
        <v>1206.3930514158001</v>
      </c>
      <c r="Y28" s="32">
        <v>1261.1706244437</v>
      </c>
      <c r="Z28" s="32">
        <v>1316.0506873146001</v>
      </c>
      <c r="AA28" s="32">
        <v>1371.0210091459001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4" t="s">
        <v>180</v>
      </c>
      <c r="C29" s="32">
        <v>599.26102125039995</v>
      </c>
      <c r="D29" s="32">
        <v>599.26102125039995</v>
      </c>
      <c r="E29" s="32">
        <v>599.26102125039995</v>
      </c>
      <c r="F29" s="32">
        <v>599.26102125039995</v>
      </c>
      <c r="G29" s="32">
        <v>599.26102125039995</v>
      </c>
      <c r="H29" s="32">
        <v>599.26102125039995</v>
      </c>
      <c r="I29" s="32">
        <v>599.26102125039995</v>
      </c>
      <c r="J29" s="32">
        <v>599.26102125039995</v>
      </c>
      <c r="K29" s="32">
        <v>599.26102125039995</v>
      </c>
      <c r="L29" s="32">
        <v>599.26102125039995</v>
      </c>
      <c r="M29" s="32">
        <v>599.26102125039995</v>
      </c>
      <c r="N29" s="32">
        <v>599.26102125039995</v>
      </c>
      <c r="O29" s="32">
        <v>599.26102125039995</v>
      </c>
      <c r="P29" s="32">
        <v>599.26102125039995</v>
      </c>
      <c r="Q29" s="32">
        <v>599.26102125039995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4" t="s">
        <v>181</v>
      </c>
      <c r="C30" s="32">
        <v>3421.7516000000001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4" t="s">
        <v>183</v>
      </c>
      <c r="C31" s="32"/>
      <c r="D31" s="32">
        <v>8.2006237760000005</v>
      </c>
      <c r="E31" s="32">
        <v>16.398165769199998</v>
      </c>
      <c r="F31" s="32">
        <v>24.598789545199999</v>
      </c>
      <c r="G31" s="32">
        <v>32.799413321099998</v>
      </c>
      <c r="H31" s="32">
        <v>40.996955314399997</v>
      </c>
      <c r="I31" s="32">
        <v>49.197579090399998</v>
      </c>
      <c r="J31" s="32">
        <v>57.395121083600003</v>
      </c>
      <c r="K31" s="32">
        <v>65.595744859600003</v>
      </c>
      <c r="L31" s="32">
        <v>73.796368635500002</v>
      </c>
      <c r="M31" s="32">
        <v>81.993910628799995</v>
      </c>
      <c r="N31" s="32">
        <v>90.194534404699994</v>
      </c>
      <c r="O31" s="32">
        <v>98.395158180699994</v>
      </c>
      <c r="P31" s="32">
        <v>112.5297009574</v>
      </c>
      <c r="Q31" s="32">
        <v>116.07551974259999</v>
      </c>
      <c r="R31" s="32">
        <v>107.87489596659999</v>
      </c>
      <c r="S31" s="32">
        <v>99.677353973400002</v>
      </c>
      <c r="T31" s="32">
        <v>91.476730197400002</v>
      </c>
      <c r="U31" s="32">
        <v>83.276106421500003</v>
      </c>
      <c r="V31" s="32">
        <v>66.877940652199996</v>
      </c>
      <c r="W31" s="32">
        <v>50.479774882999997</v>
      </c>
      <c r="X31" s="32">
        <v>34.078527331099998</v>
      </c>
      <c r="Y31" s="32">
        <v>11.7433607784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4" t="s">
        <v>184</v>
      </c>
      <c r="C32" s="32">
        <v>2.9817020469000002</v>
      </c>
      <c r="D32" s="32">
        <v>19.5768629477</v>
      </c>
      <c r="E32" s="32">
        <v>35.8991457881</v>
      </c>
      <c r="F32" s="32">
        <v>52.300154040599999</v>
      </c>
      <c r="G32" s="32">
        <v>68.855227374199998</v>
      </c>
      <c r="H32" s="32">
        <v>85.024225047300007</v>
      </c>
      <c r="I32" s="32">
        <v>101.2081328363</v>
      </c>
      <c r="J32" s="32">
        <v>117.39359127740001</v>
      </c>
      <c r="K32" s="32">
        <v>133.65778430610001</v>
      </c>
      <c r="L32" s="32">
        <v>152.00556740120001</v>
      </c>
      <c r="M32" s="32">
        <v>161.98869287510001</v>
      </c>
      <c r="N32" s="32">
        <v>182.09004323650001</v>
      </c>
      <c r="O32" s="32">
        <v>198.15293593679999</v>
      </c>
      <c r="P32" s="32">
        <v>213.6369307695</v>
      </c>
      <c r="Q32" s="32">
        <v>217.10836360299999</v>
      </c>
      <c r="R32" s="32">
        <v>219.08782141969999</v>
      </c>
      <c r="S32" s="32">
        <v>223.57076569399999</v>
      </c>
      <c r="T32" s="32">
        <v>228.05370996830001</v>
      </c>
      <c r="U32" s="32">
        <v>234.00603011140001</v>
      </c>
      <c r="V32" s="32">
        <v>235.0934500994</v>
      </c>
      <c r="W32" s="32">
        <v>247.7536433068</v>
      </c>
      <c r="X32" s="32">
        <v>252.89758742870001</v>
      </c>
      <c r="Y32" s="32">
        <v>259.77113252589999</v>
      </c>
      <c r="Z32" s="32">
        <v>264.90971818150001</v>
      </c>
      <c r="AA32" s="32">
        <v>267.08385164729998</v>
      </c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4" t="s">
        <v>186</v>
      </c>
      <c r="C33" s="32"/>
      <c r="D33" s="32">
        <v>104.7431021905</v>
      </c>
      <c r="E33" s="32">
        <v>212.20702417460001</v>
      </c>
      <c r="F33" s="32">
        <v>319.67094615870002</v>
      </c>
      <c r="G33" s="32">
        <v>421.59163379810002</v>
      </c>
      <c r="H33" s="32">
        <v>528.65793465729996</v>
      </c>
      <c r="I33" s="32">
        <v>651.38586140999996</v>
      </c>
      <c r="J33" s="32">
        <v>771.87263562880003</v>
      </c>
      <c r="K33" s="32">
        <v>885.85312689800003</v>
      </c>
      <c r="L33" s="32">
        <v>1004.925392432</v>
      </c>
      <c r="M33" s="32">
        <v>1127.3526387473</v>
      </c>
      <c r="N33" s="32">
        <v>1271.5447315690001</v>
      </c>
      <c r="O33" s="32">
        <v>1410.2956127642001</v>
      </c>
      <c r="P33" s="32">
        <v>1553.0457845049</v>
      </c>
      <c r="Q33" s="32">
        <v>1693.2004982997</v>
      </c>
      <c r="R33" s="32">
        <v>1829.8513469244001</v>
      </c>
      <c r="S33" s="32">
        <v>1988.5368864131999</v>
      </c>
      <c r="T33" s="32">
        <v>2147.5794289935002</v>
      </c>
      <c r="U33" s="32">
        <v>2300.2602704819001</v>
      </c>
      <c r="V33" s="32">
        <v>2492.7161931915998</v>
      </c>
      <c r="W33" s="32">
        <v>2492.7161931915998</v>
      </c>
      <c r="X33" s="32">
        <v>2660.0334125002</v>
      </c>
      <c r="Y33" s="32">
        <v>2798.6482481203998</v>
      </c>
      <c r="Z33" s="32">
        <v>2913.7570495134</v>
      </c>
      <c r="AA33" s="32">
        <v>3008.1851734586999</v>
      </c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4" t="s">
        <v>189</v>
      </c>
      <c r="C34" s="32">
        <v>1.0915385600000001E-2</v>
      </c>
      <c r="D34" s="32">
        <v>21.273617859400002</v>
      </c>
      <c r="E34" s="32">
        <v>33.363733296299998</v>
      </c>
      <c r="F34" s="32">
        <v>55.035065872300002</v>
      </c>
      <c r="G34" s="32">
        <v>67.338493844799999</v>
      </c>
      <c r="H34" s="32">
        <v>89.412264970999999</v>
      </c>
      <c r="I34" s="32">
        <v>101.7476867403</v>
      </c>
      <c r="J34" s="32">
        <v>123.9228537818</v>
      </c>
      <c r="K34" s="32">
        <v>136.46817163279999</v>
      </c>
      <c r="L34" s="32">
        <v>158.90768834619999</v>
      </c>
      <c r="M34" s="32">
        <v>171.93557724479999</v>
      </c>
      <c r="N34" s="32">
        <v>197.06590301559999</v>
      </c>
      <c r="O34" s="32">
        <v>211.04643990139999</v>
      </c>
      <c r="P34" s="32">
        <v>235.98887303449999</v>
      </c>
      <c r="Q34" s="32">
        <v>239.53290756679999</v>
      </c>
      <c r="R34" s="32">
        <v>243.76521574680001</v>
      </c>
      <c r="S34" s="32">
        <v>246.91431066050001</v>
      </c>
      <c r="T34" s="32">
        <v>250.6695856552</v>
      </c>
      <c r="U34" s="32">
        <v>253.7815312566</v>
      </c>
      <c r="V34" s="32">
        <v>257.37490086499997</v>
      </c>
      <c r="W34" s="32">
        <v>260.09369524430002</v>
      </c>
      <c r="X34" s="32">
        <v>263.340732618</v>
      </c>
      <c r="Y34" s="32">
        <v>266.04536783039998</v>
      </c>
      <c r="Z34" s="32">
        <v>269.27370721019997</v>
      </c>
      <c r="AA34" s="32">
        <v>271.78282751569998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4" t="s">
        <v>192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>
        <v>111.6625280794</v>
      </c>
      <c r="S35" s="32">
        <v>232.48090417220001</v>
      </c>
      <c r="T35" s="32">
        <v>353.02534702719998</v>
      </c>
      <c r="U35" s="32">
        <v>515.92863100169996</v>
      </c>
      <c r="V35" s="32">
        <v>683.04150406650001</v>
      </c>
      <c r="W35" s="32">
        <v>964.65146047040002</v>
      </c>
      <c r="X35" s="32">
        <v>989.26352921130001</v>
      </c>
      <c r="Y35" s="32">
        <v>1154.6184124399999</v>
      </c>
      <c r="Z35" s="32">
        <v>1260.5171209436</v>
      </c>
      <c r="AA35" s="32">
        <v>1281.6936328838001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4" t="s">
        <v>194</v>
      </c>
      <c r="C36" s="32">
        <v>47.200132826400001</v>
      </c>
      <c r="D36" s="32">
        <v>181.407875612</v>
      </c>
      <c r="E36" s="32">
        <v>316.13176532189999</v>
      </c>
      <c r="F36" s="32">
        <v>450.07283265540002</v>
      </c>
      <c r="G36" s="32">
        <v>585.70605592840002</v>
      </c>
      <c r="H36" s="32">
        <v>721.71825305909999</v>
      </c>
      <c r="I36" s="32">
        <v>861.06809569990003</v>
      </c>
      <c r="J36" s="32">
        <v>999.47156346179997</v>
      </c>
      <c r="K36" s="32">
        <v>1139.4647340219999</v>
      </c>
      <c r="L36" s="32">
        <v>1279.7513631902</v>
      </c>
      <c r="M36" s="32">
        <v>1422.0320024482</v>
      </c>
      <c r="N36" s="32">
        <v>1562.7687703105</v>
      </c>
      <c r="O36" s="32">
        <v>1704.9185400402</v>
      </c>
      <c r="P36" s="32">
        <v>1847.1370614614</v>
      </c>
      <c r="Q36" s="32">
        <v>1905.0929298556</v>
      </c>
      <c r="R36" s="32">
        <v>1857.8927970292</v>
      </c>
      <c r="S36" s="32">
        <v>1803.2437721394001</v>
      </c>
      <c r="T36" s="32">
        <v>1748.0965291662999</v>
      </c>
      <c r="U36" s="32">
        <v>1651.1195293907999</v>
      </c>
      <c r="V36" s="32">
        <v>1549.3538499729</v>
      </c>
      <c r="W36" s="32">
        <v>1413.3416528421999</v>
      </c>
      <c r="X36" s="32">
        <v>1363.1431553407999</v>
      </c>
      <c r="Y36" s="32">
        <v>1253.9422919906999</v>
      </c>
      <c r="Z36" s="32">
        <v>1203.0292375053</v>
      </c>
      <c r="AA36" s="32">
        <v>1235.6780881239999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4" t="s">
        <v>197</v>
      </c>
      <c r="C37" s="32">
        <v>2.3232139529000002</v>
      </c>
      <c r="D37" s="32">
        <v>2.3232139529000002</v>
      </c>
      <c r="E37" s="32">
        <v>2.3232139529000002</v>
      </c>
      <c r="F37" s="32">
        <v>2.3232139529000002</v>
      </c>
      <c r="G37" s="32">
        <v>2.3232139529000002</v>
      </c>
      <c r="H37" s="32">
        <v>2.3232139529000002</v>
      </c>
      <c r="I37" s="32">
        <v>2.3232139529000002</v>
      </c>
      <c r="J37" s="32">
        <v>2.3232139529000002</v>
      </c>
      <c r="K37" s="32">
        <v>2.3232139529000002</v>
      </c>
      <c r="L37" s="32">
        <v>2.3232139529000002</v>
      </c>
      <c r="M37" s="32">
        <v>2.3232139529000002</v>
      </c>
      <c r="N37" s="32">
        <v>2.3232139529000002</v>
      </c>
      <c r="O37" s="32">
        <v>2.3232139529000002</v>
      </c>
      <c r="P37" s="32">
        <v>2.3232139529000002</v>
      </c>
      <c r="Q37" s="32">
        <v>2.3232139529000002</v>
      </c>
      <c r="R37" s="32">
        <v>2.3232139529000002</v>
      </c>
      <c r="S37" s="32">
        <v>2.3232139529000002</v>
      </c>
      <c r="T37" s="32">
        <v>2.3232139529000002</v>
      </c>
      <c r="U37" s="32">
        <v>2.3232139529000002</v>
      </c>
      <c r="V37" s="32">
        <v>2.3232139529000002</v>
      </c>
      <c r="W37" s="32"/>
      <c r="X37" s="32"/>
      <c r="Y37" s="32"/>
      <c r="Z37" s="32"/>
      <c r="AA37" s="32"/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4" t="s">
        <v>199</v>
      </c>
      <c r="C38" s="32"/>
      <c r="D38" s="32"/>
      <c r="E38" s="32">
        <v>1.2227441858000001</v>
      </c>
      <c r="F38" s="32">
        <v>1.2227441858000001</v>
      </c>
      <c r="G38" s="32">
        <v>2.4454883715000002</v>
      </c>
      <c r="H38" s="32">
        <v>2.4454883715000002</v>
      </c>
      <c r="I38" s="32">
        <v>3.6682325573000001</v>
      </c>
      <c r="J38" s="32">
        <v>4.8909767431000004</v>
      </c>
      <c r="K38" s="32">
        <v>4.8909767431000004</v>
      </c>
      <c r="L38" s="32">
        <v>6.2359953474000003</v>
      </c>
      <c r="M38" s="32">
        <v>7.9456362679000003</v>
      </c>
      <c r="N38" s="32">
        <v>8.6814837188999991</v>
      </c>
      <c r="O38" s="32">
        <v>8.8437800831000004</v>
      </c>
      <c r="P38" s="32">
        <v>10.0665242689</v>
      </c>
      <c r="Q38" s="32">
        <v>11.2892684546</v>
      </c>
      <c r="R38" s="32">
        <v>12.5120126404</v>
      </c>
      <c r="S38" s="32">
        <v>13.7347568262</v>
      </c>
      <c r="T38" s="32">
        <v>14.9575010119</v>
      </c>
      <c r="U38" s="32">
        <v>16.1802451977</v>
      </c>
      <c r="V38" s="32">
        <v>18.625733569200001</v>
      </c>
      <c r="W38" s="32">
        <v>22.009387701600001</v>
      </c>
      <c r="X38" s="32">
        <v>23.2321318873</v>
      </c>
      <c r="Y38" s="32">
        <v>25.677620258899999</v>
      </c>
      <c r="Z38" s="32">
        <v>28.123108630400001</v>
      </c>
      <c r="AA38" s="32">
        <v>29.345852816200001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4" t="s">
        <v>200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4" t="s">
        <v>202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2.4454883715000002</v>
      </c>
      <c r="I40" s="32">
        <v>3.6682325573000001</v>
      </c>
      <c r="J40" s="32">
        <v>3.6682325573000001</v>
      </c>
      <c r="K40" s="32">
        <v>4.8909767431000004</v>
      </c>
      <c r="L40" s="32">
        <v>5.0132511616000004</v>
      </c>
      <c r="M40" s="32">
        <v>6.7228920821999996</v>
      </c>
      <c r="N40" s="32">
        <v>7.4587395332000002</v>
      </c>
      <c r="O40" s="32">
        <v>7.6210358973999996</v>
      </c>
      <c r="P40" s="32">
        <v>8.8437800831000004</v>
      </c>
      <c r="Q40" s="32">
        <v>10.0665242689</v>
      </c>
      <c r="R40" s="32">
        <v>11.2892684546</v>
      </c>
      <c r="S40" s="32">
        <v>12.5120126404</v>
      </c>
      <c r="T40" s="32">
        <v>13.7347568262</v>
      </c>
      <c r="U40" s="32">
        <v>14.9575010119</v>
      </c>
      <c r="V40" s="32">
        <v>16.1802451977</v>
      </c>
      <c r="W40" s="32">
        <v>19.5638993301</v>
      </c>
      <c r="X40" s="32">
        <v>22.009387701600001</v>
      </c>
      <c r="Y40" s="32">
        <v>23.2321318873</v>
      </c>
      <c r="Z40" s="32">
        <v>24.454876073099999</v>
      </c>
      <c r="AA40" s="32">
        <v>26.900364444600001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4" t="s">
        <v>204</v>
      </c>
      <c r="C41" s="32"/>
      <c r="D41" s="32">
        <v>1602006.2652505341</v>
      </c>
      <c r="E41" s="32">
        <v>3204412.3678498128</v>
      </c>
      <c r="F41" s="32">
        <v>4806787.9018444484</v>
      </c>
      <c r="G41" s="32">
        <v>6407561.0295836395</v>
      </c>
      <c r="H41" s="32">
        <v>8004007.7062860439</v>
      </c>
      <c r="I41" s="32">
        <v>9725532.4775611833</v>
      </c>
      <c r="J41" s="32">
        <v>11437407.35172228</v>
      </c>
      <c r="K41" s="32">
        <v>13132163.501596652</v>
      </c>
      <c r="L41" s="32">
        <v>14805349.985505097</v>
      </c>
      <c r="M41" s="32">
        <v>16544764.497697596</v>
      </c>
      <c r="N41" s="32">
        <v>18362006.677313909</v>
      </c>
      <c r="O41" s="32">
        <v>20179218.288325574</v>
      </c>
      <c r="P41" s="32">
        <v>21978288.043853082</v>
      </c>
      <c r="Q41" s="32">
        <v>23741646.485534213</v>
      </c>
      <c r="R41" s="32">
        <v>25463817.9356406</v>
      </c>
      <c r="S41" s="32">
        <v>27229196.350716613</v>
      </c>
      <c r="T41" s="32">
        <v>28931498.437068883</v>
      </c>
      <c r="U41" s="32">
        <v>30565708.498047411</v>
      </c>
      <c r="V41" s="32">
        <v>32602490.193034321</v>
      </c>
      <c r="W41" s="32">
        <v>32602490.193034321</v>
      </c>
      <c r="X41" s="32">
        <v>33952430.113456689</v>
      </c>
      <c r="Y41" s="32">
        <v>35007162.905110314</v>
      </c>
      <c r="Z41" s="32">
        <v>35796162.816593021</v>
      </c>
      <c r="AA41" s="32">
        <v>36347627.627994187</v>
      </c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4" t="s">
        <v>207</v>
      </c>
      <c r="C42" s="32">
        <v>24.9622683686</v>
      </c>
      <c r="D42" s="32">
        <v>91.317431730300001</v>
      </c>
      <c r="E42" s="32">
        <v>158.89241690950001</v>
      </c>
      <c r="F42" s="32">
        <v>227.5930745526</v>
      </c>
      <c r="G42" s="32">
        <v>297.33362332180002</v>
      </c>
      <c r="H42" s="32">
        <v>368.03571399859999</v>
      </c>
      <c r="I42" s="32">
        <v>446.97959376569997</v>
      </c>
      <c r="J42" s="32">
        <v>520.98412372810003</v>
      </c>
      <c r="K42" s="32">
        <v>601.60613933809998</v>
      </c>
      <c r="L42" s="32">
        <v>683.00855500420005</v>
      </c>
      <c r="M42" s="32">
        <v>769.23304897230003</v>
      </c>
      <c r="N42" s="32">
        <v>864.31159185640001</v>
      </c>
      <c r="O42" s="32">
        <v>959.64848805400004</v>
      </c>
      <c r="P42" s="32">
        <v>1055.3092227943</v>
      </c>
      <c r="Q42" s="32">
        <v>1106.9737104213</v>
      </c>
      <c r="R42" s="32">
        <v>1164.4692003125999</v>
      </c>
      <c r="S42" s="32">
        <v>1241.4644884969</v>
      </c>
      <c r="T42" s="32">
        <v>1317.5567741827001</v>
      </c>
      <c r="U42" s="32">
        <v>1392.9784441431</v>
      </c>
      <c r="V42" s="32">
        <v>1467.7143772265999</v>
      </c>
      <c r="W42" s="32">
        <v>1542.7188208534001</v>
      </c>
      <c r="X42" s="32">
        <v>1628.8011319560001</v>
      </c>
      <c r="Y42" s="32">
        <v>1713.5897679960001</v>
      </c>
      <c r="Z42" s="32">
        <v>1798.576557183</v>
      </c>
      <c r="AA42" s="32">
        <v>1883.0658990249999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4" t="s">
        <v>212</v>
      </c>
      <c r="C43" s="32"/>
      <c r="D43" s="32">
        <v>173.67996710829999</v>
      </c>
      <c r="E43" s="32">
        <v>349.43166041839999</v>
      </c>
      <c r="F43" s="32">
        <v>523.87773222240003</v>
      </c>
      <c r="G43" s="32">
        <v>700.29704088380004</v>
      </c>
      <c r="H43" s="32">
        <v>875.4270603507</v>
      </c>
      <c r="I43" s="32">
        <v>1070.0536116482001</v>
      </c>
      <c r="J43" s="32">
        <v>1265.0144248065001</v>
      </c>
      <c r="K43" s="32">
        <v>1458.7169709868001</v>
      </c>
      <c r="L43" s="32">
        <v>1654.2965493688</v>
      </c>
      <c r="M43" s="32">
        <v>1849.3856354014999</v>
      </c>
      <c r="N43" s="32">
        <v>2065.1210113006</v>
      </c>
      <c r="O43" s="32">
        <v>2279.5093935626001</v>
      </c>
      <c r="P43" s="32">
        <v>2495.7794141052</v>
      </c>
      <c r="Q43" s="32">
        <v>2609.7392928486001</v>
      </c>
      <c r="R43" s="32">
        <v>2723.7484437905</v>
      </c>
      <c r="S43" s="32">
        <v>2867.9538367967002</v>
      </c>
      <c r="T43" s="32">
        <v>3012.0238826520999</v>
      </c>
      <c r="U43" s="32">
        <v>3155.9917414544002</v>
      </c>
      <c r="V43" s="32">
        <v>3299.8218858382002</v>
      </c>
      <c r="W43" s="32">
        <v>3444.3757901883</v>
      </c>
      <c r="X43" s="32">
        <v>3612.2873866947002</v>
      </c>
      <c r="Y43" s="32">
        <v>3779.9972057489999</v>
      </c>
      <c r="Z43" s="32">
        <v>3947.5889917376999</v>
      </c>
      <c r="AA43" s="32">
        <v>4115.0684059173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4" t="s">
        <v>217</v>
      </c>
      <c r="C44" s="32"/>
      <c r="D44" s="32">
        <v>23.256165736</v>
      </c>
      <c r="E44" s="32">
        <v>48.181695578999999</v>
      </c>
      <c r="F44" s="32">
        <v>71.540479614500001</v>
      </c>
      <c r="G44" s="32">
        <v>96.568930546999994</v>
      </c>
      <c r="H44" s="32">
        <v>120.0193039839</v>
      </c>
      <c r="I44" s="32">
        <v>147.57016116419999</v>
      </c>
      <c r="J44" s="32">
        <v>173.51267101970001</v>
      </c>
      <c r="K44" s="32">
        <v>201.15577823429999</v>
      </c>
      <c r="L44" s="32">
        <v>227.18061945619999</v>
      </c>
      <c r="M44" s="32">
        <v>255.0056943134</v>
      </c>
      <c r="N44" s="32">
        <v>283.82013106070002</v>
      </c>
      <c r="O44" s="32">
        <v>314.29306817510002</v>
      </c>
      <c r="P44" s="32">
        <v>343.17101742860001</v>
      </c>
      <c r="Q44" s="32">
        <v>358.84864190849999</v>
      </c>
      <c r="R44" s="32">
        <v>374.51675144059999</v>
      </c>
      <c r="S44" s="32">
        <v>394.33599323300001</v>
      </c>
      <c r="T44" s="32">
        <v>414.15724445019998</v>
      </c>
      <c r="U44" s="32">
        <v>433.94550990329998</v>
      </c>
      <c r="V44" s="32">
        <v>453.7320044933</v>
      </c>
      <c r="W44" s="32">
        <v>473.60077539700001</v>
      </c>
      <c r="X44" s="32">
        <v>496.6989673077</v>
      </c>
      <c r="Y44" s="32">
        <v>519.73979426769995</v>
      </c>
      <c r="Z44" s="32">
        <v>542.79675167929997</v>
      </c>
      <c r="AA44" s="32">
        <v>565.82428340369995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</sheetData>
  <autoFilter ref="A2:AG44" xr:uid="{EE7FC028-2B0E-4320-9ED3-8D63064B964B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56"/>
  <sheetViews>
    <sheetView zoomScale="70" zoomScaleNormal="70" workbookViewId="0">
      <selection activeCell="AI25" sqref="AI25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4">
      <c r="A1" t="s">
        <v>22</v>
      </c>
    </row>
    <row r="2" spans="1:34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4">
      <c r="A3" t="s">
        <v>19</v>
      </c>
      <c r="B3" s="29" t="s">
        <v>132</v>
      </c>
      <c r="D3">
        <v>4.5000999999999998</v>
      </c>
      <c r="X3">
        <v>2.6219999999999999</v>
      </c>
    </row>
    <row r="4" spans="1:34">
      <c r="A4" t="s">
        <v>19</v>
      </c>
      <c r="B4" s="29" t="s">
        <v>133</v>
      </c>
      <c r="D4">
        <v>209.44799999999998</v>
      </c>
      <c r="E4">
        <v>267.46629999999999</v>
      </c>
      <c r="F4">
        <v>260.1144000000001</v>
      </c>
      <c r="G4">
        <v>282.30829999999997</v>
      </c>
      <c r="H4">
        <v>270.19799999999998</v>
      </c>
      <c r="I4">
        <v>280.26519999999999</v>
      </c>
      <c r="J4">
        <v>294.90459999999996</v>
      </c>
      <c r="K4">
        <v>295.11530000000005</v>
      </c>
      <c r="L4">
        <v>297.80160000000006</v>
      </c>
      <c r="M4">
        <v>244.08840000000004</v>
      </c>
      <c r="N4">
        <v>205.55520000000007</v>
      </c>
      <c r="O4">
        <v>207.5043</v>
      </c>
      <c r="P4">
        <v>183.2414</v>
      </c>
      <c r="Q4">
        <v>180.99</v>
      </c>
      <c r="R4">
        <v>168.16290000000001</v>
      </c>
      <c r="S4">
        <v>154.77330000000001</v>
      </c>
      <c r="T4">
        <v>131.93549999999999</v>
      </c>
      <c r="U4">
        <v>126.86619999999999</v>
      </c>
      <c r="V4">
        <v>108.65009999999999</v>
      </c>
      <c r="W4">
        <v>87.63239999999999</v>
      </c>
      <c r="X4">
        <v>89.506199999999993</v>
      </c>
      <c r="Y4">
        <v>74.414899999999989</v>
      </c>
      <c r="Z4">
        <v>73.902499999999989</v>
      </c>
      <c r="AA4">
        <v>73.253699999999995</v>
      </c>
      <c r="AB4">
        <v>72.55619999999999</v>
      </c>
      <c r="AC4">
        <v>72.788399999999996</v>
      </c>
      <c r="AD4">
        <v>80.392600000000002</v>
      </c>
      <c r="AE4">
        <v>90.347699999999989</v>
      </c>
      <c r="AF4">
        <v>91.844799999999992</v>
      </c>
      <c r="AG4">
        <v>96.976499999999987</v>
      </c>
      <c r="AH4">
        <v>82.235100000000003</v>
      </c>
    </row>
    <row r="5" spans="1:34">
      <c r="A5" t="s">
        <v>19</v>
      </c>
      <c r="B5" s="29" t="s">
        <v>134</v>
      </c>
      <c r="D5">
        <v>70.1999</v>
      </c>
      <c r="G5">
        <v>2.5742000000000003</v>
      </c>
      <c r="H5">
        <v>7.6657999999999999</v>
      </c>
      <c r="I5">
        <v>6.1765999999999996</v>
      </c>
      <c r="J5">
        <v>13.8689</v>
      </c>
      <c r="K5">
        <v>16.046900000000001</v>
      </c>
      <c r="L5">
        <v>19.6313</v>
      </c>
      <c r="M5">
        <v>2.0819999999999999</v>
      </c>
      <c r="N5">
        <v>3.3689999999999998</v>
      </c>
      <c r="O5">
        <v>5.9496000000000002</v>
      </c>
      <c r="P5">
        <v>1.2662</v>
      </c>
      <c r="Q5">
        <v>1.2662</v>
      </c>
      <c r="R5">
        <v>1.2662</v>
      </c>
      <c r="S5">
        <v>1.2662</v>
      </c>
      <c r="T5">
        <v>1.2662</v>
      </c>
      <c r="U5">
        <v>1.2662</v>
      </c>
      <c r="V5">
        <v>1.2662</v>
      </c>
      <c r="W5">
        <v>1.2662</v>
      </c>
      <c r="X5">
        <v>2.5324</v>
      </c>
      <c r="Y5">
        <v>1.2662</v>
      </c>
      <c r="Z5">
        <v>1.1195999999999999</v>
      </c>
      <c r="AA5">
        <v>0.88680000000000003</v>
      </c>
      <c r="AB5">
        <v>0.66159999999999997</v>
      </c>
      <c r="AC5">
        <v>0.629</v>
      </c>
    </row>
    <row r="6" spans="1:34">
      <c r="A6" t="s">
        <v>19</v>
      </c>
      <c r="B6" s="29" t="s">
        <v>135</v>
      </c>
      <c r="D6">
        <v>8.892199999999999</v>
      </c>
      <c r="X6">
        <v>1.2252000000000001</v>
      </c>
    </row>
    <row r="7" spans="1:34">
      <c r="A7" t="s">
        <v>19</v>
      </c>
      <c r="B7" s="29" t="s">
        <v>138</v>
      </c>
      <c r="D7">
        <v>38.808399999999999</v>
      </c>
      <c r="E7">
        <v>39.597000000000001</v>
      </c>
      <c r="F7">
        <v>39.713399999999986</v>
      </c>
      <c r="G7">
        <v>29.763000000000012</v>
      </c>
      <c r="H7">
        <v>29.763000000000012</v>
      </c>
      <c r="I7">
        <v>30.889200000000002</v>
      </c>
      <c r="J7">
        <v>30.889200000000002</v>
      </c>
      <c r="K7">
        <v>30.889200000000002</v>
      </c>
      <c r="L7">
        <v>30.889200000000002</v>
      </c>
      <c r="M7">
        <v>30.889200000000002</v>
      </c>
      <c r="N7">
        <v>30.889200000000002</v>
      </c>
      <c r="O7">
        <v>30.889200000000002</v>
      </c>
      <c r="P7">
        <v>30.889200000000002</v>
      </c>
      <c r="Q7">
        <v>26.475600000000011</v>
      </c>
      <c r="R7">
        <v>26.475600000000011</v>
      </c>
      <c r="S7">
        <v>26.475600000000011</v>
      </c>
      <c r="T7">
        <v>23.053200000000004</v>
      </c>
      <c r="U7">
        <v>3.8099999999999996</v>
      </c>
      <c r="V7">
        <v>3.8099999999999996</v>
      </c>
      <c r="W7">
        <v>3.8099999999999996</v>
      </c>
      <c r="X7">
        <v>3.8099999999999996</v>
      </c>
      <c r="Y7">
        <v>3.8099999999999996</v>
      </c>
      <c r="Z7">
        <v>3.8099999999999996</v>
      </c>
      <c r="AA7">
        <v>3.8099999999999996</v>
      </c>
      <c r="AB7">
        <v>3.8099999999999996</v>
      </c>
      <c r="AC7">
        <v>3.8099999999999996</v>
      </c>
      <c r="AD7">
        <v>3.8099999999999996</v>
      </c>
      <c r="AE7">
        <v>3.8099999999999996</v>
      </c>
      <c r="AF7">
        <v>3.8099999999999996</v>
      </c>
      <c r="AG7">
        <v>3.8099999999999996</v>
      </c>
      <c r="AH7">
        <v>3.6265000000000001</v>
      </c>
    </row>
    <row r="8" spans="1:34">
      <c r="A8" t="s">
        <v>19</v>
      </c>
      <c r="B8" s="29" t="s">
        <v>142</v>
      </c>
      <c r="E8">
        <v>22.862999999999996</v>
      </c>
      <c r="F8">
        <v>47.127600000000001</v>
      </c>
      <c r="G8">
        <v>47.127600000000001</v>
      </c>
      <c r="H8">
        <v>66.049200000000013</v>
      </c>
      <c r="I8">
        <v>66.049200000000013</v>
      </c>
      <c r="J8">
        <v>66.049200000000013</v>
      </c>
      <c r="K8">
        <v>86.541600000000017</v>
      </c>
      <c r="L8">
        <v>102.03599999999997</v>
      </c>
      <c r="M8">
        <v>200.52239999999998</v>
      </c>
      <c r="N8">
        <v>220.04580000000007</v>
      </c>
      <c r="O8">
        <v>242.39940000000007</v>
      </c>
      <c r="P8">
        <v>301.21180000000004</v>
      </c>
      <c r="Q8">
        <v>334.92360000000002</v>
      </c>
      <c r="R8">
        <v>363.13359999999989</v>
      </c>
      <c r="S8">
        <v>395.08219999999977</v>
      </c>
      <c r="T8">
        <v>456.45900000000012</v>
      </c>
      <c r="U8">
        <v>515.87579999999991</v>
      </c>
      <c r="V8">
        <v>569.15099999999984</v>
      </c>
      <c r="W8">
        <v>622.43079999999986</v>
      </c>
      <c r="X8">
        <v>499.22659999999991</v>
      </c>
      <c r="Y8">
        <v>484.01979999999975</v>
      </c>
      <c r="Z8">
        <v>483.6205999999998</v>
      </c>
      <c r="AA8">
        <v>483.26999999999981</v>
      </c>
      <c r="AB8">
        <v>482.93399999999986</v>
      </c>
      <c r="AC8">
        <v>482.92519999999979</v>
      </c>
      <c r="AD8">
        <v>469.98540000000003</v>
      </c>
      <c r="AE8">
        <v>456.39140000000003</v>
      </c>
      <c r="AF8">
        <v>456.78100000000012</v>
      </c>
      <c r="AG8">
        <v>452.10099999999989</v>
      </c>
      <c r="AH8">
        <v>712.85260000000017</v>
      </c>
    </row>
    <row r="9" spans="1:34">
      <c r="A9" t="s">
        <v>19</v>
      </c>
      <c r="B9" s="29" t="s">
        <v>145</v>
      </c>
      <c r="D9">
        <v>25.885199999999987</v>
      </c>
      <c r="E9">
        <v>25.885199999999987</v>
      </c>
      <c r="F9">
        <v>25.964399999999998</v>
      </c>
      <c r="G9">
        <v>26.200199999999992</v>
      </c>
      <c r="H9">
        <v>26.378400000000003</v>
      </c>
      <c r="I9">
        <v>26.378400000000003</v>
      </c>
      <c r="J9">
        <v>26.378400000000003</v>
      </c>
      <c r="K9">
        <v>26.378400000000003</v>
      </c>
      <c r="L9">
        <v>26.378400000000003</v>
      </c>
      <c r="M9">
        <v>26.378400000000003</v>
      </c>
      <c r="N9">
        <v>26.378400000000003</v>
      </c>
      <c r="O9">
        <v>26.378400000000003</v>
      </c>
      <c r="P9">
        <v>26.378400000000003</v>
      </c>
      <c r="Q9">
        <v>26.378400000000003</v>
      </c>
      <c r="R9">
        <v>26.378400000000003</v>
      </c>
      <c r="S9">
        <v>26.378400000000003</v>
      </c>
      <c r="T9">
        <v>26.378400000000003</v>
      </c>
      <c r="U9">
        <v>26.378400000000003</v>
      </c>
      <c r="V9">
        <v>26.378400000000003</v>
      </c>
      <c r="W9">
        <v>26.378400000000003</v>
      </c>
      <c r="X9">
        <v>26.378400000000003</v>
      </c>
      <c r="Y9">
        <v>26.378400000000003</v>
      </c>
      <c r="Z9">
        <v>26.378400000000003</v>
      </c>
      <c r="AA9">
        <v>26.378400000000003</v>
      </c>
      <c r="AB9">
        <v>26.378400000000003</v>
      </c>
      <c r="AC9">
        <v>26.378400000000003</v>
      </c>
      <c r="AD9">
        <v>26.378400000000003</v>
      </c>
      <c r="AE9">
        <v>26.262599999999992</v>
      </c>
      <c r="AF9">
        <v>26.262599999999992</v>
      </c>
      <c r="AG9">
        <v>26.262599999999992</v>
      </c>
      <c r="AH9">
        <v>23.730999999999995</v>
      </c>
    </row>
    <row r="10" spans="1:34">
      <c r="A10" t="s">
        <v>19</v>
      </c>
      <c r="B10" s="29" t="s">
        <v>146</v>
      </c>
      <c r="I10">
        <v>7.5470000000000015</v>
      </c>
      <c r="J10">
        <v>7.7919000000000009</v>
      </c>
      <c r="K10">
        <v>7.7964000000000011</v>
      </c>
      <c r="L10">
        <v>7.8004000000000007</v>
      </c>
      <c r="M10">
        <v>5.8164000000000007</v>
      </c>
      <c r="N10">
        <v>5.8164000000000007</v>
      </c>
      <c r="O10">
        <v>5.8164000000000007</v>
      </c>
      <c r="P10">
        <v>4.359</v>
      </c>
      <c r="Q10">
        <v>4.7826000000000004</v>
      </c>
      <c r="R10">
        <v>3.9576000000000002</v>
      </c>
      <c r="S10">
        <v>3.6596000000000002</v>
      </c>
      <c r="T10">
        <v>3.4527999999999999</v>
      </c>
      <c r="U10">
        <v>3.2460000000000004</v>
      </c>
      <c r="V10">
        <v>3.6208</v>
      </c>
      <c r="W10">
        <v>8.5266000000000002</v>
      </c>
      <c r="X10">
        <v>12.711399999999998</v>
      </c>
      <c r="Y10">
        <v>8.2622</v>
      </c>
      <c r="Z10">
        <v>7.782</v>
      </c>
      <c r="AA10">
        <v>7.5725999999999996</v>
      </c>
      <c r="AB10">
        <v>7.3675999999999995</v>
      </c>
      <c r="AC10">
        <v>7.351799999999999</v>
      </c>
      <c r="AD10">
        <v>14.517199999999999</v>
      </c>
      <c r="AE10">
        <v>20.202599999999997</v>
      </c>
      <c r="AF10">
        <v>21.048400000000001</v>
      </c>
      <c r="AG10">
        <v>24.071599999999997</v>
      </c>
      <c r="AH10">
        <v>47.786900000000003</v>
      </c>
    </row>
    <row r="11" spans="1:34">
      <c r="A11" t="s">
        <v>19</v>
      </c>
      <c r="B11" s="29" t="s">
        <v>150</v>
      </c>
      <c r="D11">
        <v>4.9571000000000005</v>
      </c>
      <c r="E11">
        <v>7.1622000000000012</v>
      </c>
      <c r="F11">
        <v>8.9051999999999989</v>
      </c>
      <c r="G11">
        <v>9.8015999999999988</v>
      </c>
      <c r="H11">
        <v>15.526199999999999</v>
      </c>
      <c r="I11">
        <v>17.098199999999999</v>
      </c>
      <c r="J11">
        <v>17.098199999999999</v>
      </c>
      <c r="K11">
        <v>17.098199999999999</v>
      </c>
      <c r="L11">
        <v>17.098199999999999</v>
      </c>
      <c r="M11">
        <v>17.098199999999999</v>
      </c>
      <c r="N11">
        <v>58.520399999999995</v>
      </c>
      <c r="O11">
        <v>58.520399999999995</v>
      </c>
      <c r="P11">
        <v>58.520399999999995</v>
      </c>
      <c r="Q11">
        <v>58.520399999999995</v>
      </c>
      <c r="R11">
        <v>71.517799999999994</v>
      </c>
      <c r="S11">
        <v>71.517799999999994</v>
      </c>
      <c r="T11">
        <v>71.517799999999994</v>
      </c>
      <c r="U11">
        <v>71.517799999999994</v>
      </c>
      <c r="V11">
        <v>71.517799999999994</v>
      </c>
      <c r="W11">
        <v>71.517799999999994</v>
      </c>
      <c r="X11">
        <v>219.53320000000002</v>
      </c>
      <c r="Y11">
        <v>219.53320000000002</v>
      </c>
      <c r="Z11">
        <v>219.81979999999999</v>
      </c>
      <c r="AA11">
        <v>220.09419999999997</v>
      </c>
      <c r="AB11">
        <v>220.21620000000001</v>
      </c>
      <c r="AC11">
        <v>220.97039999999998</v>
      </c>
      <c r="AD11">
        <v>222.09659999999997</v>
      </c>
      <c r="AE11">
        <v>223.5318</v>
      </c>
      <c r="AF11">
        <v>225.19</v>
      </c>
      <c r="AG11">
        <v>227.10559999999998</v>
      </c>
      <c r="AH11">
        <v>376.57489999999996</v>
      </c>
    </row>
    <row r="12" spans="1:34">
      <c r="A12" t="s">
        <v>19</v>
      </c>
      <c r="B12" s="29" t="s">
        <v>152</v>
      </c>
      <c r="D12">
        <v>3.7079999999999997</v>
      </c>
      <c r="E12">
        <v>3.7079999999999997</v>
      </c>
      <c r="F12">
        <v>3.7079999999999997</v>
      </c>
      <c r="G12">
        <v>3.7079999999999997</v>
      </c>
      <c r="H12">
        <v>3.7079999999999997</v>
      </c>
      <c r="I12">
        <v>3.7079999999999997</v>
      </c>
      <c r="J12">
        <v>3.7079999999999997</v>
      </c>
      <c r="K12">
        <v>3.7079999999999997</v>
      </c>
      <c r="L12">
        <v>3.7079999999999997</v>
      </c>
      <c r="M12">
        <v>3.7079999999999997</v>
      </c>
      <c r="N12">
        <v>3.5244000000000009</v>
      </c>
      <c r="O12">
        <v>3.5244000000000009</v>
      </c>
      <c r="P12">
        <v>3.5244000000000009</v>
      </c>
      <c r="Q12">
        <v>3.5244000000000009</v>
      </c>
      <c r="R12">
        <v>3.5244000000000009</v>
      </c>
      <c r="S12">
        <v>3.5244000000000009</v>
      </c>
      <c r="T12">
        <v>3.5244000000000009</v>
      </c>
      <c r="U12">
        <v>3.5244000000000009</v>
      </c>
      <c r="V12">
        <v>3.5244000000000009</v>
      </c>
      <c r="W12">
        <v>1.8323999999999998</v>
      </c>
      <c r="X12">
        <v>1.3313999999999997</v>
      </c>
      <c r="Y12">
        <v>1.3313999999999997</v>
      </c>
      <c r="Z12">
        <v>1.3313999999999997</v>
      </c>
      <c r="AA12">
        <v>1.3313999999999997</v>
      </c>
      <c r="AB12">
        <v>1.3313999999999997</v>
      </c>
    </row>
    <row r="13" spans="1:34">
      <c r="A13" t="s">
        <v>19</v>
      </c>
      <c r="B13" s="43" t="s">
        <v>164</v>
      </c>
      <c r="D13">
        <v>743.19139999999993</v>
      </c>
      <c r="E13" s="5">
        <v>1376.3553000000002</v>
      </c>
      <c r="F13" s="5">
        <v>1417.7464</v>
      </c>
      <c r="G13" s="5">
        <v>1498.9661999999998</v>
      </c>
      <c r="H13" s="5">
        <v>1513.9154000000001</v>
      </c>
      <c r="I13" s="5">
        <v>1554.5084000000002</v>
      </c>
      <c r="J13" s="5">
        <v>1610.1560999999999</v>
      </c>
      <c r="K13" s="5">
        <v>1667.0516999999998</v>
      </c>
      <c r="L13" s="5">
        <v>1721.1817999999996</v>
      </c>
      <c r="M13" s="5">
        <v>1785.0093000000004</v>
      </c>
      <c r="N13" s="5">
        <v>1717.9964</v>
      </c>
      <c r="O13" s="5">
        <v>1785.3665999999998</v>
      </c>
      <c r="P13" s="5">
        <v>1852.3785000000003</v>
      </c>
      <c r="Q13" s="5">
        <v>313.17689999999999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>
      <c r="A14" t="s">
        <v>19</v>
      </c>
      <c r="B14" s="43" t="s">
        <v>165</v>
      </c>
      <c r="D14">
        <v>140.44419999999997</v>
      </c>
      <c r="E14" s="5">
        <v>26.645399999999995</v>
      </c>
      <c r="F14" s="5">
        <v>28.979400000000002</v>
      </c>
      <c r="G14" s="5">
        <v>36.382000000000005</v>
      </c>
      <c r="H14" s="5">
        <v>157.81220000000002</v>
      </c>
      <c r="I14" s="5">
        <v>169.22830000000002</v>
      </c>
      <c r="J14" s="5">
        <v>185.94749999999999</v>
      </c>
      <c r="K14" s="5">
        <v>191.37569999999997</v>
      </c>
      <c r="L14" s="5">
        <v>199.60929999999996</v>
      </c>
      <c r="M14" s="5">
        <v>162.62450000000001</v>
      </c>
      <c r="N14" s="5">
        <v>163.58779999999999</v>
      </c>
      <c r="O14" s="5">
        <v>170.06180000000001</v>
      </c>
      <c r="P14" s="5">
        <v>159.6241</v>
      </c>
      <c r="Q14" s="5">
        <v>161.72919999999999</v>
      </c>
      <c r="R14" s="5">
        <v>164.12640000000005</v>
      </c>
      <c r="S14" s="5">
        <v>175.12299999999996</v>
      </c>
      <c r="T14" s="5">
        <v>179.91849999999999</v>
      </c>
      <c r="U14" s="5">
        <v>184.70490000000001</v>
      </c>
      <c r="V14" s="5">
        <v>190.5016</v>
      </c>
      <c r="W14" s="5">
        <v>204.22170000000003</v>
      </c>
      <c r="X14" s="5">
        <v>218.74350000000004</v>
      </c>
      <c r="Y14" s="5">
        <v>216.9469</v>
      </c>
      <c r="Z14" s="5">
        <v>224.31379999999996</v>
      </c>
      <c r="AA14" s="5">
        <v>231.99270000000001</v>
      </c>
      <c r="AB14" s="5">
        <v>239.70290000000006</v>
      </c>
      <c r="AC14" s="5">
        <v>248.13420000000002</v>
      </c>
      <c r="AD14" s="5">
        <v>270.14060000000001</v>
      </c>
      <c r="AE14" s="5">
        <v>290.80599999999998</v>
      </c>
      <c r="AF14" s="5">
        <v>303.00949999999995</v>
      </c>
      <c r="AG14" s="5">
        <v>319.02850000000007</v>
      </c>
      <c r="AH14" s="5">
        <v>368.97070000000002</v>
      </c>
    </row>
    <row r="15" spans="1:34" ht="13.8" customHeight="1">
      <c r="A15" t="s">
        <v>19</v>
      </c>
      <c r="B15" s="43" t="s">
        <v>166</v>
      </c>
      <c r="D15">
        <v>244.72029999999995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3.8" customHeight="1">
      <c r="A16" t="s">
        <v>19</v>
      </c>
      <c r="B16" s="43" t="s">
        <v>167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1618.8072</v>
      </c>
      <c r="R16" s="5">
        <v>1965.5583000000001</v>
      </c>
      <c r="S16" s="5">
        <v>2014.7458000000001</v>
      </c>
      <c r="T16" s="5">
        <v>2093.7475999999997</v>
      </c>
      <c r="U16" s="5">
        <v>2224.2532000000001</v>
      </c>
      <c r="V16" s="5">
        <v>2299.2351000000003</v>
      </c>
      <c r="W16" s="5">
        <v>2365.3999000000003</v>
      </c>
      <c r="X16" s="5">
        <v>2098.5935000000004</v>
      </c>
      <c r="Y16" s="5">
        <v>2027.1900999999996</v>
      </c>
      <c r="Z16" s="5">
        <v>2035.7156000000004</v>
      </c>
      <c r="AA16" s="5">
        <v>2043.9449999999997</v>
      </c>
      <c r="AB16" s="5">
        <v>2052.0730000000003</v>
      </c>
      <c r="AC16" s="5">
        <v>2063.9002</v>
      </c>
      <c r="AD16" s="5">
        <v>2070.2158000000004</v>
      </c>
      <c r="AE16" s="5">
        <v>2082.4570999999996</v>
      </c>
      <c r="AF16" s="5">
        <v>2100.1245999999996</v>
      </c>
      <c r="AG16" s="5">
        <v>2117.6315000000004</v>
      </c>
      <c r="AH16" s="5">
        <v>2679.5423999999998</v>
      </c>
    </row>
    <row r="17" spans="1:34">
      <c r="A17" t="s">
        <v>19</v>
      </c>
      <c r="B17" s="43" t="s">
        <v>169</v>
      </c>
      <c r="D17">
        <v>15.200399999999998</v>
      </c>
      <c r="E17" s="5">
        <v>113.98020000000001</v>
      </c>
      <c r="F17" s="5">
        <v>112.85510000000001</v>
      </c>
      <c r="G17" s="5">
        <v>111.78549999999998</v>
      </c>
      <c r="H17" s="5">
        <v>10.912199999999999</v>
      </c>
      <c r="I17" s="5">
        <v>11.0006</v>
      </c>
      <c r="J17" s="5">
        <v>11.083600000000001</v>
      </c>
      <c r="K17" s="5">
        <v>11.1692</v>
      </c>
      <c r="L17" s="5">
        <v>11.2568</v>
      </c>
      <c r="M17" s="5">
        <v>11.346</v>
      </c>
      <c r="N17" s="5">
        <v>11.225</v>
      </c>
      <c r="O17" s="5">
        <v>11.330200000000001</v>
      </c>
      <c r="P17" s="5">
        <v>11.435</v>
      </c>
      <c r="Q17" s="5">
        <v>11.539199999999999</v>
      </c>
      <c r="R17" s="5">
        <v>9.3394000000000013</v>
      </c>
      <c r="S17" s="5"/>
      <c r="T17" s="5"/>
      <c r="U17" s="5"/>
      <c r="V17" s="5"/>
      <c r="W17" s="5"/>
      <c r="X17" s="5">
        <v>6.2846000000000002</v>
      </c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>
      <c r="A18" t="s">
        <v>19</v>
      </c>
      <c r="B18" s="43" t="s">
        <v>170</v>
      </c>
      <c r="D18">
        <v>440.98590000000002</v>
      </c>
      <c r="E18" s="5">
        <v>452.28099999999995</v>
      </c>
      <c r="F18" s="5">
        <v>463.91930000000002</v>
      </c>
      <c r="G18" s="5">
        <v>475.21729999999991</v>
      </c>
      <c r="H18" s="5">
        <v>486.90529999999995</v>
      </c>
      <c r="I18" s="5">
        <v>498.26980000000003</v>
      </c>
      <c r="J18" s="5">
        <v>512.51869999999997</v>
      </c>
      <c r="K18" s="5">
        <v>526.56519999999989</v>
      </c>
      <c r="L18" s="5">
        <v>540.64249999999993</v>
      </c>
      <c r="M18" s="5">
        <v>554.76199999999983</v>
      </c>
      <c r="N18" s="5">
        <v>544.87810000000002</v>
      </c>
      <c r="O18" s="5">
        <v>562.57420000000002</v>
      </c>
      <c r="P18" s="5">
        <v>580.04019999999991</v>
      </c>
      <c r="Q18" s="5">
        <v>597.72840000000008</v>
      </c>
      <c r="R18" s="5">
        <v>615.36570000000006</v>
      </c>
      <c r="S18" s="5">
        <v>629.35490000000004</v>
      </c>
      <c r="T18" s="5">
        <v>645.76249999999993</v>
      </c>
      <c r="U18" s="5">
        <v>662.14989999999989</v>
      </c>
      <c r="V18" s="5">
        <v>677.16639999999995</v>
      </c>
      <c r="W18" s="5">
        <v>692.21669999999995</v>
      </c>
      <c r="X18" s="5">
        <v>704.13869999999986</v>
      </c>
      <c r="Y18" s="5">
        <v>723.95409999999993</v>
      </c>
      <c r="Z18" s="5">
        <v>741.90020000000004</v>
      </c>
      <c r="AA18" s="5">
        <v>761.84600000000034</v>
      </c>
      <c r="AB18" s="5">
        <v>784.5723999999999</v>
      </c>
      <c r="AC18" s="5">
        <v>807.33800000000019</v>
      </c>
      <c r="AD18" s="5">
        <v>831.86180000000013</v>
      </c>
      <c r="AE18" s="5">
        <v>856.41869999999983</v>
      </c>
      <c r="AF18" s="5">
        <v>881.02669999999989</v>
      </c>
      <c r="AG18" s="5">
        <v>905.65979999999968</v>
      </c>
      <c r="AH18" s="5">
        <v>924.20150000000012</v>
      </c>
    </row>
    <row r="19" spans="1:34">
      <c r="A19" t="s">
        <v>19</v>
      </c>
      <c r="B19" s="43" t="s">
        <v>171</v>
      </c>
      <c r="D19">
        <v>304.30340000000001</v>
      </c>
      <c r="E19" s="5">
        <v>1.7527999999999999</v>
      </c>
      <c r="F19" s="5">
        <v>1.7672000000000001</v>
      </c>
      <c r="G19" s="5">
        <v>1.782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>
        <v>10.5</v>
      </c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>
      <c r="A20" t="s">
        <v>19</v>
      </c>
      <c r="B20" s="43" t="s">
        <v>172</v>
      </c>
      <c r="D20">
        <v>740.25919999999996</v>
      </c>
      <c r="E20" s="5">
        <v>1370.9257999999995</v>
      </c>
      <c r="F20" s="5">
        <v>1412.1534000000001</v>
      </c>
      <c r="G20" s="5">
        <v>1493.0528999999999</v>
      </c>
      <c r="H20" s="5">
        <v>1507.9431000000002</v>
      </c>
      <c r="I20" s="5">
        <v>1548.3761</v>
      </c>
      <c r="J20" s="5">
        <v>1603.8036999999999</v>
      </c>
      <c r="K20" s="5">
        <v>1660.4746</v>
      </c>
      <c r="L20" s="5">
        <v>1714.3919000000001</v>
      </c>
      <c r="M20" s="5">
        <v>1777.9680000000003</v>
      </c>
      <c r="N20" s="5">
        <v>1711.2184000000002</v>
      </c>
      <c r="O20" s="5">
        <v>1778.3234</v>
      </c>
      <c r="P20" s="5">
        <v>1845.0709999999999</v>
      </c>
      <c r="Q20" s="5">
        <v>1924.3622999999998</v>
      </c>
      <c r="R20" s="5">
        <v>1957.8044</v>
      </c>
      <c r="S20" s="5">
        <v>2006.7982999999999</v>
      </c>
      <c r="T20" s="5">
        <v>2085.4877999999999</v>
      </c>
      <c r="U20" s="5">
        <v>2215.4788000000003</v>
      </c>
      <c r="V20" s="5">
        <v>2290.1650999999993</v>
      </c>
      <c r="W20" s="5">
        <v>2356.0691999999999</v>
      </c>
      <c r="X20" s="5">
        <v>2090.3146999999999</v>
      </c>
      <c r="Y20" s="5">
        <v>2019.1926000000003</v>
      </c>
      <c r="Z20" s="5">
        <v>2027.6846</v>
      </c>
      <c r="AA20" s="5">
        <v>2035.8813999999995</v>
      </c>
      <c r="AB20" s="5">
        <v>2043.9765999999997</v>
      </c>
      <c r="AC20" s="5">
        <v>2055.7588000000001</v>
      </c>
      <c r="AD20" s="5">
        <v>2062.0489000000002</v>
      </c>
      <c r="AE20" s="5">
        <v>2074.2417999999998</v>
      </c>
      <c r="AF20" s="5">
        <v>2091.8396999999995</v>
      </c>
      <c r="AG20" s="5">
        <v>2109.2779999999998</v>
      </c>
      <c r="AH20" s="5">
        <v>2668.9719</v>
      </c>
    </row>
    <row r="21" spans="1:34">
      <c r="A21" t="s">
        <v>19</v>
      </c>
      <c r="B21" s="43" t="s">
        <v>173</v>
      </c>
      <c r="D21">
        <v>132.899</v>
      </c>
      <c r="E21" s="5">
        <v>25.213799999999992</v>
      </c>
      <c r="F21" s="5">
        <v>27.422999999999998</v>
      </c>
      <c r="G21" s="5">
        <v>34.427800000000012</v>
      </c>
      <c r="H21" s="5">
        <v>149.33430000000004</v>
      </c>
      <c r="I21" s="5">
        <v>160.13709999999998</v>
      </c>
      <c r="J21" s="5">
        <v>175.95779999999999</v>
      </c>
      <c r="K21" s="5">
        <v>181.09470000000005</v>
      </c>
      <c r="L21" s="5">
        <v>188.88609999999997</v>
      </c>
      <c r="M21" s="5">
        <v>153.88849999999999</v>
      </c>
      <c r="N21" s="5">
        <v>154.7997</v>
      </c>
      <c r="O21" s="5">
        <v>160.92550000000003</v>
      </c>
      <c r="P21" s="5">
        <v>151.04889999999997</v>
      </c>
      <c r="Q21" s="5">
        <v>153.04059999999998</v>
      </c>
      <c r="R21" s="5">
        <v>155.30949999999999</v>
      </c>
      <c r="S21" s="5">
        <v>165.715</v>
      </c>
      <c r="T21" s="5">
        <v>170.25290000000004</v>
      </c>
      <c r="U21" s="5">
        <v>174.78230000000002</v>
      </c>
      <c r="V21" s="5">
        <v>180.26749999999998</v>
      </c>
      <c r="W21" s="5">
        <v>193.25029999999998</v>
      </c>
      <c r="X21" s="5">
        <v>206.99230000000003</v>
      </c>
      <c r="Y21" s="5">
        <v>205.29229999999995</v>
      </c>
      <c r="Z21" s="5">
        <v>212.2636</v>
      </c>
      <c r="AA21" s="5">
        <v>219.52990000000003</v>
      </c>
      <c r="AB21" s="5">
        <v>226.82539999999995</v>
      </c>
      <c r="AC21" s="5">
        <v>234.80340000000004</v>
      </c>
      <c r="AD21" s="5">
        <v>255.62810000000002</v>
      </c>
      <c r="AE21" s="5">
        <v>275.18340000000001</v>
      </c>
      <c r="AF21" s="5">
        <v>286.73109999999997</v>
      </c>
      <c r="AG21" s="5">
        <v>301.88980000000004</v>
      </c>
      <c r="AH21" s="5">
        <v>349.14889999999997</v>
      </c>
    </row>
    <row r="22" spans="1:34">
      <c r="A22" t="s">
        <v>19</v>
      </c>
      <c r="B22" s="43" t="s">
        <v>174</v>
      </c>
      <c r="D22">
        <v>264.4027999999999</v>
      </c>
      <c r="E22" s="5">
        <v>115.9461</v>
      </c>
      <c r="F22" s="5">
        <v>114.80140000000002</v>
      </c>
      <c r="G22" s="5">
        <v>113.71320000000001</v>
      </c>
      <c r="H22" s="5">
        <v>11.100200000000001</v>
      </c>
      <c r="I22" s="5">
        <v>11.190199999999999</v>
      </c>
      <c r="J22" s="5">
        <v>11.275</v>
      </c>
      <c r="K22" s="5">
        <v>11.361799999999999</v>
      </c>
      <c r="L22" s="5">
        <v>11.4506</v>
      </c>
      <c r="M22" s="5">
        <v>11.541799999999999</v>
      </c>
      <c r="N22" s="5">
        <v>11.4186</v>
      </c>
      <c r="O22" s="5">
        <v>11.525600000000001</v>
      </c>
      <c r="P22" s="5">
        <v>11.632199999999999</v>
      </c>
      <c r="Q22" s="5">
        <v>11.738200000000001</v>
      </c>
      <c r="R22" s="5">
        <v>9.5003999999999991</v>
      </c>
      <c r="S22" s="5"/>
      <c r="T22" s="5"/>
      <c r="U22" s="5"/>
      <c r="V22" s="5"/>
      <c r="W22" s="5"/>
      <c r="X22" s="5">
        <v>6.3929999999999998</v>
      </c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5" spans="1:34">
      <c r="AH25" s="15"/>
    </row>
    <row r="32" spans="1:34">
      <c r="AG32" s="15"/>
      <c r="AH32" s="15"/>
    </row>
    <row r="66" spans="4:26">
      <c r="D66" s="15"/>
      <c r="E66" s="15"/>
      <c r="F66" s="15"/>
      <c r="G66" s="15"/>
    </row>
    <row r="67" spans="4:26">
      <c r="D67" s="15"/>
      <c r="E67" s="15"/>
      <c r="F67" s="15"/>
      <c r="G67" s="15"/>
    </row>
    <row r="78" spans="4:26">
      <c r="Y78" s="15"/>
      <c r="Z78" s="15"/>
    </row>
    <row r="156" spans="33:33">
      <c r="AG156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workbookViewId="0">
      <selection activeCell="B3" sqref="B3:AJ135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240.64410000000001</v>
      </c>
      <c r="E17">
        <v>3.6574</v>
      </c>
      <c r="F17">
        <v>6.0301</v>
      </c>
      <c r="G17">
        <v>4.5144000000000002</v>
      </c>
      <c r="H17">
        <v>3.6812</v>
      </c>
      <c r="I17">
        <v>3.9018999999999999</v>
      </c>
      <c r="J17">
        <v>3.6495000000000002</v>
      </c>
      <c r="K17">
        <v>4.5621999999999998</v>
      </c>
      <c r="L17">
        <v>1.7057</v>
      </c>
      <c r="M17">
        <v>3.0642999999999998</v>
      </c>
      <c r="N17">
        <v>3.7812999999999999</v>
      </c>
      <c r="O17">
        <v>2.4418000000000002</v>
      </c>
      <c r="P17">
        <v>3.2324999999999999</v>
      </c>
      <c r="Q17">
        <v>3.1629999999999998</v>
      </c>
      <c r="R17">
        <v>11.9435</v>
      </c>
      <c r="S17">
        <v>243.50210000000001</v>
      </c>
      <c r="T17">
        <v>6.5153999999999996</v>
      </c>
      <c r="U17">
        <v>8.8890999999999991</v>
      </c>
      <c r="V17">
        <v>7.3723999999999998</v>
      </c>
      <c r="W17">
        <v>6.5401999999999996</v>
      </c>
      <c r="X17">
        <v>6.4409000000000001</v>
      </c>
      <c r="Y17">
        <v>6.1885000000000003</v>
      </c>
      <c r="Z17">
        <v>7.1012000000000004</v>
      </c>
      <c r="AA17">
        <v>4.2446999999999999</v>
      </c>
      <c r="AB17">
        <v>5.6043000000000003</v>
      </c>
      <c r="AC17">
        <v>5.9782999999999999</v>
      </c>
      <c r="AD17">
        <v>4.6387999999999998</v>
      </c>
      <c r="AE17">
        <v>5.4295</v>
      </c>
      <c r="AF17">
        <v>5.3609999999999998</v>
      </c>
      <c r="AG17">
        <v>14.140499999999999</v>
      </c>
      <c r="AH17">
        <v>245.3981</v>
      </c>
      <c r="AI17">
        <v>8.4103999999999992</v>
      </c>
      <c r="AJ17">
        <v>10.7851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7.6100000000000001E-2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0.22009999999999999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2.1983999999999999</v>
      </c>
      <c r="E31">
        <v>7.6100000000000001E-2</v>
      </c>
      <c r="F31">
        <v>7.6100000000000001E-2</v>
      </c>
      <c r="G31">
        <v>7.6100000000000001E-2</v>
      </c>
      <c r="H31">
        <v>7.6100000000000001E-2</v>
      </c>
      <c r="I31">
        <v>8.2299999999999998E-2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1.2470000000000001</v>
      </c>
      <c r="AC31">
        <v>2.3424999999999998</v>
      </c>
      <c r="AD31">
        <v>0.22009999999999999</v>
      </c>
      <c r="AE31">
        <v>0.22009999999999999</v>
      </c>
      <c r="AF31">
        <v>0.22009999999999999</v>
      </c>
      <c r="AG31">
        <v>0.22009999999999999</v>
      </c>
      <c r="AH31">
        <v>0.2407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207.48920000000001</v>
      </c>
      <c r="D36">
        <v>14.0129</v>
      </c>
      <c r="E36">
        <v>0</v>
      </c>
      <c r="F36">
        <v>0</v>
      </c>
      <c r="G36">
        <v>24.534800000000001</v>
      </c>
      <c r="H36">
        <v>0</v>
      </c>
      <c r="I36">
        <v>0</v>
      </c>
      <c r="J36">
        <v>0</v>
      </c>
      <c r="K36">
        <v>0</v>
      </c>
      <c r="L36">
        <v>434.38200000000001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</v>
      </c>
      <c r="G52">
        <v>0</v>
      </c>
      <c r="H52">
        <v>3.5700000000000003E-2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0.64980000000000004</v>
      </c>
      <c r="K56">
        <v>0.49130000000000001</v>
      </c>
      <c r="L56">
        <v>3.1230000000000002</v>
      </c>
      <c r="M56">
        <v>0.61909999999999998</v>
      </c>
      <c r="N56">
        <v>0.70889999999999997</v>
      </c>
      <c r="O56">
        <v>2.0112000000000001</v>
      </c>
      <c r="P56">
        <v>1.1268</v>
      </c>
      <c r="Q56">
        <v>1.2102999999999999</v>
      </c>
      <c r="R56">
        <v>1.1847000000000001</v>
      </c>
      <c r="S56">
        <v>2.2692999999999999</v>
      </c>
      <c r="T56">
        <v>2.0066000000000002</v>
      </c>
      <c r="U56">
        <v>1.9946999999999999</v>
      </c>
      <c r="V56">
        <v>2.0089000000000001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0.31130000000000002</v>
      </c>
      <c r="AG56">
        <v>13.438000000000001</v>
      </c>
      <c r="AH56">
        <v>0.99650000000000005</v>
      </c>
      <c r="AI56">
        <v>0.40529999999999999</v>
      </c>
      <c r="AJ56">
        <v>2.2770000000000001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0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0.7984</v>
      </c>
      <c r="W60">
        <v>0.30280000000000001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1.339</v>
      </c>
      <c r="AD60">
        <v>0.86080000000000001</v>
      </c>
      <c r="AE60">
        <v>0.13039999999999999</v>
      </c>
      <c r="AF60">
        <v>0.46060000000000001</v>
      </c>
      <c r="AG60">
        <v>5.0876000000000001</v>
      </c>
      <c r="AH60">
        <v>0.74729999999999996</v>
      </c>
      <c r="AI60">
        <v>1.7103999999999999</v>
      </c>
      <c r="AJ60">
        <v>0.33179999999999998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7.2446999999999999</v>
      </c>
      <c r="N64">
        <v>0</v>
      </c>
      <c r="O64">
        <v>0</v>
      </c>
      <c r="P64">
        <v>0</v>
      </c>
      <c r="Q64">
        <v>2.2742</v>
      </c>
      <c r="R64">
        <v>0</v>
      </c>
      <c r="S64">
        <v>0</v>
      </c>
      <c r="T64">
        <v>0</v>
      </c>
      <c r="U64">
        <v>0</v>
      </c>
      <c r="V64">
        <v>0</v>
      </c>
      <c r="W64">
        <v>25.887699999999999</v>
      </c>
      <c r="X64">
        <v>0</v>
      </c>
      <c r="Y64">
        <v>5.0099999999999999E-2</v>
      </c>
      <c r="Z64">
        <v>4.8000000000000001E-2</v>
      </c>
      <c r="AA64">
        <v>4.3299999999999998E-2</v>
      </c>
      <c r="AB64">
        <v>0.20399999999999999</v>
      </c>
      <c r="AC64">
        <v>0.84019999999999995</v>
      </c>
      <c r="AD64">
        <v>0.33779999999999999</v>
      </c>
      <c r="AE64">
        <v>0.28999999999999998</v>
      </c>
      <c r="AF64">
        <v>0.3831</v>
      </c>
      <c r="AG64">
        <v>28.263100000000001</v>
      </c>
      <c r="AH64">
        <v>2.3338000000000001</v>
      </c>
      <c r="AI64">
        <v>2.3361999999999998</v>
      </c>
      <c r="AJ64">
        <v>2.1882000000000001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1.0901000000000001</v>
      </c>
      <c r="I68">
        <v>0</v>
      </c>
      <c r="J68">
        <v>0.7631</v>
      </c>
      <c r="K68">
        <v>0.7631</v>
      </c>
      <c r="L68">
        <v>0.76249999999999996</v>
      </c>
      <c r="M68">
        <v>1.6729000000000001</v>
      </c>
      <c r="N68">
        <v>0</v>
      </c>
      <c r="O68">
        <v>1.7064999999999999</v>
      </c>
      <c r="P68">
        <v>0</v>
      </c>
      <c r="Q68">
        <v>0.99009999999999998</v>
      </c>
      <c r="R68">
        <v>0.96919999999999995</v>
      </c>
      <c r="S68">
        <v>1.1427</v>
      </c>
      <c r="T68">
        <v>1.1424000000000001</v>
      </c>
      <c r="U68">
        <v>1.0558000000000001</v>
      </c>
      <c r="V68">
        <v>1.1878</v>
      </c>
      <c r="W68">
        <v>0.73419999999999996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13.277699999999999</v>
      </c>
      <c r="AH68">
        <v>1.1993</v>
      </c>
      <c r="AI68">
        <v>1.1992</v>
      </c>
      <c r="AJ68">
        <v>1.1993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13.3681</v>
      </c>
      <c r="D85">
        <v>0.38679999999999998</v>
      </c>
      <c r="E85">
        <v>0.39779999999999999</v>
      </c>
      <c r="F85">
        <v>0.38690000000000002</v>
      </c>
      <c r="G85">
        <v>0.3967</v>
      </c>
      <c r="H85">
        <v>0.39169999999999999</v>
      </c>
      <c r="I85">
        <v>0.48060000000000003</v>
      </c>
      <c r="J85">
        <v>0.47410000000000002</v>
      </c>
      <c r="K85">
        <v>0.47520000000000001</v>
      </c>
      <c r="L85">
        <v>0.45960000000000001</v>
      </c>
      <c r="M85">
        <v>0</v>
      </c>
      <c r="N85">
        <v>0.32219999999999999</v>
      </c>
      <c r="O85">
        <v>0.5827</v>
      </c>
      <c r="P85">
        <v>0.59809999999999997</v>
      </c>
      <c r="Q85">
        <v>0.56100000000000005</v>
      </c>
      <c r="R85">
        <v>0.49120000000000003</v>
      </c>
      <c r="S85">
        <v>0.54930000000000001</v>
      </c>
      <c r="T85">
        <v>0.54859999999999998</v>
      </c>
      <c r="U85">
        <v>0.50519999999999998</v>
      </c>
      <c r="V85">
        <v>0.48409999999999997</v>
      </c>
      <c r="W85">
        <v>0.42549999999999999</v>
      </c>
      <c r="X85">
        <v>0.65739999999999998</v>
      </c>
      <c r="Y85">
        <v>0.60199999999999998</v>
      </c>
      <c r="Z85">
        <v>0.66159999999999997</v>
      </c>
      <c r="AA85">
        <v>0.72289999999999999</v>
      </c>
      <c r="AB85">
        <v>14.091100000000001</v>
      </c>
      <c r="AC85">
        <v>1.1657999999999999</v>
      </c>
      <c r="AD85">
        <v>1.1778</v>
      </c>
      <c r="AE85">
        <v>1.1802999999999999</v>
      </c>
      <c r="AF85">
        <v>1.1105</v>
      </c>
      <c r="AG85">
        <v>1.0378000000000001</v>
      </c>
      <c r="AH85">
        <v>1.2999000000000001</v>
      </c>
      <c r="AI85">
        <v>1.2879</v>
      </c>
      <c r="AJ85">
        <v>1.3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9.0449999999999999</v>
      </c>
      <c r="E94">
        <v>0.85809999999999997</v>
      </c>
      <c r="F94">
        <v>0.85809999999999997</v>
      </c>
      <c r="G94">
        <v>38.615400000000001</v>
      </c>
      <c r="H94">
        <v>0.67479999999999996</v>
      </c>
      <c r="I94">
        <v>0.64139999999999997</v>
      </c>
      <c r="J94">
        <v>0.64139999999999997</v>
      </c>
      <c r="K94">
        <v>0.64139999999999997</v>
      </c>
      <c r="L94">
        <v>0.64139999999999997</v>
      </c>
      <c r="M94">
        <v>0.64139999999999997</v>
      </c>
      <c r="N94">
        <v>0.62239999999999995</v>
      </c>
      <c r="O94">
        <v>0.62239999999999995</v>
      </c>
      <c r="P94">
        <v>0.62239999999999995</v>
      </c>
      <c r="Q94">
        <v>1.7175</v>
      </c>
      <c r="R94">
        <v>9.8260000000000005</v>
      </c>
      <c r="S94">
        <v>11.2583</v>
      </c>
      <c r="T94">
        <v>3.0714000000000001</v>
      </c>
      <c r="U94">
        <v>3.0714000000000001</v>
      </c>
      <c r="V94">
        <v>40.828699999999998</v>
      </c>
      <c r="W94">
        <v>2.8881000000000001</v>
      </c>
      <c r="X94">
        <v>4.2706999999999997</v>
      </c>
      <c r="Y94">
        <v>4.2706999999999997</v>
      </c>
      <c r="Z94">
        <v>4.2706999999999997</v>
      </c>
      <c r="AA94">
        <v>4.2706999999999997</v>
      </c>
      <c r="AB94">
        <v>4.2706999999999997</v>
      </c>
      <c r="AC94">
        <v>5.1460999999999997</v>
      </c>
      <c r="AD94">
        <v>5.1460999999999997</v>
      </c>
      <c r="AE94">
        <v>5.1460999999999997</v>
      </c>
      <c r="AF94">
        <v>6.2412000000000001</v>
      </c>
      <c r="AG94">
        <v>14.3497</v>
      </c>
      <c r="AH94">
        <v>16.7197</v>
      </c>
      <c r="AI94">
        <v>8.5327999999999999</v>
      </c>
      <c r="AJ94">
        <v>8.5327999999999999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26.61</v>
      </c>
      <c r="E98">
        <v>26.6</v>
      </c>
      <c r="F98">
        <v>26.61</v>
      </c>
      <c r="G98">
        <v>26.61</v>
      </c>
      <c r="H98">
        <v>26.6</v>
      </c>
      <c r="I98">
        <v>26.61</v>
      </c>
      <c r="J98">
        <v>26.6</v>
      </c>
      <c r="K98">
        <v>26.61</v>
      </c>
      <c r="L98">
        <v>26.61</v>
      </c>
      <c r="M98">
        <v>53.21</v>
      </c>
      <c r="N98">
        <v>53.21</v>
      </c>
      <c r="O98">
        <v>53.22</v>
      </c>
      <c r="P98">
        <v>72.474800000000002</v>
      </c>
      <c r="Q98">
        <v>38.105699999999999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37.138800000000003</v>
      </c>
      <c r="D99">
        <v>206.70249999999999</v>
      </c>
      <c r="E99">
        <v>203.30359999999999</v>
      </c>
      <c r="F99">
        <v>204.2842</v>
      </c>
      <c r="G99">
        <v>206.20320000000001</v>
      </c>
      <c r="H99">
        <v>201.39439999999999</v>
      </c>
      <c r="I99">
        <v>201.58009999999999</v>
      </c>
      <c r="J99">
        <v>201.59950000000001</v>
      </c>
      <c r="K99">
        <v>202.58009999999999</v>
      </c>
      <c r="L99">
        <v>228.5325</v>
      </c>
      <c r="M99">
        <v>124.34569999999999</v>
      </c>
      <c r="N99">
        <v>250.3742</v>
      </c>
      <c r="O99">
        <v>200.0728</v>
      </c>
      <c r="P99">
        <v>192.8623</v>
      </c>
      <c r="Q99">
        <v>43.238700000000001</v>
      </c>
      <c r="R99">
        <v>61.794199999999996</v>
      </c>
      <c r="S99">
        <v>262.54020000000003</v>
      </c>
      <c r="T99">
        <v>259.14139999999998</v>
      </c>
      <c r="U99">
        <v>278.4239</v>
      </c>
      <c r="V99">
        <v>219.74770000000001</v>
      </c>
      <c r="W99">
        <v>359.08460000000002</v>
      </c>
      <c r="X99">
        <v>265.65100000000001</v>
      </c>
      <c r="Y99">
        <v>287.21350000000001</v>
      </c>
      <c r="Z99">
        <v>266.58420000000001</v>
      </c>
      <c r="AA99">
        <v>255.61250000000001</v>
      </c>
      <c r="AB99">
        <v>151.43539999999999</v>
      </c>
      <c r="AC99">
        <v>274.24770000000001</v>
      </c>
      <c r="AD99">
        <v>223.94630000000001</v>
      </c>
      <c r="AE99">
        <v>207.96279999999999</v>
      </c>
      <c r="AF99">
        <v>0</v>
      </c>
      <c r="AG99">
        <v>161.5531</v>
      </c>
      <c r="AH99">
        <v>283.57150000000001</v>
      </c>
      <c r="AI99">
        <v>280.17259999999999</v>
      </c>
      <c r="AJ99">
        <v>299.45510000000002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81.748999999999995</v>
      </c>
      <c r="S107">
        <v>88.683300000000003</v>
      </c>
      <c r="T107">
        <v>88.7</v>
      </c>
      <c r="U107">
        <v>120.146</v>
      </c>
      <c r="V107">
        <v>123.518</v>
      </c>
      <c r="W107">
        <v>210.16120000000001</v>
      </c>
      <c r="X107">
        <v>18.399999999999999</v>
      </c>
      <c r="Y107">
        <v>123.81610000000001</v>
      </c>
      <c r="Z107">
        <v>79.409599999999998</v>
      </c>
      <c r="AA107">
        <v>15.9</v>
      </c>
      <c r="AB107">
        <v>15.9</v>
      </c>
      <c r="AC107">
        <v>15.283300000000001</v>
      </c>
      <c r="AD107">
        <v>15.2667</v>
      </c>
      <c r="AE107">
        <v>15.283300000000001</v>
      </c>
      <c r="AF107">
        <v>15.283300000000001</v>
      </c>
      <c r="AG107">
        <v>97.015699999999995</v>
      </c>
      <c r="AH107">
        <v>102.7833</v>
      </c>
      <c r="AI107">
        <v>102.7833</v>
      </c>
      <c r="AJ107">
        <v>134.24600000000001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0</v>
      </c>
      <c r="S109">
        <v>61.2258</v>
      </c>
      <c r="T109">
        <v>61.209000000000003</v>
      </c>
      <c r="U109">
        <v>28.418800000000001</v>
      </c>
      <c r="V109">
        <v>26.026700000000002</v>
      </c>
      <c r="W109">
        <v>0</v>
      </c>
      <c r="X109">
        <v>68.354699999999994</v>
      </c>
      <c r="Y109">
        <v>22.383299999999998</v>
      </c>
      <c r="Z109">
        <v>68.259</v>
      </c>
      <c r="AA109">
        <v>132.48060000000001</v>
      </c>
      <c r="AB109">
        <v>132.48060000000001</v>
      </c>
      <c r="AC109">
        <v>124.72410000000001</v>
      </c>
      <c r="AD109">
        <v>125.7409</v>
      </c>
      <c r="AE109">
        <v>125.72410000000001</v>
      </c>
      <c r="AF109">
        <v>60.740900000000003</v>
      </c>
      <c r="AG109">
        <v>16.107700000000001</v>
      </c>
      <c r="AH109">
        <v>70.9983</v>
      </c>
      <c r="AI109">
        <v>70.9983</v>
      </c>
      <c r="AJ109">
        <v>38.191200000000002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0</v>
      </c>
      <c r="I114">
        <v>1E-3</v>
      </c>
      <c r="J114">
        <v>1E-3</v>
      </c>
      <c r="K114">
        <v>0</v>
      </c>
      <c r="L114">
        <v>1.1000000000000001E-3</v>
      </c>
      <c r="M114">
        <v>1.4E-3</v>
      </c>
      <c r="N114">
        <v>5.9999999999999995E-4</v>
      </c>
      <c r="O114">
        <v>1E-4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2E-3</v>
      </c>
      <c r="W114">
        <v>2.8E-3</v>
      </c>
      <c r="X114">
        <v>1E-3</v>
      </c>
      <c r="Y114">
        <v>3.0000000000000001E-3</v>
      </c>
      <c r="Z114">
        <v>2E-3</v>
      </c>
      <c r="AA114">
        <v>2E-3</v>
      </c>
      <c r="AB114">
        <v>2E-3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3.3999999999999998E-3</v>
      </c>
      <c r="AH114">
        <v>3.5999999999999999E-3</v>
      </c>
      <c r="AI114">
        <v>2.0999999999999999E-3</v>
      </c>
      <c r="AJ114">
        <v>4.0000000000000001E-3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0</v>
      </c>
      <c r="I117">
        <v>1E-3</v>
      </c>
      <c r="J117">
        <v>0</v>
      </c>
      <c r="K117">
        <v>1E-3</v>
      </c>
      <c r="L117">
        <v>1E-4</v>
      </c>
      <c r="M117">
        <v>1.4E-3</v>
      </c>
      <c r="N117">
        <v>5.9999999999999995E-4</v>
      </c>
      <c r="O117">
        <v>1E-4</v>
      </c>
      <c r="P117">
        <v>1E-3</v>
      </c>
      <c r="Q117">
        <v>1E-3</v>
      </c>
      <c r="R117">
        <v>1E-3</v>
      </c>
      <c r="S117">
        <v>1E-3</v>
      </c>
      <c r="T117">
        <v>1E-3</v>
      </c>
      <c r="U117">
        <v>1E-3</v>
      </c>
      <c r="V117">
        <v>1E-3</v>
      </c>
      <c r="W117">
        <v>2.8E-3</v>
      </c>
      <c r="X117">
        <v>2E-3</v>
      </c>
      <c r="Y117">
        <v>2E-3</v>
      </c>
      <c r="Z117">
        <v>1E-3</v>
      </c>
      <c r="AA117">
        <v>3.0000000000000001E-3</v>
      </c>
      <c r="AB117">
        <v>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3.3999999999999998E-3</v>
      </c>
      <c r="AH117">
        <v>2.5999999999999999E-3</v>
      </c>
      <c r="AI117">
        <v>2.0999999999999999E-3</v>
      </c>
      <c r="AJ117">
        <v>4.0000000000000001E-3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5">
        <v>25</v>
      </c>
      <c r="E5" s="35">
        <f>$G$2*(1+$G$2)^D5/((1+$G$2)^D5-1)</f>
        <v>7.0952457299229624E-2</v>
      </c>
    </row>
    <row r="6" spans="2:11">
      <c r="B6" t="s">
        <v>133</v>
      </c>
      <c r="C6" s="35"/>
      <c r="D6" s="35">
        <v>25</v>
      </c>
      <c r="E6" s="35">
        <f t="shared" ref="E6:E21" si="0">$G$2*(1+$G$2)^D6/((1+$G$2)^D6-1)</f>
        <v>7.0952457299229624E-2</v>
      </c>
    </row>
    <row r="7" spans="2:11">
      <c r="B7" t="s">
        <v>138</v>
      </c>
      <c r="C7" s="35"/>
      <c r="D7" s="35">
        <v>25</v>
      </c>
      <c r="E7" s="35">
        <f t="shared" si="0"/>
        <v>7.0952457299229624E-2</v>
      </c>
    </row>
    <row r="8" spans="2:11">
      <c r="B8" t="s">
        <v>141</v>
      </c>
      <c r="C8" s="35"/>
      <c r="D8" s="35">
        <v>25</v>
      </c>
      <c r="E8" s="35">
        <f t="shared" si="0"/>
        <v>7.0952457299229624E-2</v>
      </c>
    </row>
    <row r="9" spans="2:11">
      <c r="B9" t="s">
        <v>142</v>
      </c>
      <c r="C9" s="35"/>
      <c r="D9" s="35">
        <v>25</v>
      </c>
      <c r="E9" s="35">
        <f>$G$2*(1+$G$2)^D9/((1+$G$2)^D9-1)</f>
        <v>7.0952457299229624E-2</v>
      </c>
    </row>
    <row r="10" spans="2:11">
      <c r="B10" t="s">
        <v>143</v>
      </c>
      <c r="C10" s="35"/>
      <c r="D10" s="35">
        <v>25</v>
      </c>
      <c r="E10" s="35">
        <f t="shared" si="0"/>
        <v>7.0952457299229624E-2</v>
      </c>
    </row>
    <row r="11" spans="2:11">
      <c r="B11" t="s">
        <v>144</v>
      </c>
      <c r="C11" s="35"/>
      <c r="D11" s="35">
        <v>25</v>
      </c>
      <c r="E11" s="35">
        <f t="shared" si="0"/>
        <v>7.0952457299229624E-2</v>
      </c>
    </row>
    <row r="12" spans="2:11">
      <c r="B12" t="s">
        <v>145</v>
      </c>
      <c r="D12" s="35">
        <v>50</v>
      </c>
      <c r="E12" s="35">
        <f t="shared" si="0"/>
        <v>5.4776735485736472E-2</v>
      </c>
    </row>
    <row r="13" spans="2:11">
      <c r="B13" t="s">
        <v>146</v>
      </c>
      <c r="D13" s="35">
        <v>25</v>
      </c>
      <c r="E13" s="35">
        <f t="shared" si="0"/>
        <v>7.0952457299229624E-2</v>
      </c>
    </row>
    <row r="14" spans="2:11">
      <c r="B14" t="s">
        <v>147</v>
      </c>
      <c r="D14" s="35">
        <v>25</v>
      </c>
      <c r="E14" s="35">
        <f t="shared" si="0"/>
        <v>7.0952457299229624E-2</v>
      </c>
    </row>
    <row r="15" spans="2:11">
      <c r="B15" t="s">
        <v>148</v>
      </c>
      <c r="D15" s="35">
        <v>40</v>
      </c>
      <c r="E15" s="35">
        <f t="shared" si="0"/>
        <v>5.8278161166035E-2</v>
      </c>
    </row>
    <row r="16" spans="2:11">
      <c r="B16" t="s">
        <v>149</v>
      </c>
      <c r="D16" s="35">
        <v>60</v>
      </c>
      <c r="E16" s="35">
        <f t="shared" si="0"/>
        <v>5.2828184527242368E-2</v>
      </c>
    </row>
    <row r="17" spans="2:5">
      <c r="B17" t="s">
        <v>150</v>
      </c>
      <c r="D17" s="35">
        <v>25</v>
      </c>
      <c r="E17" s="35">
        <f t="shared" si="0"/>
        <v>7.0952457299229624E-2</v>
      </c>
    </row>
    <row r="18" spans="2:5">
      <c r="B18" t="s">
        <v>151</v>
      </c>
      <c r="D18" s="35">
        <v>25</v>
      </c>
      <c r="E18" s="35">
        <f t="shared" si="0"/>
        <v>7.0952457299229624E-2</v>
      </c>
    </row>
    <row r="19" spans="2:5">
      <c r="B19" t="s">
        <v>152</v>
      </c>
      <c r="D19" s="35">
        <v>25</v>
      </c>
      <c r="E19" s="35">
        <f t="shared" si="0"/>
        <v>7.0952457299229624E-2</v>
      </c>
    </row>
    <row r="20" spans="2:5">
      <c r="B20" t="s">
        <v>135</v>
      </c>
      <c r="D20" s="37">
        <v>1</v>
      </c>
      <c r="E20" s="35">
        <f t="shared" si="0"/>
        <v>1.0499999999999992</v>
      </c>
    </row>
    <row r="21" spans="2:5">
      <c r="B21" t="s">
        <v>134</v>
      </c>
      <c r="D21" s="37">
        <v>1</v>
      </c>
      <c r="E21" s="35">
        <f t="shared" si="0"/>
        <v>1.0499999999999992</v>
      </c>
    </row>
    <row r="22" spans="2:5">
      <c r="D22" s="35"/>
      <c r="E22" s="35"/>
    </row>
    <row r="23" spans="2:5">
      <c r="D23" s="35"/>
      <c r="E23" s="35"/>
    </row>
    <row r="24" spans="2:5">
      <c r="D24" s="35"/>
      <c r="E24" s="35"/>
    </row>
    <row r="25" spans="2:5">
      <c r="D25" s="35"/>
      <c r="E25" s="35"/>
    </row>
    <row r="26" spans="2:5">
      <c r="D26" s="35"/>
      <c r="E26" s="35"/>
    </row>
    <row r="27" spans="2:5">
      <c r="D27" s="35"/>
      <c r="E27" s="35"/>
    </row>
    <row r="28" spans="2:5">
      <c r="D28" s="35"/>
      <c r="E28" s="35"/>
    </row>
    <row r="29" spans="2:5">
      <c r="D29" s="35"/>
      <c r="E29" s="35"/>
    </row>
    <row r="30" spans="2:5">
      <c r="D30" s="35"/>
      <c r="E30" s="35"/>
    </row>
    <row r="31" spans="2:5">
      <c r="D31" s="35"/>
      <c r="E31" s="35"/>
    </row>
    <row r="32" spans="2:5">
      <c r="D32" s="35"/>
      <c r="E32" s="35"/>
    </row>
    <row r="33" spans="4:5">
      <c r="D33" s="35"/>
      <c r="E33" s="35"/>
    </row>
    <row r="34" spans="4:5">
      <c r="D34" s="35"/>
      <c r="E34" s="35"/>
    </row>
    <row r="35" spans="4:5">
      <c r="D35" s="35"/>
      <c r="E35" s="35"/>
    </row>
    <row r="36" spans="4:5">
      <c r="D36" s="35"/>
      <c r="E36" s="35"/>
    </row>
    <row r="37" spans="4:5">
      <c r="D37" s="35"/>
      <c r="E37" s="35"/>
    </row>
    <row r="38" spans="4:5">
      <c r="D38" s="35"/>
      <c r="E38" s="35"/>
    </row>
    <row r="39" spans="4:5">
      <c r="D39" s="35"/>
      <c r="E39" s="35"/>
    </row>
    <row r="40" spans="4:5">
      <c r="D40" s="35"/>
      <c r="E40" s="35"/>
    </row>
    <row r="41" spans="4:5">
      <c r="D41" s="35"/>
      <c r="E41" s="35"/>
    </row>
    <row r="42" spans="4:5">
      <c r="D42" s="35"/>
      <c r="E42" s="35"/>
    </row>
    <row r="43" spans="4:5">
      <c r="D43" s="35"/>
      <c r="E43" s="35"/>
    </row>
    <row r="44" spans="4:5">
      <c r="D44" s="35"/>
      <c r="E44" s="35"/>
    </row>
    <row r="45" spans="4:5">
      <c r="D45" s="35"/>
      <c r="E45" s="35"/>
    </row>
    <row r="46" spans="4:5">
      <c r="D46" s="35"/>
      <c r="E46" s="35"/>
    </row>
    <row r="47" spans="4:5">
      <c r="D47" s="35"/>
      <c r="E47" s="35"/>
    </row>
    <row r="48" spans="4:5">
      <c r="D48" s="35"/>
      <c r="E48" s="35"/>
    </row>
    <row r="49" spans="4:5">
      <c r="D49" s="35"/>
      <c r="E49" s="35"/>
    </row>
    <row r="50" spans="4:5">
      <c r="D50" s="35"/>
      <c r="E50" s="35"/>
    </row>
    <row r="51" spans="4:5">
      <c r="D51" s="35"/>
      <c r="E5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Grid_cost_Base</vt:lpstr>
      <vt:lpstr>Investments_Base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2026-01-09T20:17:05Z</dcterms:modified>
</cp:coreProperties>
</file>