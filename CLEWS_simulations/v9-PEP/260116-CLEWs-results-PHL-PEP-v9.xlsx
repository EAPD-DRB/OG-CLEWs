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hidePivotFieldList="1" defaultThemeVersion="124226"/>
  <xr:revisionPtr revIDLastSave="139" documentId="8_{99764C11-5A3E-450E-B958-9E2A732D446E}" xr6:coauthVersionLast="47" xr6:coauthVersionMax="47" xr10:uidLastSave="{DDEBB079-BD20-4604-B707-42E5C8663EDF}"/>
  <bookViews>
    <workbookView xWindow="2265" yWindow="-13620" windowWidth="21840" windowHeight="13020" tabRatio="892" activeTab="3" xr2:uid="{00000000-000D-0000-FFFF-FFFF00000000}"/>
  </bookViews>
  <sheets>
    <sheet name="Grid_cost_PEP" sheetId="20" r:id="rId1"/>
    <sheet name="Investments_PEP" sheetId="22" r:id="rId2"/>
    <sheet name="Capital Annualized Costs PEP" sheetId="21" r:id="rId3"/>
    <sheet name="Emissions PEP" sheetId="24" r:id="rId4"/>
    <sheet name="Cost_of_ELCgen" sheetId="11" r:id="rId5"/>
    <sheet name="Variable" sheetId="13" r:id="rId6"/>
    <sheet name="Fixed" sheetId="14" r:id="rId7"/>
    <sheet name="Capital_Investments" sheetId="15" r:id="rId8"/>
    <sheet name="Annualized_Investments" sheetId="19" r:id="rId9"/>
    <sheet name="AnnualProduction" sheetId="16" r:id="rId10"/>
    <sheet name="New Capacity" sheetId="17" r:id="rId11"/>
    <sheet name="UseByTech" sheetId="23" r:id="rId12"/>
    <sheet name="Operation Life Time" sheetId="12" state="hidden" r:id="rId13"/>
  </sheets>
  <definedNames>
    <definedName name="_xlnm._FilterDatabase" localSheetId="8" hidden="1">Annualized_Investments!$A$2:$AG$46</definedName>
    <definedName name="_xlnm._FilterDatabase" localSheetId="9" hidden="1">AnnualProduction!$A$1:$BG$2222</definedName>
    <definedName name="_xlnm._FilterDatabase" localSheetId="7" hidden="1">Capital_Investments!$A$2:$AJ$246</definedName>
    <definedName name="_xlnm._FilterDatabase" localSheetId="5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4" i="11" l="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J224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J225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J226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J227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J228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J229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J230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J231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J232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J233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J234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J235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J236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J237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J238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J239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J240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J241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24" i="11"/>
  <c r="D32" i="11" l="1"/>
  <c r="E32" i="11"/>
  <c r="F32" i="11"/>
  <c r="J32" i="11"/>
  <c r="K32" i="11"/>
  <c r="L32" i="11"/>
  <c r="V32" i="11"/>
  <c r="W32" i="11"/>
  <c r="X32" i="11"/>
  <c r="AB32" i="11"/>
  <c r="AC32" i="11"/>
  <c r="AD32" i="11"/>
  <c r="D34" i="11"/>
  <c r="E34" i="11"/>
  <c r="F34" i="11"/>
  <c r="G34" i="11"/>
  <c r="N34" i="11"/>
  <c r="O34" i="11"/>
  <c r="P34" i="11"/>
  <c r="Q34" i="11"/>
  <c r="R34" i="11"/>
  <c r="V34" i="11"/>
  <c r="W34" i="11"/>
  <c r="X34" i="11"/>
  <c r="AB34" i="11"/>
  <c r="AC34" i="11"/>
  <c r="AD34" i="11"/>
  <c r="C32" i="11"/>
  <c r="C34" i="11"/>
  <c r="C129" i="11"/>
  <c r="B5" i="22"/>
  <c r="A5" i="22"/>
  <c r="B4" i="22"/>
  <c r="A4" i="22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AG25" i="21"/>
  <c r="AF25" i="21"/>
  <c r="AE25" i="21"/>
  <c r="AD25" i="21"/>
  <c r="AC25" i="21"/>
  <c r="AB25" i="21"/>
  <c r="AA25" i="21"/>
  <c r="Z25" i="21"/>
  <c r="Z43" i="21" s="1"/>
  <c r="Z5" i="22" s="1"/>
  <c r="Y25" i="21"/>
  <c r="X25" i="21"/>
  <c r="W25" i="21"/>
  <c r="V25" i="21"/>
  <c r="U25" i="21"/>
  <c r="T25" i="21"/>
  <c r="S25" i="21"/>
  <c r="R25" i="21"/>
  <c r="Q25" i="21"/>
  <c r="P25" i="21"/>
  <c r="O25" i="21"/>
  <c r="N25" i="21"/>
  <c r="N43" i="21" s="1"/>
  <c r="N5" i="22" s="1"/>
  <c r="M25" i="21"/>
  <c r="L25" i="21"/>
  <c r="K25" i="21"/>
  <c r="J25" i="21"/>
  <c r="I25" i="21"/>
  <c r="H25" i="21"/>
  <c r="G25" i="21"/>
  <c r="F25" i="21"/>
  <c r="E25" i="21"/>
  <c r="D25" i="21"/>
  <c r="C25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G5" i="21"/>
  <c r="AF5" i="21"/>
  <c r="AE5" i="21"/>
  <c r="AD5" i="21"/>
  <c r="AC5" i="21"/>
  <c r="AB5" i="21"/>
  <c r="AA5" i="21"/>
  <c r="Z5" i="21"/>
  <c r="Y5" i="21"/>
  <c r="X5" i="21"/>
  <c r="X22" i="21" s="1"/>
  <c r="X4" i="22" s="1"/>
  <c r="W5" i="21"/>
  <c r="V5" i="21"/>
  <c r="U5" i="21"/>
  <c r="T5" i="21"/>
  <c r="S5" i="21"/>
  <c r="R5" i="21"/>
  <c r="Q5" i="21"/>
  <c r="P5" i="21"/>
  <c r="O5" i="21"/>
  <c r="N5" i="21"/>
  <c r="M5" i="21"/>
  <c r="L5" i="21"/>
  <c r="L22" i="21" s="1"/>
  <c r="L4" i="22" s="1"/>
  <c r="K5" i="21"/>
  <c r="J5" i="21"/>
  <c r="I5" i="21"/>
  <c r="H5" i="21"/>
  <c r="G5" i="21"/>
  <c r="F5" i="21"/>
  <c r="E5" i="21"/>
  <c r="D5" i="21"/>
  <c r="C5" i="21"/>
  <c r="AG4" i="21"/>
  <c r="AF4" i="21"/>
  <c r="AE4" i="21"/>
  <c r="AE22" i="21" s="1"/>
  <c r="AE4" i="22" s="1"/>
  <c r="AD4" i="21"/>
  <c r="AC4" i="21"/>
  <c r="AB4" i="21"/>
  <c r="AA4" i="21"/>
  <c r="Z4" i="21"/>
  <c r="Y4" i="21"/>
  <c r="X4" i="21"/>
  <c r="W4" i="21"/>
  <c r="V4" i="21"/>
  <c r="U4" i="21"/>
  <c r="T4" i="21"/>
  <c r="S4" i="21"/>
  <c r="S22" i="21" s="1"/>
  <c r="S4" i="22" s="1"/>
  <c r="R4" i="21"/>
  <c r="Q4" i="21"/>
  <c r="P4" i="21"/>
  <c r="O4" i="21"/>
  <c r="N4" i="21"/>
  <c r="M4" i="21"/>
  <c r="L4" i="21"/>
  <c r="K4" i="21"/>
  <c r="J4" i="21"/>
  <c r="I4" i="21"/>
  <c r="H4" i="21"/>
  <c r="G4" i="21"/>
  <c r="G22" i="21" s="1"/>
  <c r="G4" i="22" s="1"/>
  <c r="F4" i="21"/>
  <c r="E4" i="21"/>
  <c r="D4" i="21"/>
  <c r="C4" i="21"/>
  <c r="G32" i="11"/>
  <c r="H32" i="11"/>
  <c r="I32" i="11"/>
  <c r="M32" i="11"/>
  <c r="N32" i="11"/>
  <c r="O32" i="11"/>
  <c r="P32" i="11"/>
  <c r="Q32" i="11"/>
  <c r="R32" i="11"/>
  <c r="S32" i="11"/>
  <c r="T32" i="11"/>
  <c r="U32" i="11"/>
  <c r="Y32" i="11"/>
  <c r="Z32" i="11"/>
  <c r="AA32" i="11"/>
  <c r="AE32" i="11"/>
  <c r="AF32" i="11"/>
  <c r="AG32" i="11"/>
  <c r="H34" i="11"/>
  <c r="I34" i="11"/>
  <c r="J34" i="11"/>
  <c r="K34" i="11"/>
  <c r="L34" i="11"/>
  <c r="M34" i="11"/>
  <c r="S34" i="11"/>
  <c r="T34" i="11"/>
  <c r="U34" i="11"/>
  <c r="Y34" i="11"/>
  <c r="Z34" i="11"/>
  <c r="AA34" i="11"/>
  <c r="AE34" i="11"/>
  <c r="AF34" i="11"/>
  <c r="AG34" i="11"/>
  <c r="I43" i="21" l="1"/>
  <c r="I5" i="22" s="1"/>
  <c r="W43" i="21"/>
  <c r="W5" i="22" s="1"/>
  <c r="X43" i="21"/>
  <c r="X5" i="22" s="1"/>
  <c r="M43" i="21"/>
  <c r="M5" i="22" s="1"/>
  <c r="Y43" i="21"/>
  <c r="Y5" i="22" s="1"/>
  <c r="O43" i="21"/>
  <c r="O5" i="22" s="1"/>
  <c r="AA43" i="21"/>
  <c r="AA5" i="22" s="1"/>
  <c r="C43" i="21"/>
  <c r="C5" i="22" s="1"/>
  <c r="D43" i="21"/>
  <c r="D5" i="22" s="1"/>
  <c r="P43" i="21"/>
  <c r="P5" i="22" s="1"/>
  <c r="AB43" i="21"/>
  <c r="AB5" i="22" s="1"/>
  <c r="E43" i="21"/>
  <c r="E5" i="22" s="1"/>
  <c r="Q43" i="21"/>
  <c r="Q5" i="22" s="1"/>
  <c r="AC43" i="21"/>
  <c r="AC5" i="22" s="1"/>
  <c r="F43" i="21"/>
  <c r="F5" i="22" s="1"/>
  <c r="R43" i="21"/>
  <c r="R5" i="22" s="1"/>
  <c r="AD43" i="21"/>
  <c r="AD5" i="22" s="1"/>
  <c r="G43" i="21"/>
  <c r="G5" i="22" s="1"/>
  <c r="S43" i="21"/>
  <c r="S5" i="22" s="1"/>
  <c r="AE43" i="21"/>
  <c r="AE5" i="22" s="1"/>
  <c r="H43" i="21"/>
  <c r="H5" i="22" s="1"/>
  <c r="T43" i="21"/>
  <c r="T5" i="22" s="1"/>
  <c r="AF43" i="21"/>
  <c r="AF5" i="22" s="1"/>
  <c r="U43" i="21"/>
  <c r="U5" i="22" s="1"/>
  <c r="AG43" i="21"/>
  <c r="AG5" i="22" s="1"/>
  <c r="J43" i="21"/>
  <c r="J5" i="22" s="1"/>
  <c r="V43" i="21"/>
  <c r="V5" i="22" s="1"/>
  <c r="K43" i="21"/>
  <c r="K5" i="22" s="1"/>
  <c r="L43" i="21"/>
  <c r="L5" i="22" s="1"/>
  <c r="J22" i="21"/>
  <c r="J4" i="22" s="1"/>
  <c r="V22" i="21"/>
  <c r="V4" i="22" s="1"/>
  <c r="K22" i="21"/>
  <c r="K4" i="22" s="1"/>
  <c r="W22" i="21"/>
  <c r="W4" i="22" s="1"/>
  <c r="M22" i="21"/>
  <c r="M4" i="22" s="1"/>
  <c r="H22" i="21"/>
  <c r="H4" i="22" s="1"/>
  <c r="I22" i="21"/>
  <c r="I4" i="22" s="1"/>
  <c r="Y22" i="21"/>
  <c r="Y4" i="22" s="1"/>
  <c r="Z22" i="21"/>
  <c r="Z4" i="22" s="1"/>
  <c r="C22" i="21"/>
  <c r="C4" i="22" s="1"/>
  <c r="O22" i="21"/>
  <c r="O4" i="22" s="1"/>
  <c r="AA22" i="21"/>
  <c r="AA4" i="22" s="1"/>
  <c r="AG22" i="21"/>
  <c r="AG4" i="22" s="1"/>
  <c r="D22" i="21"/>
  <c r="D4" i="22" s="1"/>
  <c r="P22" i="21"/>
  <c r="P4" i="22" s="1"/>
  <c r="AB22" i="21"/>
  <c r="AB4" i="22" s="1"/>
  <c r="T22" i="21"/>
  <c r="T4" i="22" s="1"/>
  <c r="U22" i="21"/>
  <c r="U4" i="22" s="1"/>
  <c r="E22" i="21"/>
  <c r="E4" i="22" s="1"/>
  <c r="Q22" i="21"/>
  <c r="Q4" i="22" s="1"/>
  <c r="AC22" i="21"/>
  <c r="AC4" i="22" s="1"/>
  <c r="AF22" i="21"/>
  <c r="AF4" i="22" s="1"/>
  <c r="N22" i="21"/>
  <c r="N4" i="22" s="1"/>
  <c r="F22" i="21"/>
  <c r="F4" i="22" s="1"/>
  <c r="R22" i="21"/>
  <c r="R4" i="22" s="1"/>
  <c r="AD22" i="21"/>
  <c r="AD4" i="22" s="1"/>
  <c r="A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3" i="20"/>
  <c r="A4" i="20"/>
  <c r="A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6" i="20"/>
  <c r="A7" i="20"/>
  <c r="A8" i="20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AA151" i="11" l="1"/>
  <c r="AA4" i="20" s="1"/>
  <c r="O151" i="11"/>
  <c r="O4" i="20" s="1"/>
  <c r="Z151" i="11"/>
  <c r="Z4" i="20" s="1"/>
  <c r="N151" i="11"/>
  <c r="N4" i="20" s="1"/>
  <c r="M151" i="11"/>
  <c r="M4" i="20" s="1"/>
  <c r="X151" i="11"/>
  <c r="X4" i="20" s="1"/>
  <c r="L151" i="11"/>
  <c r="L4" i="20" s="1"/>
  <c r="Y151" i="11"/>
  <c r="Y4" i="20" s="1"/>
  <c r="W151" i="11"/>
  <c r="W4" i="20" s="1"/>
  <c r="K151" i="11"/>
  <c r="K4" i="20" s="1"/>
  <c r="C151" i="11"/>
  <c r="C4" i="20" s="1"/>
  <c r="V151" i="11"/>
  <c r="V4" i="20" s="1"/>
  <c r="J151" i="11"/>
  <c r="J4" i="20" s="1"/>
  <c r="AG151" i="11"/>
  <c r="AG4" i="20" s="1"/>
  <c r="U151" i="11"/>
  <c r="U4" i="20" s="1"/>
  <c r="I151" i="11"/>
  <c r="I4" i="20" s="1"/>
  <c r="AF151" i="11"/>
  <c r="AF4" i="20" s="1"/>
  <c r="T151" i="11"/>
  <c r="T4" i="20" s="1"/>
  <c r="H151" i="11"/>
  <c r="H4" i="20" s="1"/>
  <c r="AE151" i="11"/>
  <c r="AE4" i="20" s="1"/>
  <c r="S151" i="11"/>
  <c r="S4" i="20" s="1"/>
  <c r="G151" i="11"/>
  <c r="G4" i="20" s="1"/>
  <c r="AD151" i="11"/>
  <c r="AD4" i="20" s="1"/>
  <c r="R151" i="11"/>
  <c r="R4" i="20" s="1"/>
  <c r="F151" i="11"/>
  <c r="F4" i="20" s="1"/>
  <c r="AC151" i="11"/>
  <c r="AC4" i="20" s="1"/>
  <c r="Q151" i="11"/>
  <c r="Q4" i="20" s="1"/>
  <c r="E151" i="11"/>
  <c r="E4" i="20" s="1"/>
  <c r="AB151" i="11"/>
  <c r="AB4" i="20" s="1"/>
  <c r="P151" i="11"/>
  <c r="P4" i="20" s="1"/>
  <c r="D151" i="11"/>
  <c r="D4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D104" i="11"/>
  <c r="D33" i="11" s="1"/>
  <c r="E104" i="11"/>
  <c r="E33" i="11" s="1"/>
  <c r="F104" i="11"/>
  <c r="F33" i="11" s="1"/>
  <c r="G104" i="11"/>
  <c r="G33" i="11" s="1"/>
  <c r="H104" i="11"/>
  <c r="H33" i="11" s="1"/>
  <c r="I104" i="11"/>
  <c r="I33" i="11" s="1"/>
  <c r="J104" i="11"/>
  <c r="J33" i="11" s="1"/>
  <c r="K104" i="11"/>
  <c r="K33" i="11" s="1"/>
  <c r="L104" i="11"/>
  <c r="L33" i="11" s="1"/>
  <c r="M104" i="11"/>
  <c r="M33" i="11" s="1"/>
  <c r="N104" i="11"/>
  <c r="N33" i="11" s="1"/>
  <c r="O104" i="11"/>
  <c r="O33" i="11" s="1"/>
  <c r="P104" i="11"/>
  <c r="P33" i="11" s="1"/>
  <c r="Q104" i="11"/>
  <c r="Q33" i="11" s="1"/>
  <c r="R104" i="11"/>
  <c r="R33" i="11" s="1"/>
  <c r="S104" i="11"/>
  <c r="S33" i="11" s="1"/>
  <c r="T104" i="11"/>
  <c r="T33" i="11" s="1"/>
  <c r="U104" i="11"/>
  <c r="U33" i="11" s="1"/>
  <c r="V104" i="11"/>
  <c r="V33" i="11" s="1"/>
  <c r="W104" i="11"/>
  <c r="W33" i="11" s="1"/>
  <c r="X104" i="11"/>
  <c r="X33" i="11" s="1"/>
  <c r="Y104" i="11"/>
  <c r="Y33" i="11" s="1"/>
  <c r="Z104" i="11"/>
  <c r="Z33" i="11" s="1"/>
  <c r="AA104" i="11"/>
  <c r="AA33" i="11" s="1"/>
  <c r="AB104" i="11"/>
  <c r="AB33" i="11" s="1"/>
  <c r="AC104" i="11"/>
  <c r="AC33" i="11" s="1"/>
  <c r="AD104" i="11"/>
  <c r="AD33" i="11" s="1"/>
  <c r="AE104" i="11"/>
  <c r="AE33" i="11" s="1"/>
  <c r="AF104" i="11"/>
  <c r="AF33" i="11" s="1"/>
  <c r="AG104" i="11"/>
  <c r="AG33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30" i="11" s="1"/>
  <c r="E106" i="11"/>
  <c r="E30" i="11" s="1"/>
  <c r="F106" i="11"/>
  <c r="F30" i="11" s="1"/>
  <c r="G106" i="11"/>
  <c r="G30" i="11" s="1"/>
  <c r="H106" i="11"/>
  <c r="H30" i="11" s="1"/>
  <c r="I106" i="11"/>
  <c r="I30" i="11" s="1"/>
  <c r="J106" i="11"/>
  <c r="J30" i="11" s="1"/>
  <c r="K106" i="11"/>
  <c r="K30" i="11" s="1"/>
  <c r="L106" i="11"/>
  <c r="L30" i="11" s="1"/>
  <c r="M106" i="11"/>
  <c r="M30" i="11" s="1"/>
  <c r="N106" i="11"/>
  <c r="N30" i="11" s="1"/>
  <c r="O106" i="11"/>
  <c r="O30" i="11" s="1"/>
  <c r="P106" i="11"/>
  <c r="P30" i="11" s="1"/>
  <c r="Q106" i="11"/>
  <c r="Q30" i="11" s="1"/>
  <c r="R106" i="11"/>
  <c r="R30" i="11" s="1"/>
  <c r="S106" i="11"/>
  <c r="S30" i="11" s="1"/>
  <c r="T106" i="11"/>
  <c r="T30" i="11" s="1"/>
  <c r="U106" i="11"/>
  <c r="U30" i="11" s="1"/>
  <c r="V106" i="11"/>
  <c r="V30" i="11" s="1"/>
  <c r="W106" i="11"/>
  <c r="W30" i="11" s="1"/>
  <c r="X106" i="11"/>
  <c r="X30" i="11" s="1"/>
  <c r="Y106" i="11"/>
  <c r="Y30" i="11" s="1"/>
  <c r="Z106" i="11"/>
  <c r="Z30" i="11" s="1"/>
  <c r="AA106" i="11"/>
  <c r="AA30" i="11" s="1"/>
  <c r="AB106" i="11"/>
  <c r="AB30" i="11" s="1"/>
  <c r="AC106" i="11"/>
  <c r="AC30" i="11" s="1"/>
  <c r="AD106" i="11"/>
  <c r="AD30" i="11" s="1"/>
  <c r="AE106" i="11"/>
  <c r="AE30" i="11" s="1"/>
  <c r="AF106" i="11"/>
  <c r="AF30" i="11" s="1"/>
  <c r="AG106" i="11"/>
  <c r="AG30" i="11" s="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31" i="11" s="1"/>
  <c r="E110" i="11"/>
  <c r="E31" i="11" s="1"/>
  <c r="F110" i="11"/>
  <c r="F31" i="11" s="1"/>
  <c r="G110" i="11"/>
  <c r="G31" i="11" s="1"/>
  <c r="H110" i="11"/>
  <c r="H31" i="11" s="1"/>
  <c r="I110" i="11"/>
  <c r="I31" i="11" s="1"/>
  <c r="J110" i="11"/>
  <c r="J31" i="11" s="1"/>
  <c r="K110" i="11"/>
  <c r="K31" i="11" s="1"/>
  <c r="L110" i="11"/>
  <c r="L31" i="11" s="1"/>
  <c r="M110" i="11"/>
  <c r="M31" i="11" s="1"/>
  <c r="N110" i="11"/>
  <c r="N31" i="11" s="1"/>
  <c r="O110" i="11"/>
  <c r="O31" i="11" s="1"/>
  <c r="P110" i="11"/>
  <c r="P31" i="11" s="1"/>
  <c r="Q110" i="11"/>
  <c r="Q31" i="11" s="1"/>
  <c r="R110" i="11"/>
  <c r="R31" i="11" s="1"/>
  <c r="S110" i="11"/>
  <c r="S31" i="11" s="1"/>
  <c r="T110" i="11"/>
  <c r="T31" i="11" s="1"/>
  <c r="U110" i="11"/>
  <c r="U31" i="11" s="1"/>
  <c r="V110" i="11"/>
  <c r="V31" i="11" s="1"/>
  <c r="W110" i="11"/>
  <c r="W31" i="11" s="1"/>
  <c r="X110" i="11"/>
  <c r="X31" i="11" s="1"/>
  <c r="Y110" i="11"/>
  <c r="Y31" i="11" s="1"/>
  <c r="Z110" i="11"/>
  <c r="Z31" i="11" s="1"/>
  <c r="AA110" i="11"/>
  <c r="AA31" i="11" s="1"/>
  <c r="AB110" i="11"/>
  <c r="AB31" i="11" s="1"/>
  <c r="AC110" i="11"/>
  <c r="AC31" i="11" s="1"/>
  <c r="AD110" i="11"/>
  <c r="AD31" i="11" s="1"/>
  <c r="AE110" i="11"/>
  <c r="AE31" i="11" s="1"/>
  <c r="AF110" i="11"/>
  <c r="AF31" i="11" s="1"/>
  <c r="AG110" i="11"/>
  <c r="AG31" i="11" s="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104" i="11"/>
  <c r="C105" i="11"/>
  <c r="C106" i="11"/>
  <c r="C30" i="11" s="1"/>
  <c r="C107" i="11"/>
  <c r="C108" i="11"/>
  <c r="C109" i="11"/>
  <c r="C110" i="11"/>
  <c r="C111" i="11"/>
  <c r="C112" i="11"/>
  <c r="C113" i="11"/>
  <c r="C114" i="11"/>
  <c r="C115" i="1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C154" i="11" l="1"/>
  <c r="C7" i="20" s="1"/>
  <c r="G118" i="11"/>
  <c r="G154" i="11"/>
  <c r="G7" i="20" s="1"/>
  <c r="AD118" i="11"/>
  <c r="AD154" i="11"/>
  <c r="AD7" i="20" s="1"/>
  <c r="E154" i="11"/>
  <c r="E7" i="20" s="1"/>
  <c r="E118" i="11"/>
  <c r="D154" i="11"/>
  <c r="D7" i="20" s="1"/>
  <c r="D118" i="11"/>
  <c r="V118" i="11"/>
  <c r="V154" i="11"/>
  <c r="V7" i="20" s="1"/>
  <c r="J154" i="11"/>
  <c r="J7" i="20" s="1"/>
  <c r="J118" i="11"/>
  <c r="S118" i="11"/>
  <c r="S154" i="11"/>
  <c r="S7" i="20" s="1"/>
  <c r="R118" i="11"/>
  <c r="R154" i="11"/>
  <c r="R7" i="20" s="1"/>
  <c r="AC154" i="11"/>
  <c r="AC7" i="20" s="1"/>
  <c r="AC118" i="11"/>
  <c r="AB154" i="11"/>
  <c r="AB7" i="20" s="1"/>
  <c r="AB118" i="11"/>
  <c r="AA118" i="11"/>
  <c r="AA154" i="11"/>
  <c r="AA7" i="20" s="1"/>
  <c r="N118" i="11"/>
  <c r="N154" i="11"/>
  <c r="N7" i="20" s="1"/>
  <c r="Y154" i="11"/>
  <c r="Y7" i="20" s="1"/>
  <c r="Y118" i="11"/>
  <c r="L154" i="11"/>
  <c r="L7" i="20" s="1"/>
  <c r="L118" i="11"/>
  <c r="W154" i="11"/>
  <c r="W7" i="20" s="1"/>
  <c r="W118" i="11"/>
  <c r="AG154" i="11"/>
  <c r="AG7" i="20" s="1"/>
  <c r="AG118" i="11"/>
  <c r="U154" i="11"/>
  <c r="U7" i="20" s="1"/>
  <c r="U118" i="11"/>
  <c r="I154" i="11"/>
  <c r="I7" i="20" s="1"/>
  <c r="I118" i="11"/>
  <c r="AE154" i="11"/>
  <c r="AE7" i="20" s="1"/>
  <c r="AE118" i="11"/>
  <c r="F118" i="11"/>
  <c r="F154" i="11"/>
  <c r="F7" i="20" s="1"/>
  <c r="Q154" i="11"/>
  <c r="Q7" i="20" s="1"/>
  <c r="Q118" i="11"/>
  <c r="P154" i="11"/>
  <c r="P7" i="20" s="1"/>
  <c r="P118" i="11"/>
  <c r="O154" i="11"/>
  <c r="O7" i="20" s="1"/>
  <c r="O118" i="11"/>
  <c r="Z154" i="11"/>
  <c r="Z7" i="20" s="1"/>
  <c r="Z118" i="11"/>
  <c r="M154" i="11"/>
  <c r="M7" i="20" s="1"/>
  <c r="M118" i="11"/>
  <c r="X118" i="11"/>
  <c r="X154" i="11"/>
  <c r="X7" i="20" s="1"/>
  <c r="K118" i="11"/>
  <c r="K154" i="11"/>
  <c r="K7" i="20" s="1"/>
  <c r="AF118" i="11"/>
  <c r="AF154" i="11"/>
  <c r="AF7" i="20" s="1"/>
  <c r="T154" i="11"/>
  <c r="T7" i="20" s="1"/>
  <c r="T118" i="11"/>
  <c r="H154" i="11"/>
  <c r="H7" i="20" s="1"/>
  <c r="H118" i="11"/>
  <c r="C118" i="11"/>
  <c r="R35" i="11"/>
  <c r="R150" i="11" s="1"/>
  <c r="Q35" i="11"/>
  <c r="Q150" i="11" s="1"/>
  <c r="P35" i="11"/>
  <c r="P150" i="11" s="1"/>
  <c r="N35" i="11"/>
  <c r="N150" i="11" s="1"/>
  <c r="M35" i="11"/>
  <c r="M150" i="11" s="1"/>
  <c r="X35" i="11"/>
  <c r="X150" i="11" s="1"/>
  <c r="W35" i="11"/>
  <c r="W150" i="11" s="1"/>
  <c r="V35" i="11"/>
  <c r="V150" i="11" s="1"/>
  <c r="AG35" i="11"/>
  <c r="AG150" i="11" s="1"/>
  <c r="U35" i="11"/>
  <c r="U150" i="11" s="1"/>
  <c r="I35" i="11"/>
  <c r="I150" i="11" s="1"/>
  <c r="AD35" i="11"/>
  <c r="AD150" i="11" s="1"/>
  <c r="AC35" i="11"/>
  <c r="AC150" i="11" s="1"/>
  <c r="D35" i="11"/>
  <c r="D150" i="11" s="1"/>
  <c r="O35" i="11"/>
  <c r="O150" i="11" s="1"/>
  <c r="J35" i="11"/>
  <c r="J150" i="11" s="1"/>
  <c r="AF35" i="11"/>
  <c r="AF150" i="11" s="1"/>
  <c r="T35" i="11"/>
  <c r="T150" i="11" s="1"/>
  <c r="H35" i="11"/>
  <c r="H150" i="11" s="1"/>
  <c r="F35" i="11"/>
  <c r="F150" i="11" s="1"/>
  <c r="E35" i="11"/>
  <c r="E150" i="11" s="1"/>
  <c r="AB35" i="11"/>
  <c r="AB150" i="11" s="1"/>
  <c r="AA35" i="11"/>
  <c r="AA150" i="11" s="1"/>
  <c r="Z35" i="11"/>
  <c r="Z150" i="11" s="1"/>
  <c r="Y35" i="11"/>
  <c r="Y150" i="11" s="1"/>
  <c r="L35" i="11"/>
  <c r="L150" i="11" s="1"/>
  <c r="K35" i="11"/>
  <c r="K150" i="11" s="1"/>
  <c r="AE35" i="11"/>
  <c r="AE150" i="11" s="1"/>
  <c r="S35" i="11"/>
  <c r="S150" i="11" s="1"/>
  <c r="G35" i="11"/>
  <c r="G150" i="11" s="1"/>
  <c r="Q4" i="11"/>
  <c r="C4" i="11"/>
  <c r="C33" i="11"/>
  <c r="C31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C35" i="11" l="1"/>
  <c r="C150" i="11" s="1"/>
  <c r="C153" i="11" s="1"/>
  <c r="C155" i="11" s="1"/>
  <c r="C8" i="20" s="1"/>
  <c r="G3" i="20"/>
  <c r="G153" i="11"/>
  <c r="M153" i="11"/>
  <c r="M3" i="20"/>
  <c r="D153" i="11"/>
  <c r="D3" i="20"/>
  <c r="AB153" i="11"/>
  <c r="AB3" i="20"/>
  <c r="E153" i="11"/>
  <c r="E3" i="20"/>
  <c r="X153" i="11"/>
  <c r="X3" i="20"/>
  <c r="N153" i="11"/>
  <c r="N3" i="20"/>
  <c r="K153" i="11"/>
  <c r="K3" i="20"/>
  <c r="O3" i="20"/>
  <c r="O153" i="11"/>
  <c r="L153" i="11"/>
  <c r="L3" i="20"/>
  <c r="Q153" i="11"/>
  <c r="Q3" i="20"/>
  <c r="Y153" i="11"/>
  <c r="Y3" i="20"/>
  <c r="AC153" i="11"/>
  <c r="AC3" i="20"/>
  <c r="R153" i="11"/>
  <c r="R3" i="20"/>
  <c r="U3" i="20"/>
  <c r="U153" i="11"/>
  <c r="AG3" i="20"/>
  <c r="AG153" i="11"/>
  <c r="F153" i="11"/>
  <c r="F3" i="20"/>
  <c r="W3" i="20"/>
  <c r="W153" i="11"/>
  <c r="T153" i="11"/>
  <c r="T3" i="20"/>
  <c r="S3" i="20"/>
  <c r="S153" i="11"/>
  <c r="AE3" i="20"/>
  <c r="AE153" i="11"/>
  <c r="Z153" i="11"/>
  <c r="Z3" i="20"/>
  <c r="V3" i="20"/>
  <c r="V153" i="11"/>
  <c r="H153" i="11"/>
  <c r="H3" i="20"/>
  <c r="AF153" i="11"/>
  <c r="AF3" i="20"/>
  <c r="J3" i="20"/>
  <c r="J153" i="11"/>
  <c r="P153" i="11"/>
  <c r="P3" i="20"/>
  <c r="AD153" i="11"/>
  <c r="AD3" i="20"/>
  <c r="AA153" i="11"/>
  <c r="AA3" i="20"/>
  <c r="I3" i="20"/>
  <c r="I153" i="11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C6" i="20" l="1"/>
  <c r="C3" i="20"/>
  <c r="AF155" i="11"/>
  <c r="AF6" i="20"/>
  <c r="N155" i="11"/>
  <c r="N6" i="20"/>
  <c r="AA155" i="11"/>
  <c r="AA6" i="20"/>
  <c r="F155" i="11"/>
  <c r="F6" i="20"/>
  <c r="E155" i="11"/>
  <c r="E6" i="20"/>
  <c r="AB155" i="11"/>
  <c r="AB6" i="20"/>
  <c r="AE6" i="20"/>
  <c r="AE155" i="11"/>
  <c r="O155" i="11"/>
  <c r="O6" i="20"/>
  <c r="P155" i="11"/>
  <c r="P6" i="20"/>
  <c r="S155" i="11"/>
  <c r="S6" i="20"/>
  <c r="R155" i="11"/>
  <c r="R6" i="20"/>
  <c r="K155" i="11"/>
  <c r="K6" i="20"/>
  <c r="M155" i="11"/>
  <c r="M6" i="20"/>
  <c r="T155" i="11"/>
  <c r="T6" i="20"/>
  <c r="AC155" i="11"/>
  <c r="AC6" i="20"/>
  <c r="I155" i="11"/>
  <c r="I6" i="20"/>
  <c r="W155" i="11"/>
  <c r="W6" i="20"/>
  <c r="H155" i="11"/>
  <c r="H6" i="20"/>
  <c r="Y155" i="11"/>
  <c r="Y6" i="20"/>
  <c r="X155" i="11"/>
  <c r="X6" i="20"/>
  <c r="V155" i="11"/>
  <c r="V6" i="20"/>
  <c r="Q155" i="11"/>
  <c r="Q6" i="20"/>
  <c r="AG155" i="11"/>
  <c r="AG6" i="20"/>
  <c r="AD155" i="11"/>
  <c r="AD6" i="20"/>
  <c r="Z155" i="11"/>
  <c r="Z6" i="20"/>
  <c r="L155" i="11"/>
  <c r="L6" i="20"/>
  <c r="U155" i="11"/>
  <c r="U6" i="20"/>
  <c r="D155" i="11"/>
  <c r="D6" i="20"/>
  <c r="J155" i="11"/>
  <c r="J6" i="20"/>
  <c r="G155" i="11"/>
  <c r="G6" i="20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8" i="20" l="1"/>
  <c r="J8" i="20"/>
  <c r="P159" i="11"/>
  <c r="Q159" i="11"/>
  <c r="S159" i="11"/>
  <c r="R163" i="11"/>
  <c r="K160" i="11"/>
  <c r="L160" i="11"/>
  <c r="C160" i="11"/>
  <c r="I162" i="11" l="1"/>
  <c r="I164" i="11" s="1"/>
  <c r="F8" i="20"/>
  <c r="F162" i="11"/>
  <c r="F164" i="11" s="1"/>
  <c r="E8" i="20"/>
  <c r="E162" i="11"/>
  <c r="E164" i="11" s="1"/>
  <c r="G8" i="20"/>
  <c r="G162" i="11"/>
  <c r="G164" i="11" s="1"/>
  <c r="D8" i="20"/>
  <c r="D162" i="11"/>
  <c r="D164" i="11" s="1"/>
  <c r="J162" i="11"/>
  <c r="J164" i="11" s="1"/>
  <c r="H8" i="20"/>
  <c r="H162" i="11"/>
  <c r="H164" i="11" s="1"/>
  <c r="T8" i="20"/>
  <c r="R159" i="11"/>
  <c r="N160" i="11"/>
  <c r="K162" i="11"/>
  <c r="K164" i="11" s="1"/>
  <c r="K8" i="20"/>
  <c r="L8" i="20"/>
  <c r="L162" i="11"/>
  <c r="L164" i="11" s="1"/>
  <c r="M160" i="11"/>
  <c r="C162" i="11"/>
  <c r="C164" i="11" s="1"/>
  <c r="V8" i="20" l="1"/>
  <c r="N162" i="11"/>
  <c r="N164" i="11" s="1"/>
  <c r="N8" i="20"/>
  <c r="M162" i="11"/>
  <c r="M164" i="11" s="1"/>
  <c r="M8" i="20"/>
  <c r="O160" i="11"/>
  <c r="P160" i="11"/>
  <c r="R160" i="11"/>
  <c r="U8" i="20" l="1"/>
  <c r="X8" i="20"/>
  <c r="Q160" i="11"/>
  <c r="S160" i="11"/>
  <c r="R8" i="20"/>
  <c r="R162" i="11"/>
  <c r="R164" i="11" s="1"/>
  <c r="P162" i="11"/>
  <c r="P164" i="11" s="1"/>
  <c r="P8" i="20"/>
  <c r="O162" i="11"/>
  <c r="O164" i="11" s="1"/>
  <c r="O8" i="20"/>
  <c r="W8" i="20" l="1"/>
  <c r="Z8" i="20"/>
  <c r="Q162" i="11"/>
  <c r="Q164" i="11" s="1"/>
  <c r="Q8" i="20"/>
  <c r="S162" i="11"/>
  <c r="S164" i="11" s="1"/>
  <c r="S8" i="20"/>
  <c r="Y8" i="20" l="1"/>
  <c r="AB8" i="20"/>
  <c r="AA8" i="20" l="1"/>
  <c r="AD8" i="20"/>
  <c r="AF8" i="20"/>
  <c r="AC8" i="20" l="1"/>
  <c r="AE8" i="20" l="1"/>
  <c r="AG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<sst xmlns="http://schemas.openxmlformats.org/spreadsheetml/2006/main" count="1593" uniqueCount="275">
  <si>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</si>
  <si>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</si>
  <si>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</si>
  <si>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</si>
  <si>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</si>
  <si>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</si>
  <si>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</si>
  <si>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</si>
  <si>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</si>
  <si>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</si>
  <si>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</si>
  <si>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</si>
  <si>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</si>
  <si>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</si>
  <si>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</si>
  <si>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</si>
  <si>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</si>
  <si>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</si>
  <si>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</si>
  <si>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</si>
  <si>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</si>
  <si>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</si>
  <si>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</si>
  <si>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</si>
  <si>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</si>
  <si>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</si>
  <si>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</si>
  <si>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</si>
  <si>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</si>
  <si>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</si>
  <si>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</si>
  <si>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</si>
  <si>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</si>
  <si>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</si>
  <si>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</si>
  <si>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</si>
  <si>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</si>
  <si>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</si>
  <si>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</si>
  <si>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</si>
  <si>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</si>
  <si>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</si>
  <si>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</si>
  <si>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</si>
  <si>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</si>
  <si>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</si>
  <si>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</si>
  <si>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</si>
  <si>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</si>
  <si>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</si>
  <si>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</si>
  <si>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</si>
  <si>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</si>
  <si>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</si>
  <si>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</si>
  <si>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</si>
  <si>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</si>
  <si>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</si>
  <si>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</si>
  <si>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</si>
  <si>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</si>
  <si>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</si>
  <si>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</si>
  <si>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</si>
  <si>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</si>
  <si>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</si>
  <si>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</si>
  <si>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</si>
  <si>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</si>
  <si>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</si>
  <si>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</si>
  <si>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</si>
  <si>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</si>
  <si>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</si>
  <si>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</si>
  <si>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</si>
  <si>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</si>
  <si>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</si>
  <si>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</si>
  <si>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</si>
  <si>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</si>
  <si>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</si>
  <si>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</si>
  <si>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</si>
  <si>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</si>
  <si>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</si>
  <si>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</si>
  <si>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</si>
  <si>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</si>
  <si>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</si>
  <si>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</si>
  <si>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</si>
  <si>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</si>
  <si>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</si>
  <si>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</si>
  <si>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</si>
  <si>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</si>
  <si>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</si>
  <si>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</si>
  <si>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</si>
  <si>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</si>
  <si>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</si>
  <si>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</si>
  <si>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</si>
  <si>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</si>
  <si>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</si>
  <si>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</si>
  <si>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</si>
  <si>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</si>
  <si>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</si>
  <si>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</si>
  <si>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</si>
  <si>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</si>
  <si>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</si>
  <si>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</si>
  <si>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</si>
  <si>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</si>
  <si>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</si>
  <si>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</si>
  <si>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</si>
  <si>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</si>
  <si>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</si>
  <si>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</si>
  <si>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</si>
  <si>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</si>
  <si>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</si>
  <si>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</si>
  <si>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</si>
  <si>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</si>
  <si>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</si>
  <si>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</si>
  <si>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</si>
  <si>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</si>
  <si>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</si>
  <si>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</si>
  <si>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</si>
  <si>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</si>
  <si>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</si>
  <si>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</si>
  <si>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</si>
  <si>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</si>
  <si>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</si>
  <si>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</si>
  <si>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</si>
  <si>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</si>
  <si>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</si>
  <si>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</si>
  <si>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</si>
  <si>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</si>
  <si>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</si>
  <si>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</si>
  <si>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</si>
  <si>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</si>
  <si>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</si>
  <si>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</si>
  <si>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</si>
  <si>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</si>
  <si>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</si>
  <si>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</si>
  <si>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</si>
  <si>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</si>
  <si>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</si>
  <si>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</si>
  <si>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</si>
  <si>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</si>
  <si>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</si>
  <si>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</si>
  <si>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</si>
  <si>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</si>
  <si>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</si>
  <si>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</si>
  <si>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</si>
  <si>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</si>
  <si>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</si>
  <si>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</si>
  <si>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</si>
  <si>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</si>
  <si>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</si>
  <si>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</si>
  <si>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</si>
  <si>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</si>
  <si>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</si>
  <si>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</si>
  <si>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</si>
  <si>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</si>
  <si>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</si>
  <si>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</si>
  <si>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</si>
  <si>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</si>
  <si>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</si>
  <si>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</si>
  <si>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</si>
  <si>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</si>
  <si>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</si>
  <si>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</si>
  <si>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</si>
  <si>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</si>
  <si>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</si>
  <si>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</si>
  <si>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</si>
  <si>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</si>
  <si>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</si>
  <si>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</si>
  <si>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</si>
  <si>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</si>
  <si>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</si>
  <si>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</si>
  <si>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</si>
  <si>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</si>
  <si>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</si>
  <si>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</si>
  <si>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</si>
  <si>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</si>
  <si>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</si>
  <si>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</si>
  <si>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</si>
  <si>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</si>
  <si>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</si>
  <si>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</si>
  <si>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</si>
  <si>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</si>
  <si>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</si>
  <si>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</si>
  <si>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</si>
  <si>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</si>
  <si>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</si>
  <si>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</si>
  <si>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</si>
  <si>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</si>
  <si>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</si>
  <si>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</si>
  <si>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</si>
  <si>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</si>
  <si>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</si>
  <si>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</si>
  <si>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</si>
  <si>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</si>
  <si>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</si>
  <si>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</si>
  <si>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</si>
  <si>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</si>
  <si>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</si>
  <si>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</si>
  <si>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</si>
  <si>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</si>
  <si>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</si>
  <si>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</si>
  <si>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</si>
  <si>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</si>
  <si>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</si>
  <si>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</si>
  <si>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</si>
  <si>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</si>
  <si>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</si>
  <si>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</si>
  <si>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</si>
  <si>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</si>
  <si>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</si>
  <si>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</si>
  <si>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</si>
  <si>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</si>
  <si>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</si>
  <si>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</si>
  <si>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</si>
  <si>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</si>
  <si>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</si>
  <si>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RE%</t>
  </si>
  <si>
    <t>PEP Scenario</t>
  </si>
  <si>
    <t>Total Capital Investments (Million USD)</t>
  </si>
  <si>
    <t>Total Annualized Investments (Million USD)</t>
  </si>
  <si>
    <t>Variable</t>
  </si>
  <si>
    <t>CO2e</t>
  </si>
  <si>
    <t>PM2_5</t>
  </si>
  <si>
    <t>Annual Technology Emission by Mode (Mton)</t>
  </si>
  <si>
    <t>Emission /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</si>
</sst>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4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9" fontId="0" fillId="0" borderId="0" xfId="1" applyFont="1"/>
    <xf numFmtId="0" fontId="4" fillId="13" borderId="0" xfId="0" applyFont="1" applyFill="1"/>
    <xf numFmtId="0" fontId="4" fillId="13" borderId="9" xfId="0" applyFont="1" applyFill="1" applyBorder="1"/>
    <xf numFmtId="0" fontId="4" fillId="0" borderId="9" xfId="0" applyFont="1" applyBorder="1" applyAlignment="1">
      <alignment horizontal="left"/>
    </xf>
    <xf numFmtId="0" fontId="4" fillId="0" borderId="9" xfId="0" applyFont="1" applyBorder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4.1444448282112925E-2</c:v>
                </c:pt>
                <c:pt idx="1">
                  <c:v>4.5716311056243367E-2</c:v>
                </c:pt>
                <c:pt idx="2">
                  <c:v>4.8825854307649311E-2</c:v>
                </c:pt>
                <c:pt idx="3">
                  <c:v>4.6546028518613052E-2</c:v>
                </c:pt>
                <c:pt idx="4">
                  <c:v>4.6389558577783915E-2</c:v>
                </c:pt>
                <c:pt idx="5">
                  <c:v>4.6778863490283581E-2</c:v>
                </c:pt>
                <c:pt idx="6">
                  <c:v>4.7355396313507915E-2</c:v>
                </c:pt>
                <c:pt idx="7">
                  <c:v>4.8552296435632608E-2</c:v>
                </c:pt>
                <c:pt idx="8">
                  <c:v>4.9448986146545928E-2</c:v>
                </c:pt>
                <c:pt idx="9">
                  <c:v>5.031018908705507E-2</c:v>
                </c:pt>
                <c:pt idx="10">
                  <c:v>5.5316259032456808E-2</c:v>
                </c:pt>
                <c:pt idx="11">
                  <c:v>5.4663051028949645E-2</c:v>
                </c:pt>
                <c:pt idx="12">
                  <c:v>5.4150239643138712E-2</c:v>
                </c:pt>
                <c:pt idx="13">
                  <c:v>5.4158047603306884E-2</c:v>
                </c:pt>
                <c:pt idx="14">
                  <c:v>5.3739004978934427E-2</c:v>
                </c:pt>
                <c:pt idx="15">
                  <c:v>5.4291174198314231E-2</c:v>
                </c:pt>
                <c:pt idx="16">
                  <c:v>5.4286502665150289E-2</c:v>
                </c:pt>
                <c:pt idx="17">
                  <c:v>5.6336853991747704E-2</c:v>
                </c:pt>
                <c:pt idx="18">
                  <c:v>5.7735875614072452E-2</c:v>
                </c:pt>
                <c:pt idx="19">
                  <c:v>5.9315020410911613E-2</c:v>
                </c:pt>
                <c:pt idx="20">
                  <c:v>6.1187062775084698E-2</c:v>
                </c:pt>
                <c:pt idx="21">
                  <c:v>6.1464792352237299E-2</c:v>
                </c:pt>
                <c:pt idx="22">
                  <c:v>6.1750680321193449E-2</c:v>
                </c:pt>
                <c:pt idx="23">
                  <c:v>6.2045661055426068E-2</c:v>
                </c:pt>
                <c:pt idx="24">
                  <c:v>6.2301416585482772E-2</c:v>
                </c:pt>
                <c:pt idx="25">
                  <c:v>6.247457762664204E-2</c:v>
                </c:pt>
                <c:pt idx="26">
                  <c:v>6.3009526455212198E-2</c:v>
                </c:pt>
                <c:pt idx="27">
                  <c:v>6.3251021648357567E-2</c:v>
                </c:pt>
                <c:pt idx="28">
                  <c:v>6.3476471254374056E-2</c:v>
                </c:pt>
                <c:pt idx="29">
                  <c:v>6.3972368895626103E-2</c:v>
                </c:pt>
                <c:pt idx="30">
                  <c:v>6.3797524723507401E-2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2">
                  <c:v>20.480610924099999</c:v>
                </c:pt>
                <c:pt idx="3">
                  <c:v>21.979192211200001</c:v>
                </c:pt>
                <c:pt idx="4">
                  <c:v>24.451851334899999</c:v>
                </c:pt>
                <c:pt idx="5">
                  <c:v>24.451851334899999</c:v>
                </c:pt>
                <c:pt idx="6">
                  <c:v>24.451851334899999</c:v>
                </c:pt>
                <c:pt idx="7">
                  <c:v>24.451851334899999</c:v>
                </c:pt>
                <c:pt idx="8">
                  <c:v>24.451851334899999</c:v>
                </c:pt>
                <c:pt idx="9">
                  <c:v>24.451851334899999</c:v>
                </c:pt>
                <c:pt idx="10">
                  <c:v>24.451851334899999</c:v>
                </c:pt>
                <c:pt idx="11">
                  <c:v>24.451851334899999</c:v>
                </c:pt>
                <c:pt idx="12">
                  <c:v>24.451851334899999</c:v>
                </c:pt>
                <c:pt idx="13">
                  <c:v>24.451851334899999</c:v>
                </c:pt>
                <c:pt idx="14">
                  <c:v>24.451851334899999</c:v>
                </c:pt>
                <c:pt idx="15">
                  <c:v>24.451851334899999</c:v>
                </c:pt>
                <c:pt idx="16">
                  <c:v>24.451851334899999</c:v>
                </c:pt>
                <c:pt idx="17">
                  <c:v>24.451851334899999</c:v>
                </c:pt>
                <c:pt idx="18">
                  <c:v>24.451851334899999</c:v>
                </c:pt>
                <c:pt idx="19">
                  <c:v>24.451851334899999</c:v>
                </c:pt>
                <c:pt idx="20">
                  <c:v>24.451851334899999</c:v>
                </c:pt>
                <c:pt idx="21">
                  <c:v>24.451851334899999</c:v>
                </c:pt>
                <c:pt idx="22">
                  <c:v>24.451851334899999</c:v>
                </c:pt>
                <c:pt idx="23">
                  <c:v>24.451851334899999</c:v>
                </c:pt>
                <c:pt idx="24">
                  <c:v>24.451851334899999</c:v>
                </c:pt>
                <c:pt idx="25">
                  <c:v>24.451851334899999</c:v>
                </c:pt>
                <c:pt idx="26">
                  <c:v>24.451851334899999</c:v>
                </c:pt>
                <c:pt idx="27">
                  <c:v>24.451851334899999</c:v>
                </c:pt>
                <c:pt idx="28">
                  <c:v>24.451851334899999</c:v>
                </c:pt>
                <c:pt idx="29">
                  <c:v>24.451851334899999</c:v>
                </c:pt>
                <c:pt idx="30">
                  <c:v>24.451851334899999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1">
                  <c:v>12.9732737057</c:v>
                </c:pt>
                <c:pt idx="2">
                  <c:v>19.993849520800001</c:v>
                </c:pt>
                <c:pt idx="3">
                  <c:v>19.993849520800001</c:v>
                </c:pt>
                <c:pt idx="4">
                  <c:v>20.801973355600001</c:v>
                </c:pt>
                <c:pt idx="5">
                  <c:v>20.801973355600001</c:v>
                </c:pt>
                <c:pt idx="6">
                  <c:v>20.801973355600001</c:v>
                </c:pt>
                <c:pt idx="7">
                  <c:v>20.801973355600001</c:v>
                </c:pt>
                <c:pt idx="8">
                  <c:v>20.801973355600001</c:v>
                </c:pt>
                <c:pt idx="9">
                  <c:v>20.801973355600001</c:v>
                </c:pt>
                <c:pt idx="10">
                  <c:v>20.801973355600001</c:v>
                </c:pt>
                <c:pt idx="11">
                  <c:v>20.801973355600001</c:v>
                </c:pt>
                <c:pt idx="12">
                  <c:v>20.801973355600001</c:v>
                </c:pt>
                <c:pt idx="13">
                  <c:v>20.801973355600001</c:v>
                </c:pt>
                <c:pt idx="14">
                  <c:v>20.801973355600001</c:v>
                </c:pt>
                <c:pt idx="15">
                  <c:v>20.801973355600001</c:v>
                </c:pt>
                <c:pt idx="16">
                  <c:v>20.801973355600001</c:v>
                </c:pt>
                <c:pt idx="17">
                  <c:v>20.801973355600001</c:v>
                </c:pt>
                <c:pt idx="18">
                  <c:v>20.801973355600001</c:v>
                </c:pt>
                <c:pt idx="19">
                  <c:v>20.801973355600001</c:v>
                </c:pt>
                <c:pt idx="20">
                  <c:v>20.801973355600001</c:v>
                </c:pt>
                <c:pt idx="21">
                  <c:v>20.801973355600001</c:v>
                </c:pt>
                <c:pt idx="22">
                  <c:v>20.801973355600001</c:v>
                </c:pt>
                <c:pt idx="23">
                  <c:v>20.801973355600001</c:v>
                </c:pt>
                <c:pt idx="24">
                  <c:v>20.801973355600001</c:v>
                </c:pt>
                <c:pt idx="25">
                  <c:v>20.801973355600001</c:v>
                </c:pt>
                <c:pt idx="26">
                  <c:v>20.801973355600001</c:v>
                </c:pt>
                <c:pt idx="27">
                  <c:v>20.801973355600001</c:v>
                </c:pt>
                <c:pt idx="28">
                  <c:v>20.801973355600001</c:v>
                </c:pt>
                <c:pt idx="29">
                  <c:v>20.801973355600001</c:v>
                </c:pt>
                <c:pt idx="30">
                  <c:v>20.801973355600001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2">
                  <c:v>0.90358901309999995</c:v>
                </c:pt>
                <c:pt idx="3">
                  <c:v>69.548413795200005</c:v>
                </c:pt>
                <c:pt idx="4">
                  <c:v>71.190131796499998</c:v>
                </c:pt>
                <c:pt idx="5">
                  <c:v>79.908544706900003</c:v>
                </c:pt>
                <c:pt idx="6">
                  <c:v>286.51929548620001</c:v>
                </c:pt>
                <c:pt idx="7">
                  <c:v>286.51929548620001</c:v>
                </c:pt>
                <c:pt idx="8">
                  <c:v>286.51929548620001</c:v>
                </c:pt>
                <c:pt idx="9">
                  <c:v>286.51929548620001</c:v>
                </c:pt>
                <c:pt idx="10">
                  <c:v>286.51929548620001</c:v>
                </c:pt>
                <c:pt idx="11">
                  <c:v>286.51929548620001</c:v>
                </c:pt>
                <c:pt idx="12">
                  <c:v>286.51929548620001</c:v>
                </c:pt>
                <c:pt idx="13">
                  <c:v>286.51929548620001</c:v>
                </c:pt>
                <c:pt idx="14">
                  <c:v>331.82663617959997</c:v>
                </c:pt>
                <c:pt idx="15">
                  <c:v>780.34264095809999</c:v>
                </c:pt>
                <c:pt idx="16">
                  <c:v>806.83977823500004</c:v>
                </c:pt>
                <c:pt idx="17">
                  <c:v>955.85870142680005</c:v>
                </c:pt>
                <c:pt idx="18">
                  <c:v>955.85870142680005</c:v>
                </c:pt>
                <c:pt idx="19">
                  <c:v>955.85870142680005</c:v>
                </c:pt>
                <c:pt idx="20">
                  <c:v>955.85870142680005</c:v>
                </c:pt>
                <c:pt idx="21">
                  <c:v>955.85870142680005</c:v>
                </c:pt>
                <c:pt idx="22">
                  <c:v>955.85870142680005</c:v>
                </c:pt>
                <c:pt idx="23">
                  <c:v>955.85870142680005</c:v>
                </c:pt>
                <c:pt idx="24">
                  <c:v>955.85870142680005</c:v>
                </c:pt>
                <c:pt idx="25">
                  <c:v>955.85870142680005</c:v>
                </c:pt>
                <c:pt idx="26">
                  <c:v>955.85870142680005</c:v>
                </c:pt>
                <c:pt idx="27">
                  <c:v>955.85870142680005</c:v>
                </c:pt>
                <c:pt idx="28">
                  <c:v>955.85870142680005</c:v>
                </c:pt>
                <c:pt idx="29">
                  <c:v>955.85870142680005</c:v>
                </c:pt>
                <c:pt idx="30">
                  <c:v>955.85870142680005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1">
                  <c:v>107.780161326</c:v>
                </c:pt>
                <c:pt idx="2">
                  <c:v>222.16092839379999</c:v>
                </c:pt>
                <c:pt idx="3">
                  <c:v>222.16092839379999</c:v>
                </c:pt>
                <c:pt idx="4">
                  <c:v>311.35830328430001</c:v>
                </c:pt>
                <c:pt idx="5">
                  <c:v>311.35830328430001</c:v>
                </c:pt>
                <c:pt idx="6">
                  <c:v>311.35830328430001</c:v>
                </c:pt>
                <c:pt idx="7">
                  <c:v>531.27878958480005</c:v>
                </c:pt>
                <c:pt idx="8">
                  <c:v>750.36335457769997</c:v>
                </c:pt>
                <c:pt idx="9">
                  <c:v>968.40545903839995</c:v>
                </c:pt>
                <c:pt idx="10">
                  <c:v>1996.5529884835</c:v>
                </c:pt>
                <c:pt idx="11">
                  <c:v>1996.5529884835</c:v>
                </c:pt>
                <c:pt idx="12">
                  <c:v>1996.5529884835</c:v>
                </c:pt>
                <c:pt idx="13">
                  <c:v>1996.5529884835</c:v>
                </c:pt>
                <c:pt idx="14">
                  <c:v>1996.5529884835</c:v>
                </c:pt>
                <c:pt idx="15">
                  <c:v>1996.5529884835</c:v>
                </c:pt>
                <c:pt idx="16">
                  <c:v>1996.5529884835</c:v>
                </c:pt>
                <c:pt idx="17">
                  <c:v>1996.5529884835</c:v>
                </c:pt>
                <c:pt idx="18">
                  <c:v>1996.5529884835</c:v>
                </c:pt>
                <c:pt idx="19">
                  <c:v>1996.5529884835</c:v>
                </c:pt>
                <c:pt idx="20">
                  <c:v>1996.5529884835</c:v>
                </c:pt>
                <c:pt idx="21">
                  <c:v>1996.5529884835</c:v>
                </c:pt>
                <c:pt idx="22">
                  <c:v>1996.5529884835</c:v>
                </c:pt>
                <c:pt idx="23">
                  <c:v>1996.5529884835</c:v>
                </c:pt>
                <c:pt idx="24">
                  <c:v>1996.5529884835</c:v>
                </c:pt>
                <c:pt idx="25">
                  <c:v>1996.5529884835</c:v>
                </c:pt>
                <c:pt idx="26">
                  <c:v>1888.7728271574999</c:v>
                </c:pt>
                <c:pt idx="27">
                  <c:v>1774.3920600895999</c:v>
                </c:pt>
                <c:pt idx="28">
                  <c:v>1774.3920600895999</c:v>
                </c:pt>
                <c:pt idx="29">
                  <c:v>1685.1946851992</c:v>
                </c:pt>
                <c:pt idx="30">
                  <c:v>1685.1946851992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0">
                  <c:v>210.6473130039</c:v>
                </c:pt>
                <c:pt idx="1">
                  <c:v>578.38260473260004</c:v>
                </c:pt>
                <c:pt idx="2">
                  <c:v>580.67143871919995</c:v>
                </c:pt>
                <c:pt idx="3">
                  <c:v>587.40838403819998</c:v>
                </c:pt>
                <c:pt idx="4">
                  <c:v>592.47548820980001</c:v>
                </c:pt>
                <c:pt idx="5">
                  <c:v>592.47548820980001</c:v>
                </c:pt>
                <c:pt idx="6">
                  <c:v>592.47548820980001</c:v>
                </c:pt>
                <c:pt idx="7">
                  <c:v>592.47548820980001</c:v>
                </c:pt>
                <c:pt idx="8">
                  <c:v>592.47548820980001</c:v>
                </c:pt>
                <c:pt idx="9">
                  <c:v>592.47548820980001</c:v>
                </c:pt>
                <c:pt idx="10">
                  <c:v>592.47548820980001</c:v>
                </c:pt>
                <c:pt idx="11">
                  <c:v>592.47548820980001</c:v>
                </c:pt>
                <c:pt idx="12">
                  <c:v>592.47548820980001</c:v>
                </c:pt>
                <c:pt idx="13">
                  <c:v>592.47548820980001</c:v>
                </c:pt>
                <c:pt idx="14">
                  <c:v>592.47548820980001</c:v>
                </c:pt>
                <c:pt idx="15">
                  <c:v>592.47548820980001</c:v>
                </c:pt>
                <c:pt idx="16">
                  <c:v>592.47548820980001</c:v>
                </c:pt>
                <c:pt idx="17">
                  <c:v>592.47548820980001</c:v>
                </c:pt>
                <c:pt idx="18">
                  <c:v>592.47548820980001</c:v>
                </c:pt>
                <c:pt idx="19">
                  <c:v>592.47548820980001</c:v>
                </c:pt>
                <c:pt idx="20">
                  <c:v>592.47548820980001</c:v>
                </c:pt>
                <c:pt idx="21">
                  <c:v>592.47548820980001</c:v>
                </c:pt>
                <c:pt idx="22">
                  <c:v>592.47548820980001</c:v>
                </c:pt>
                <c:pt idx="23">
                  <c:v>592.47548820980001</c:v>
                </c:pt>
                <c:pt idx="24">
                  <c:v>592.47548820980001</c:v>
                </c:pt>
                <c:pt idx="25">
                  <c:v>592.47548820980001</c:v>
                </c:pt>
                <c:pt idx="26">
                  <c:v>592.47548820980001</c:v>
                </c:pt>
                <c:pt idx="27">
                  <c:v>592.47548820980001</c:v>
                </c:pt>
                <c:pt idx="28">
                  <c:v>592.47548820980001</c:v>
                </c:pt>
                <c:pt idx="29">
                  <c:v>592.47548820980001</c:v>
                </c:pt>
                <c:pt idx="30">
                  <c:v>592.47548820980001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5">
                  <c:v>71.357899912400001</c:v>
                </c:pt>
                <c:pt idx="6">
                  <c:v>71.357899912400001</c:v>
                </c:pt>
                <c:pt idx="7">
                  <c:v>71.357899912400001</c:v>
                </c:pt>
                <c:pt idx="8">
                  <c:v>71.357899912400001</c:v>
                </c:pt>
                <c:pt idx="9">
                  <c:v>71.357899912400001</c:v>
                </c:pt>
                <c:pt idx="10">
                  <c:v>71.357899912400001</c:v>
                </c:pt>
                <c:pt idx="11">
                  <c:v>71.357899912400001</c:v>
                </c:pt>
                <c:pt idx="12">
                  <c:v>71.357899912400001</c:v>
                </c:pt>
                <c:pt idx="13">
                  <c:v>71.357899912400001</c:v>
                </c:pt>
                <c:pt idx="14">
                  <c:v>71.357899912400001</c:v>
                </c:pt>
                <c:pt idx="15">
                  <c:v>71.357899912400001</c:v>
                </c:pt>
                <c:pt idx="16">
                  <c:v>71.357899912400001</c:v>
                </c:pt>
                <c:pt idx="17">
                  <c:v>71.357899912400001</c:v>
                </c:pt>
                <c:pt idx="18">
                  <c:v>71.357899912400001</c:v>
                </c:pt>
                <c:pt idx="19">
                  <c:v>223.85145515619999</c:v>
                </c:pt>
                <c:pt idx="20">
                  <c:v>450.99133371480002</c:v>
                </c:pt>
                <c:pt idx="21">
                  <c:v>493.33597646700002</c:v>
                </c:pt>
                <c:pt idx="22">
                  <c:v>539.75930433370002</c:v>
                </c:pt>
                <c:pt idx="23">
                  <c:v>609.24537706180001</c:v>
                </c:pt>
                <c:pt idx="24">
                  <c:v>654.91428434349996</c:v>
                </c:pt>
                <c:pt idx="25">
                  <c:v>683.78508248410003</c:v>
                </c:pt>
                <c:pt idx="26">
                  <c:v>750.29019245819995</c:v>
                </c:pt>
                <c:pt idx="27">
                  <c:v>750.29019245819995</c:v>
                </c:pt>
                <c:pt idx="28">
                  <c:v>750.29019245819995</c:v>
                </c:pt>
                <c:pt idx="29">
                  <c:v>750.29019245819995</c:v>
                </c:pt>
                <c:pt idx="30">
                  <c:v>815.7198523861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PHL_POW_PP_NUSMR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16">
                  <c:v>106.3238204628</c:v>
                </c:pt>
                <c:pt idx="17">
                  <c:v>558.57954869340006</c:v>
                </c:pt>
                <c:pt idx="18">
                  <c:v>1104.0658733519999</c:v>
                </c:pt>
                <c:pt idx="19">
                  <c:v>1409.7263328040001</c:v>
                </c:pt>
                <c:pt idx="20">
                  <c:v>1636.2561690909999</c:v>
                </c:pt>
                <c:pt idx="21">
                  <c:v>1795.7481309953</c:v>
                </c:pt>
                <c:pt idx="22">
                  <c:v>1966.1464665640999</c:v>
                </c:pt>
                <c:pt idx="23">
                  <c:v>2081.5179538469001</c:v>
                </c:pt>
                <c:pt idx="24">
                  <c:v>2253.9601716249999</c:v>
                </c:pt>
                <c:pt idx="25">
                  <c:v>2475.8748421178002</c:v>
                </c:pt>
                <c:pt idx="26">
                  <c:v>2864.8021351143998</c:v>
                </c:pt>
                <c:pt idx="27">
                  <c:v>3304.1084929722001</c:v>
                </c:pt>
                <c:pt idx="28">
                  <c:v>3595.8298384674999</c:v>
                </c:pt>
                <c:pt idx="29">
                  <c:v>4001.5823145477998</c:v>
                </c:pt>
                <c:pt idx="30">
                  <c:v>4259.8242408494998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110.19144367200001</c:v>
                </c:pt>
                <c:pt idx="11">
                  <c:v>110.19144367200001</c:v>
                </c:pt>
                <c:pt idx="12">
                  <c:v>110.19144367200001</c:v>
                </c:pt>
                <c:pt idx="13">
                  <c:v>110.19144367200001</c:v>
                </c:pt>
                <c:pt idx="14">
                  <c:v>377.0503350043</c:v>
                </c:pt>
                <c:pt idx="15">
                  <c:v>377.0503350043</c:v>
                </c:pt>
                <c:pt idx="16">
                  <c:v>559.70048437089997</c:v>
                </c:pt>
                <c:pt idx="17">
                  <c:v>559.70048437089997</c:v>
                </c:pt>
                <c:pt idx="18">
                  <c:v>559.70048437089997</c:v>
                </c:pt>
                <c:pt idx="19">
                  <c:v>559.70048437089997</c:v>
                </c:pt>
                <c:pt idx="20">
                  <c:v>559.70048437089997</c:v>
                </c:pt>
                <c:pt idx="21">
                  <c:v>559.70048437089997</c:v>
                </c:pt>
                <c:pt idx="22">
                  <c:v>559.70048437089997</c:v>
                </c:pt>
                <c:pt idx="23">
                  <c:v>574.23525486580002</c:v>
                </c:pt>
                <c:pt idx="24">
                  <c:v>574.23525486580002</c:v>
                </c:pt>
                <c:pt idx="25">
                  <c:v>574.23525486580002</c:v>
                </c:pt>
                <c:pt idx="26">
                  <c:v>574.23525486580002</c:v>
                </c:pt>
                <c:pt idx="27">
                  <c:v>574.23525486580002</c:v>
                </c:pt>
                <c:pt idx="28">
                  <c:v>625.38534076300004</c:v>
                </c:pt>
                <c:pt idx="29">
                  <c:v>629.995418255</c:v>
                </c:pt>
                <c:pt idx="30">
                  <c:v>836.04598756079997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39.447849884599997</c:v>
                </c:pt>
                <c:pt idx="2">
                  <c:v>39.447849884599997</c:v>
                </c:pt>
                <c:pt idx="3">
                  <c:v>41.740986002900001</c:v>
                </c:pt>
                <c:pt idx="4">
                  <c:v>41.740986002900001</c:v>
                </c:pt>
                <c:pt idx="5">
                  <c:v>41.740986002900001</c:v>
                </c:pt>
                <c:pt idx="6">
                  <c:v>41.740986002900001</c:v>
                </c:pt>
                <c:pt idx="7">
                  <c:v>41.740986002900001</c:v>
                </c:pt>
                <c:pt idx="8">
                  <c:v>41.740986002900001</c:v>
                </c:pt>
                <c:pt idx="9">
                  <c:v>41.740986002900001</c:v>
                </c:pt>
                <c:pt idx="10">
                  <c:v>41.740986002900001</c:v>
                </c:pt>
                <c:pt idx="11">
                  <c:v>41.740986002900001</c:v>
                </c:pt>
                <c:pt idx="12">
                  <c:v>41.740986002900001</c:v>
                </c:pt>
                <c:pt idx="13">
                  <c:v>41.740986002900001</c:v>
                </c:pt>
                <c:pt idx="14">
                  <c:v>41.740986002900001</c:v>
                </c:pt>
                <c:pt idx="15">
                  <c:v>41.740986002900001</c:v>
                </c:pt>
                <c:pt idx="16">
                  <c:v>41.740986002900001</c:v>
                </c:pt>
                <c:pt idx="17">
                  <c:v>41.740986002900001</c:v>
                </c:pt>
                <c:pt idx="18">
                  <c:v>41.740986002900001</c:v>
                </c:pt>
                <c:pt idx="19">
                  <c:v>41.740986002900001</c:v>
                </c:pt>
                <c:pt idx="20">
                  <c:v>41.740986002900001</c:v>
                </c:pt>
                <c:pt idx="21">
                  <c:v>41.740986002900001</c:v>
                </c:pt>
                <c:pt idx="22">
                  <c:v>41.740986002900001</c:v>
                </c:pt>
                <c:pt idx="23">
                  <c:v>41.740986002900001</c:v>
                </c:pt>
                <c:pt idx="24">
                  <c:v>41.740986002900001</c:v>
                </c:pt>
                <c:pt idx="25">
                  <c:v>17.5497389294</c:v>
                </c:pt>
                <c:pt idx="26">
                  <c:v>2.2931361183000001</c:v>
                </c:pt>
                <c:pt idx="27">
                  <c:v>2.2931361183000001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47</xdr:row>
      <xdr:rowOff>140970</xdr:rowOff>
    </xdr:from>
    <xdr:to>
      <xdr:col>12</xdr:col>
      <xdr:colOff>449580</xdr:colOff>
      <xdr:row>70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8"/>
  <sheetViews>
    <sheetView workbookViewId="0">
      <selection activeCell="A24" sqref="A24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5" thickBot="1">
      <c r="A1" s="33" t="s">
        <v>267</v>
      </c>
    </row>
    <row r="2" spans="1:33" ht="16.2" thickBot="1">
      <c r="A2" s="13" t="str">
        <f>Cost_of_ELCgen!A149</f>
        <v>Calculations</v>
      </c>
      <c r="C2" s="22">
        <f>Cost_of_ELCgen!C149</f>
        <v>2020</v>
      </c>
      <c r="D2" s="22">
        <f>Cost_of_ELCgen!D149</f>
        <v>2021</v>
      </c>
      <c r="E2" s="22">
        <f>Cost_of_ELCgen!E149</f>
        <v>2022</v>
      </c>
      <c r="F2" s="22">
        <f>Cost_of_ELCgen!F149</f>
        <v>2023</v>
      </c>
      <c r="G2" s="22">
        <f>Cost_of_ELCgen!G149</f>
        <v>2024</v>
      </c>
      <c r="H2" s="22">
        <f>Cost_of_ELCgen!H149</f>
        <v>2025</v>
      </c>
      <c r="I2" s="22">
        <f>Cost_of_ELCgen!I149</f>
        <v>2026</v>
      </c>
      <c r="J2" s="22">
        <f>Cost_of_ELCgen!J149</f>
        <v>2027</v>
      </c>
      <c r="K2" s="22">
        <f>Cost_of_ELCgen!K149</f>
        <v>2028</v>
      </c>
      <c r="L2" s="22">
        <f>Cost_of_ELCgen!L149</f>
        <v>2029</v>
      </c>
      <c r="M2" s="22">
        <f>Cost_of_ELCgen!M149</f>
        <v>2030</v>
      </c>
      <c r="N2" s="22">
        <f>Cost_of_ELCgen!N149</f>
        <v>2031</v>
      </c>
      <c r="O2" s="22">
        <f>Cost_of_ELCgen!O149</f>
        <v>2032</v>
      </c>
      <c r="P2" s="22">
        <f>Cost_of_ELCgen!P149</f>
        <v>2033</v>
      </c>
      <c r="Q2" s="22">
        <f>Cost_of_ELCgen!Q149</f>
        <v>2034</v>
      </c>
      <c r="R2" s="22">
        <f>Cost_of_ELCgen!R149</f>
        <v>2035</v>
      </c>
      <c r="S2" s="22">
        <f>Cost_of_ELCgen!S149</f>
        <v>2036</v>
      </c>
      <c r="T2" s="22">
        <f>Cost_of_ELCgen!T149</f>
        <v>2037</v>
      </c>
      <c r="U2" s="22">
        <f>Cost_of_ELCgen!U149</f>
        <v>2038</v>
      </c>
      <c r="V2" s="22">
        <f>Cost_of_ELCgen!V149</f>
        <v>2039</v>
      </c>
      <c r="W2" s="22">
        <f>Cost_of_ELCgen!W149</f>
        <v>2040</v>
      </c>
      <c r="X2" s="22">
        <f>Cost_of_ELCgen!X149</f>
        <v>2041</v>
      </c>
      <c r="Y2" s="22">
        <f>Cost_of_ELCgen!Y149</f>
        <v>2042</v>
      </c>
      <c r="Z2" s="22">
        <f>Cost_of_ELCgen!Z149</f>
        <v>2043</v>
      </c>
      <c r="AA2" s="22">
        <f>Cost_of_ELCgen!AA149</f>
        <v>2044</v>
      </c>
      <c r="AB2" s="22">
        <f>Cost_of_ELCgen!AB149</f>
        <v>2045</v>
      </c>
      <c r="AC2" s="22">
        <f>Cost_of_ELCgen!AC149</f>
        <v>2046</v>
      </c>
      <c r="AD2" s="22">
        <f>Cost_of_ELCgen!AD149</f>
        <v>2047</v>
      </c>
      <c r="AE2" s="22">
        <f>Cost_of_ELCgen!AE149</f>
        <v>2048</v>
      </c>
      <c r="AF2" s="22">
        <f>Cost_of_ELCgen!AF149</f>
        <v>2049</v>
      </c>
      <c r="AG2" s="22">
        <f>Cost_of_ELCgen!AG149</f>
        <v>2050</v>
      </c>
    </row>
    <row r="3" spans="1:33">
      <c r="A3" s="47" t="str">
        <f>Cost_of_ELCgen!A150</f>
        <v>Operating O&amp;M costs</v>
      </c>
      <c r="C3" s="10">
        <f>Cost_of_ELCgen!C150</f>
        <v>3983.2703246258116</v>
      </c>
      <c r="D3" s="10">
        <f>Cost_of_ELCgen!D150</f>
        <v>4094.6926845366247</v>
      </c>
      <c r="E3" s="10">
        <f>Cost_of_ELCgen!E150</f>
        <v>4526.0568672117079</v>
      </c>
      <c r="F3" s="10">
        <f>Cost_of_ELCgen!F150</f>
        <v>4486.0330449539561</v>
      </c>
      <c r="G3" s="10">
        <f>Cost_of_ELCgen!G150</f>
        <v>4730.4557063351685</v>
      </c>
      <c r="H3" s="10">
        <f>Cost_of_ELCgen!H150</f>
        <v>4390.2596260462051</v>
      </c>
      <c r="I3" s="10">
        <f>Cost_of_ELCgen!I150</f>
        <v>4385.7219643909002</v>
      </c>
      <c r="J3" s="10">
        <f>Cost_of_ELCgen!J150</f>
        <v>4587.0730050529846</v>
      </c>
      <c r="K3" s="10">
        <f>Cost_of_ELCgen!K150</f>
        <v>4768.0584480366579</v>
      </c>
      <c r="L3" s="10">
        <f>Cost_of_ELCgen!L150</f>
        <v>4986.1190800191398</v>
      </c>
      <c r="M3" s="10">
        <f>Cost_of_ELCgen!M150</f>
        <v>5081.5678913986912</v>
      </c>
      <c r="N3" s="10">
        <f>Cost_of_ELCgen!N150</f>
        <v>5410.3646061584423</v>
      </c>
      <c r="O3" s="10">
        <f>Cost_of_ELCgen!O150</f>
        <v>5707.8332990542485</v>
      </c>
      <c r="P3" s="10">
        <f>Cost_of_ELCgen!P150</f>
        <v>6071.5550985441405</v>
      </c>
      <c r="Q3" s="10">
        <f>Cost_of_ELCgen!Q150</f>
        <v>5934.442050501646</v>
      </c>
      <c r="R3" s="10">
        <f>Cost_of_ELCgen!R150</f>
        <v>5900.4883598835268</v>
      </c>
      <c r="S3" s="10">
        <f>Cost_of_ELCgen!S150</f>
        <v>6016.5389292636937</v>
      </c>
      <c r="T3" s="10">
        <f>Cost_of_ELCgen!T150</f>
        <v>6290.9118062580692</v>
      </c>
      <c r="U3" s="10">
        <f>Cost_of_ELCgen!U150</f>
        <v>6522.9621062216602</v>
      </c>
      <c r="V3" s="10">
        <f>Cost_of_ELCgen!V150</f>
        <v>6905.0302405384627</v>
      </c>
      <c r="W3" s="10">
        <f>Cost_of_ELCgen!W150</f>
        <v>7409.3816667858582</v>
      </c>
      <c r="X3" s="10">
        <f>Cost_of_ELCgen!X150</f>
        <v>7755.8917723018658</v>
      </c>
      <c r="Y3" s="10">
        <f>Cost_of_ELCgen!Y150</f>
        <v>8131.1396169741238</v>
      </c>
      <c r="Z3" s="10">
        <f>Cost_of_ELCgen!Z150</f>
        <v>8533.2408091612833</v>
      </c>
      <c r="AA3" s="10">
        <f>Cost_of_ELCgen!AA150</f>
        <v>8912.482547710395</v>
      </c>
      <c r="AB3" s="10">
        <f>Cost_of_ELCgen!AB150</f>
        <v>9265.136386009759</v>
      </c>
      <c r="AC3" s="10">
        <f>Cost_of_ELCgen!AC150</f>
        <v>9645.9267171700976</v>
      </c>
      <c r="AD3" s="10">
        <f>Cost_of_ELCgen!AD150</f>
        <v>9953.5774252915162</v>
      </c>
      <c r="AE3" s="10">
        <f>Cost_of_ELCgen!AE150</f>
        <v>10246.215674892317</v>
      </c>
      <c r="AF3" s="10">
        <f>Cost_of_ELCgen!AF150</f>
        <v>10654.988881026504</v>
      </c>
      <c r="AG3" s="10">
        <f>Cost_of_ELCgen!AG150</f>
        <v>10875.819649253917</v>
      </c>
    </row>
    <row r="4" spans="1:33">
      <c r="A4" s="47" t="str">
        <f>Cost_of_ELCgen!A151</f>
        <v>Annualized Investment costs</v>
      </c>
      <c r="C4">
        <f>Cost_of_ELCgen!C151</f>
        <v>234.83856007739999</v>
      </c>
      <c r="D4">
        <f>Cost_of_ELCgen!D151</f>
        <v>756.46064974180001</v>
      </c>
      <c r="E4">
        <f>Cost_of_ELCgen!E151</f>
        <v>918.84101295929997</v>
      </c>
      <c r="F4">
        <f>Cost_of_ELCgen!F151</f>
        <v>1006.5689934077002</v>
      </c>
      <c r="G4">
        <f>Cost_of_ELCgen!G151</f>
        <v>1158.3121801707</v>
      </c>
      <c r="H4">
        <f>Cost_of_ELCgen!H151</f>
        <v>1276.2681208864001</v>
      </c>
      <c r="I4">
        <f>Cost_of_ELCgen!I151</f>
        <v>1551.5726645174</v>
      </c>
      <c r="J4">
        <f>Cost_of_ELCgen!J151</f>
        <v>1840.1869436697</v>
      </c>
      <c r="K4">
        <f>Cost_of_ELCgen!K151</f>
        <v>2127.9653015143999</v>
      </c>
      <c r="L4">
        <f>Cost_of_ELCgen!L151</f>
        <v>2414.7011988268996</v>
      </c>
      <c r="M4">
        <f>Cost_of_ELCgen!M151</f>
        <v>3511.5425211237998</v>
      </c>
      <c r="N4">
        <f>Cost_of_ELCgen!N151</f>
        <v>3593.6314325216999</v>
      </c>
      <c r="O4">
        <f>Cost_of_ELCgen!O151</f>
        <v>3675.7203439197001</v>
      </c>
      <c r="P4">
        <f>Cost_of_ELCgen!P151</f>
        <v>3760.2517395192999</v>
      </c>
      <c r="Q4">
        <f>Cost_of_ELCgen!Q151</f>
        <v>4157.5206728452004</v>
      </c>
      <c r="R4">
        <f>Cost_of_ELCgen!R151</f>
        <v>4692.0394493741005</v>
      </c>
      <c r="S4">
        <f>Cost_of_ELCgen!S151</f>
        <v>5110.557991121801</v>
      </c>
      <c r="T4">
        <f>Cost_of_ELCgen!T151</f>
        <v>5814.8797120074014</v>
      </c>
      <c r="U4">
        <f>Cost_of_ELCgen!U151</f>
        <v>6457.6504787857011</v>
      </c>
      <c r="V4">
        <f>Cost_of_ELCgen!V151</f>
        <v>7018.5743665789005</v>
      </c>
      <c r="W4">
        <f>Cost_of_ELCgen!W151</f>
        <v>7555.1620830571001</v>
      </c>
      <c r="X4">
        <f>Cost_of_ELCgen!X151</f>
        <v>7857.2343021017005</v>
      </c>
      <c r="Y4">
        <f>Cost_of_ELCgen!Y151</f>
        <v>8182.3335141837997</v>
      </c>
      <c r="Z4">
        <f>Cost_of_ELCgen!Z151</f>
        <v>8490.2444631406015</v>
      </c>
      <c r="AA4">
        <f>Cost_of_ELCgen!AA151</f>
        <v>8817.1005754234011</v>
      </c>
      <c r="AB4">
        <f>Cost_of_ELCgen!AB151</f>
        <v>9152.6519840628007</v>
      </c>
      <c r="AC4">
        <f>Cost_of_ELCgen!AC151</f>
        <v>9597.9072872010001</v>
      </c>
      <c r="AD4">
        <f>Cost_of_ELCgen!AD151</f>
        <v>10035.8608268606</v>
      </c>
      <c r="AE4">
        <f>Cost_of_ELCgen!AE151</f>
        <v>10489.625574009598</v>
      </c>
      <c r="AF4">
        <f>Cost_of_ELCgen!AF151</f>
        <v>10924.1261868532</v>
      </c>
      <c r="AG4">
        <f>Cost_of_ELCgen!AG151</f>
        <v>11615.939228947696</v>
      </c>
    </row>
    <row r="5" spans="1:33">
      <c r="A5" s="47" t="str">
        <f>Cost_of_ELCgen!A152</f>
        <v>CO2 costs</v>
      </c>
      <c r="C5">
        <f>Cost_of_ELCgen!C152</f>
        <v>0</v>
      </c>
      <c r="D5">
        <f>Cost_of_ELCgen!D152</f>
        <v>0</v>
      </c>
      <c r="E5">
        <f>Cost_of_ELCgen!E152</f>
        <v>0</v>
      </c>
      <c r="F5">
        <f>Cost_of_ELCgen!F152</f>
        <v>0</v>
      </c>
      <c r="G5">
        <f>Cost_of_ELCgen!G152</f>
        <v>0</v>
      </c>
      <c r="H5">
        <f>Cost_of_ELCgen!H152</f>
        <v>0</v>
      </c>
      <c r="I5">
        <f>Cost_of_ELCgen!I152</f>
        <v>0</v>
      </c>
      <c r="J5">
        <f>Cost_of_ELCgen!J152</f>
        <v>0</v>
      </c>
      <c r="K5">
        <f>Cost_of_ELCgen!K152</f>
        <v>0</v>
      </c>
      <c r="L5">
        <f>Cost_of_ELCgen!L152</f>
        <v>0</v>
      </c>
      <c r="M5">
        <f>Cost_of_ELCgen!M152</f>
        <v>0</v>
      </c>
      <c r="N5">
        <f>Cost_of_ELCgen!N152</f>
        <v>0</v>
      </c>
      <c r="O5">
        <f>Cost_of_ELCgen!O152</f>
        <v>0</v>
      </c>
      <c r="P5">
        <f>Cost_of_ELCgen!P152</f>
        <v>0</v>
      </c>
      <c r="Q5">
        <f>Cost_of_ELCgen!Q152</f>
        <v>0</v>
      </c>
      <c r="R5">
        <f>Cost_of_ELCgen!R152</f>
        <v>0</v>
      </c>
      <c r="S5">
        <f>Cost_of_ELCgen!S152</f>
        <v>0</v>
      </c>
      <c r="T5">
        <f>Cost_of_ELCgen!T152</f>
        <v>0</v>
      </c>
      <c r="U5">
        <f>Cost_of_ELCgen!U152</f>
        <v>0</v>
      </c>
      <c r="V5">
        <f>Cost_of_ELCgen!V152</f>
        <v>0</v>
      </c>
      <c r="W5">
        <f>Cost_of_ELCgen!W152</f>
        <v>0</v>
      </c>
      <c r="X5">
        <f>Cost_of_ELCgen!X152</f>
        <v>0</v>
      </c>
      <c r="Y5">
        <f>Cost_of_ELCgen!Y152</f>
        <v>0</v>
      </c>
      <c r="Z5">
        <f>Cost_of_ELCgen!Z152</f>
        <v>0</v>
      </c>
      <c r="AA5">
        <f>Cost_of_ELCgen!AA152</f>
        <v>0</v>
      </c>
      <c r="AB5">
        <f>Cost_of_ELCgen!AB152</f>
        <v>0</v>
      </c>
      <c r="AC5">
        <f>Cost_of_ELCgen!AC152</f>
        <v>0</v>
      </c>
      <c r="AD5">
        <f>Cost_of_ELCgen!AD152</f>
        <v>0</v>
      </c>
      <c r="AE5">
        <f>Cost_of_ELCgen!AE152</f>
        <v>0</v>
      </c>
      <c r="AF5">
        <f>Cost_of_ELCgen!AF152</f>
        <v>0</v>
      </c>
      <c r="AG5">
        <f>Cost_of_ELCgen!AG152</f>
        <v>0</v>
      </c>
    </row>
    <row r="6" spans="1:33">
      <c r="A6" s="47" t="str">
        <f>Cost_of_ELCgen!A153</f>
        <v>Total Costs (Million USD)</v>
      </c>
      <c r="C6" s="10">
        <f>Cost_of_ELCgen!C153</f>
        <v>4218.1088847032115</v>
      </c>
      <c r="D6" s="10">
        <f>Cost_of_ELCgen!D153</f>
        <v>4851.1533342784251</v>
      </c>
      <c r="E6" s="10">
        <f>Cost_of_ELCgen!E153</f>
        <v>5444.8978801710082</v>
      </c>
      <c r="F6" s="10">
        <f>Cost_of_ELCgen!F153</f>
        <v>5492.602038361656</v>
      </c>
      <c r="G6" s="10">
        <f>Cost_of_ELCgen!G153</f>
        <v>5888.7678865058688</v>
      </c>
      <c r="H6" s="10">
        <f>Cost_of_ELCgen!H153</f>
        <v>5666.5277469326047</v>
      </c>
      <c r="I6" s="10">
        <f>Cost_of_ELCgen!I153</f>
        <v>5937.2946289083002</v>
      </c>
      <c r="J6" s="10">
        <f>Cost_of_ELCgen!J153</f>
        <v>6427.2599487226844</v>
      </c>
      <c r="K6" s="10">
        <f>Cost_of_ELCgen!K153</f>
        <v>6896.0237495510573</v>
      </c>
      <c r="L6" s="10">
        <f>Cost_of_ELCgen!L153</f>
        <v>7400.8202788460394</v>
      </c>
      <c r="M6" s="10">
        <f>Cost_of_ELCgen!M153</f>
        <v>8593.110412522492</v>
      </c>
      <c r="N6" s="10">
        <f>Cost_of_ELCgen!N153</f>
        <v>9003.9960386801431</v>
      </c>
      <c r="O6" s="10">
        <f>Cost_of_ELCgen!O153</f>
        <v>9383.5536429739477</v>
      </c>
      <c r="P6" s="10">
        <f>Cost_of_ELCgen!P153</f>
        <v>9831.8068380634395</v>
      </c>
      <c r="Q6" s="10">
        <f>Cost_of_ELCgen!Q153</f>
        <v>10091.962723346845</v>
      </c>
      <c r="R6" s="10">
        <f>Cost_of_ELCgen!R153</f>
        <v>10592.527809257626</v>
      </c>
      <c r="S6" s="10">
        <f>Cost_of_ELCgen!S153</f>
        <v>11127.096920385495</v>
      </c>
      <c r="T6" s="10">
        <f>Cost_of_ELCgen!T153</f>
        <v>12105.791518265471</v>
      </c>
      <c r="U6" s="10">
        <f>Cost_of_ELCgen!U153</f>
        <v>12980.612585007362</v>
      </c>
      <c r="V6" s="10">
        <f>Cost_of_ELCgen!V153</f>
        <v>13923.604607117362</v>
      </c>
      <c r="W6" s="10">
        <f>Cost_of_ELCgen!W153</f>
        <v>14964.543749842958</v>
      </c>
      <c r="X6" s="10">
        <f>Cost_of_ELCgen!X153</f>
        <v>15613.126074403566</v>
      </c>
      <c r="Y6" s="10">
        <f>Cost_of_ELCgen!Y153</f>
        <v>16313.473131157923</v>
      </c>
      <c r="Z6" s="10">
        <f>Cost_of_ELCgen!Z153</f>
        <v>17023.485272301885</v>
      </c>
      <c r="AA6" s="10">
        <f>Cost_of_ELCgen!AA153</f>
        <v>17729.583123133794</v>
      </c>
      <c r="AB6" s="10">
        <f>Cost_of_ELCgen!AB153</f>
        <v>18417.788370072558</v>
      </c>
      <c r="AC6" s="10">
        <f>Cost_of_ELCgen!AC153</f>
        <v>19243.8340043711</v>
      </c>
      <c r="AD6" s="10">
        <f>Cost_of_ELCgen!AD153</f>
        <v>19989.438252152118</v>
      </c>
      <c r="AE6" s="10">
        <f>Cost_of_ELCgen!AE153</f>
        <v>20735.841248901917</v>
      </c>
      <c r="AF6" s="10">
        <f>Cost_of_ELCgen!AF153</f>
        <v>21579.115067879706</v>
      </c>
      <c r="AG6" s="10">
        <f>Cost_of_ELCgen!AG153</f>
        <v>22491.758878201614</v>
      </c>
    </row>
    <row r="7" spans="1:33" ht="15" thickBot="1">
      <c r="A7" s="47" t="str">
        <f>Cost_of_ELCgen!A154</f>
        <v>Generation (PJ-&gt;GWh), Before Transmission losses</v>
      </c>
      <c r="C7">
        <f>Cost_of_ELCgen!C154</f>
        <v>101777.4167480886</v>
      </c>
      <c r="D7">
        <f>Cost_of_ELCgen!D154</f>
        <v>106114.2778626692</v>
      </c>
      <c r="E7">
        <f>Cost_of_ELCgen!E154</f>
        <v>111516.69453365781</v>
      </c>
      <c r="F7">
        <f>Cost_of_ELCgen!F154</f>
        <v>118003.66676106959</v>
      </c>
      <c r="G7">
        <f>Cost_of_ELCgen!G154</f>
        <v>126941.66676822002</v>
      </c>
      <c r="H7">
        <f>Cost_of_ELCgen!H154</f>
        <v>121134.3612080186</v>
      </c>
      <c r="I7">
        <f>Cost_of_ELCgen!I154</f>
        <v>125377.36121141305</v>
      </c>
      <c r="J7">
        <f>Cost_of_ELCgen!J154</f>
        <v>132378.08343923581</v>
      </c>
      <c r="K7">
        <f>Cost_of_ELCgen!K154</f>
        <v>139457.33344489921</v>
      </c>
      <c r="L7">
        <f>Cost_of_ELCgen!L154</f>
        <v>147103.80567323862</v>
      </c>
      <c r="M7">
        <f>Cost_of_ELCgen!M154</f>
        <v>155345.11123538716</v>
      </c>
      <c r="N7">
        <f>Cost_of_ELCgen!N154</f>
        <v>164718.13902066337</v>
      </c>
      <c r="O7">
        <f>Cost_of_ELCgen!O154</f>
        <v>173287.38902751877</v>
      </c>
      <c r="P7">
        <f>Cost_of_ELCgen!P154</f>
        <v>181539.16681189797</v>
      </c>
      <c r="Q7">
        <f>Cost_of_ELCgen!Q154</f>
        <v>187795.86126134775</v>
      </c>
      <c r="R7">
        <f>Cost_of_ELCgen!R154</f>
        <v>195105.88904497353</v>
      </c>
      <c r="S7">
        <f>Cost_of_ELCgen!S154</f>
        <v>204969.86127508699</v>
      </c>
      <c r="T7">
        <f>Cost_of_ELCgen!T154</f>
        <v>214882.27794968357</v>
      </c>
      <c r="U7">
        <f>Cost_of_ELCgen!U154</f>
        <v>224827.50017986196</v>
      </c>
      <c r="V7">
        <f>Cost_of_ELCgen!V154</f>
        <v>234739.94463223638</v>
      </c>
      <c r="W7">
        <f>Cost_of_ELCgen!W154</f>
        <v>244570.38908454523</v>
      </c>
      <c r="X7">
        <f>Cost_of_ELCgen!X154</f>
        <v>254017.38909210279</v>
      </c>
      <c r="Y7">
        <f>Cost_of_ELCgen!Y154</f>
        <v>264182.88910023519</v>
      </c>
      <c r="Z7">
        <f>Cost_of_ELCgen!Z154</f>
        <v>274370.27799727395</v>
      </c>
      <c r="AA7">
        <f>Cost_of_ELCgen!AA154</f>
        <v>284577.52800543979</v>
      </c>
      <c r="AB7">
        <f>Cost_of_ELCgen!AB154</f>
        <v>294804.5280136214</v>
      </c>
      <c r="AC7">
        <f>Cost_of_ELCgen!AC154</f>
        <v>305411.5002443291</v>
      </c>
      <c r="AD7">
        <f>Cost_of_ELCgen!AD154</f>
        <v>316033.44469727128</v>
      </c>
      <c r="AE7">
        <f>Cost_of_ELCgen!AE154</f>
        <v>326669.722483558</v>
      </c>
      <c r="AF7">
        <f>Cost_of_ELCgen!AF154</f>
        <v>337319.30582541093</v>
      </c>
      <c r="AG7">
        <f>Cost_of_ELCgen!AG154</f>
        <v>352549.08361537266</v>
      </c>
    </row>
    <row r="8" spans="1:33" ht="15" thickBot="1">
      <c r="A8" s="45" t="str">
        <f>Cost_of_ELCgen!A155</f>
        <v>Average electricity cost (USD/kWh)</v>
      </c>
      <c r="B8" s="33"/>
      <c r="C8" s="46">
        <f>Cost_of_ELCgen!C155</f>
        <v>4.1444448282112925E-2</v>
      </c>
      <c r="D8" s="46">
        <f>Cost_of_ELCgen!D155</f>
        <v>4.5716311056243367E-2</v>
      </c>
      <c r="E8" s="46">
        <f>Cost_of_ELCgen!E155</f>
        <v>4.8825854307649311E-2</v>
      </c>
      <c r="F8" s="46">
        <f>Cost_of_ELCgen!F155</f>
        <v>4.6546028518613052E-2</v>
      </c>
      <c r="G8" s="46">
        <f>Cost_of_ELCgen!G155</f>
        <v>4.6389558577783915E-2</v>
      </c>
      <c r="H8" s="46">
        <f>Cost_of_ELCgen!H155</f>
        <v>4.6778863490283581E-2</v>
      </c>
      <c r="I8" s="46">
        <f>Cost_of_ELCgen!I155</f>
        <v>4.7355396313507915E-2</v>
      </c>
      <c r="J8" s="46">
        <f>Cost_of_ELCgen!J155</f>
        <v>4.8552296435632608E-2</v>
      </c>
      <c r="K8" s="46">
        <f>Cost_of_ELCgen!K155</f>
        <v>4.9448986146545928E-2</v>
      </c>
      <c r="L8" s="46">
        <f>Cost_of_ELCgen!L155</f>
        <v>5.031018908705507E-2</v>
      </c>
      <c r="M8" s="46">
        <f>Cost_of_ELCgen!M155</f>
        <v>5.5316259032456808E-2</v>
      </c>
      <c r="N8" s="46">
        <f>Cost_of_ELCgen!N155</f>
        <v>5.4663051028949645E-2</v>
      </c>
      <c r="O8" s="46">
        <f>Cost_of_ELCgen!O155</f>
        <v>5.4150239643138712E-2</v>
      </c>
      <c r="P8" s="46">
        <f>Cost_of_ELCgen!P155</f>
        <v>5.4158047603306884E-2</v>
      </c>
      <c r="Q8" s="46">
        <f>Cost_of_ELCgen!Q155</f>
        <v>5.3739004978934427E-2</v>
      </c>
      <c r="R8" s="46">
        <f>Cost_of_ELCgen!R155</f>
        <v>5.4291174198314231E-2</v>
      </c>
      <c r="S8" s="46">
        <f>Cost_of_ELCgen!S155</f>
        <v>5.4286502665150289E-2</v>
      </c>
      <c r="T8" s="46">
        <f>Cost_of_ELCgen!T155</f>
        <v>5.6336853991747704E-2</v>
      </c>
      <c r="U8" s="46">
        <f>Cost_of_ELCgen!U155</f>
        <v>5.7735875614072452E-2</v>
      </c>
      <c r="V8" s="46">
        <f>Cost_of_ELCgen!V155</f>
        <v>5.9315020410911613E-2</v>
      </c>
      <c r="W8" s="46">
        <f>Cost_of_ELCgen!W155</f>
        <v>6.1187062775084698E-2</v>
      </c>
      <c r="X8" s="46">
        <f>Cost_of_ELCgen!X155</f>
        <v>6.1464792352237299E-2</v>
      </c>
      <c r="Y8" s="46">
        <f>Cost_of_ELCgen!Y155</f>
        <v>6.1750680321193449E-2</v>
      </c>
      <c r="Z8" s="46">
        <f>Cost_of_ELCgen!Z155</f>
        <v>6.2045661055426068E-2</v>
      </c>
      <c r="AA8" s="46">
        <f>Cost_of_ELCgen!AA155</f>
        <v>6.2301416585482772E-2</v>
      </c>
      <c r="AB8" s="46">
        <f>Cost_of_ELCgen!AB155</f>
        <v>6.247457762664204E-2</v>
      </c>
      <c r="AC8" s="46">
        <f>Cost_of_ELCgen!AC155</f>
        <v>6.3009526455212198E-2</v>
      </c>
      <c r="AD8" s="46">
        <f>Cost_of_ELCgen!AD155</f>
        <v>6.3251021648357567E-2</v>
      </c>
      <c r="AE8" s="46">
        <f>Cost_of_ELCgen!AE155</f>
        <v>6.3476471254374056E-2</v>
      </c>
      <c r="AF8" s="46">
        <f>Cost_of_ELCgen!AF155</f>
        <v>6.3972368895626103E-2</v>
      </c>
      <c r="AG8" s="46">
        <f>Cost_of_ELCgen!AG155</f>
        <v>6.3797524723507401E-2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8923-6809-4A0F-AD03-7314BC49CE0A}">
  <dimension ref="A1:AG5"/>
  <sheetViews>
    <sheetView workbookViewId="0">
      <selection activeCell="A12" sqref="A12"/>
    </sheetView>
  </sheetViews>
  <sheetFormatPr defaultRowHeight="14.4"/>
  <cols>
    <col min="1" max="1" width="38.109375" bestFit="1" customWidth="1"/>
  </cols>
  <sheetData>
    <row r="1" spans="1:33">
      <c r="A1" s="33" t="s">
        <v>267</v>
      </c>
    </row>
    <row r="2" spans="1:33">
      <c r="A2" s="33"/>
    </row>
    <row r="3" spans="1:33">
      <c r="A3" s="33" t="s">
        <v>270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'Capital Annualized Costs PEP'!A22</f>
        <v>Total Capital Investments (Million USD)</v>
      </c>
      <c r="B4">
        <f>'Capital Annualized Costs PEP'!B22</f>
        <v>0</v>
      </c>
      <c r="C4">
        <f>'Capital Annualized Costs PEP'!C22</f>
        <v>4747.9519999999993</v>
      </c>
      <c r="D4">
        <f>'Capital Annualized Costs PEP'!D22</f>
        <v>10006.782999999999</v>
      </c>
      <c r="E4">
        <f>'Capital Annualized Costs PEP'!E22</f>
        <v>2531.4871999999996</v>
      </c>
      <c r="F4">
        <f>'Capital Annualized Costs PEP'!F22</f>
        <v>1576.1906000000001</v>
      </c>
      <c r="G4">
        <f>'Capital Annualized Costs PEP'!G22</f>
        <v>2362.6024999999995</v>
      </c>
      <c r="H4">
        <f>'Capital Annualized Costs PEP'!H22</f>
        <v>1897.1058</v>
      </c>
      <c r="I4">
        <f>'Capital Annualized Costs PEP'!I22</f>
        <v>5039.2865000000002</v>
      </c>
      <c r="J4">
        <f>'Capital Annualized Costs PEP'!J22</f>
        <v>4571.2966999999999</v>
      </c>
      <c r="K4">
        <f>'Capital Annualized Costs PEP'!K22</f>
        <v>4558.9261999999999</v>
      </c>
      <c r="L4">
        <f>'Capital Annualized Costs PEP'!L22</f>
        <v>4543.4992000000002</v>
      </c>
      <c r="M4">
        <f>'Capital Annualized Costs PEP'!M22</f>
        <v>16531.959200000001</v>
      </c>
      <c r="N4">
        <f>'Capital Annualized Costs PEP'!N22</f>
        <v>1573.5395000000001</v>
      </c>
      <c r="O4">
        <f>'Capital Annualized Costs PEP'!O22</f>
        <v>1573.5395000000001</v>
      </c>
      <c r="P4">
        <f>'Capital Annualized Costs PEP'!P22</f>
        <v>1620.3588</v>
      </c>
      <c r="Q4">
        <f>'Capital Annualized Costs PEP'!Q22</f>
        <v>6755.0031999999992</v>
      </c>
      <c r="R4">
        <f>'Capital Annualized Costs PEP'!R22</f>
        <v>9729.4943000000003</v>
      </c>
      <c r="S4">
        <f>'Capital Annualized Costs PEP'!S22</f>
        <v>7514.1232</v>
      </c>
      <c r="T4">
        <f>'Capital Annualized Costs PEP'!T22</f>
        <v>13649.084199999999</v>
      </c>
      <c r="U4">
        <f>'Capital Annualized Costs PEP'!U22</f>
        <v>12706.770399999999</v>
      </c>
      <c r="V4">
        <f>'Capital Annualized Costs PEP'!V22</f>
        <v>10301.896699999999</v>
      </c>
      <c r="W4">
        <f>'Capital Annualized Costs PEP'!W22</f>
        <v>9453.2451000000001</v>
      </c>
      <c r="X4">
        <f>'Capital Annualized Costs PEP'!X22</f>
        <v>5718.0547999999999</v>
      </c>
      <c r="Y4">
        <f>'Capital Annualized Costs PEP'!Y22</f>
        <v>6149.3397999999997</v>
      </c>
      <c r="Z4">
        <f>'Capital Annualized Costs PEP'!Z22</f>
        <v>5636.1648000000005</v>
      </c>
      <c r="AA4">
        <f>'Capital Annualized Costs PEP'!AA22</f>
        <v>6187.7592999999997</v>
      </c>
      <c r="AB4">
        <f>'Capital Annualized Costs PEP'!AB22</f>
        <v>6926.5400000000009</v>
      </c>
      <c r="AC4">
        <f>'Capital Annualized Costs PEP'!AC22</f>
        <v>10877.784</v>
      </c>
      <c r="AD4">
        <f>'Capital Annualized Costs PEP'!AD22</f>
        <v>10898.1464</v>
      </c>
      <c r="AE4">
        <f>'Capital Annualized Costs PEP'!AE22</f>
        <v>8793.4385999999995</v>
      </c>
      <c r="AF4">
        <f>'Capital Annualized Costs PEP'!AF22</f>
        <v>10311.5434</v>
      </c>
      <c r="AG4">
        <f>'Capital Annualized Costs PEP'!AG22</f>
        <v>13589.9756</v>
      </c>
    </row>
    <row r="5" spans="1:33">
      <c r="A5" s="33" t="str">
        <f>'Capital Annualized Costs PEP'!A43</f>
        <v>Total Annualized Investments (Million USD)</v>
      </c>
      <c r="B5">
        <f>'Capital Annualized Costs PEP'!B43</f>
        <v>0</v>
      </c>
      <c r="C5" s="27">
        <f>'Capital Annualized Costs PEP'!C43</f>
        <v>234.83856007739999</v>
      </c>
      <c r="D5" s="27">
        <f>'Capital Annualized Costs PEP'!D43</f>
        <v>756.46064974180001</v>
      </c>
      <c r="E5" s="27">
        <f>'Capital Annualized Costs PEP'!E43</f>
        <v>918.84101295929997</v>
      </c>
      <c r="F5" s="27">
        <f>'Capital Annualized Costs PEP'!F43</f>
        <v>1006.5689934077002</v>
      </c>
      <c r="G5" s="27">
        <f>'Capital Annualized Costs PEP'!G43</f>
        <v>1158.3121801707</v>
      </c>
      <c r="H5" s="27">
        <f>'Capital Annualized Costs PEP'!H43</f>
        <v>1276.2681208864001</v>
      </c>
      <c r="I5" s="27">
        <f>'Capital Annualized Costs PEP'!I43</f>
        <v>1551.5726645174</v>
      </c>
      <c r="J5" s="27">
        <f>'Capital Annualized Costs PEP'!J43</f>
        <v>1840.1869436697</v>
      </c>
      <c r="K5" s="27">
        <f>'Capital Annualized Costs PEP'!K43</f>
        <v>2127.9653015143999</v>
      </c>
      <c r="L5" s="27">
        <f>'Capital Annualized Costs PEP'!L43</f>
        <v>2414.7011988268996</v>
      </c>
      <c r="M5" s="27">
        <f>'Capital Annualized Costs PEP'!M43</f>
        <v>3511.5425211237998</v>
      </c>
      <c r="N5" s="27">
        <f>'Capital Annualized Costs PEP'!N43</f>
        <v>3593.6314325216999</v>
      </c>
      <c r="O5" s="27">
        <f>'Capital Annualized Costs PEP'!O43</f>
        <v>3675.7203439197001</v>
      </c>
      <c r="P5" s="27">
        <f>'Capital Annualized Costs PEP'!P43</f>
        <v>3760.2517395192999</v>
      </c>
      <c r="Q5" s="27">
        <f>'Capital Annualized Costs PEP'!Q43</f>
        <v>4157.5206728452004</v>
      </c>
      <c r="R5" s="27">
        <f>'Capital Annualized Costs PEP'!R43</f>
        <v>4692.0394493741005</v>
      </c>
      <c r="S5" s="27">
        <f>'Capital Annualized Costs PEP'!S43</f>
        <v>5110.557991121801</v>
      </c>
      <c r="T5" s="27">
        <f>'Capital Annualized Costs PEP'!T43</f>
        <v>5814.8797120074014</v>
      </c>
      <c r="U5" s="27">
        <f>'Capital Annualized Costs PEP'!U43</f>
        <v>6457.6504787857011</v>
      </c>
      <c r="V5" s="27">
        <f>'Capital Annualized Costs PEP'!V43</f>
        <v>7018.5743665789005</v>
      </c>
      <c r="W5" s="27">
        <f>'Capital Annualized Costs PEP'!W43</f>
        <v>7555.1620830571001</v>
      </c>
      <c r="X5" s="27">
        <f>'Capital Annualized Costs PEP'!X43</f>
        <v>7857.2343021017005</v>
      </c>
      <c r="Y5" s="27">
        <f>'Capital Annualized Costs PEP'!Y43</f>
        <v>8182.3335141837997</v>
      </c>
      <c r="Z5" s="27">
        <f>'Capital Annualized Costs PEP'!Z43</f>
        <v>8490.2444631406015</v>
      </c>
      <c r="AA5" s="27">
        <f>'Capital Annualized Costs PEP'!AA43</f>
        <v>8817.1005754234011</v>
      </c>
      <c r="AB5" s="27">
        <f>'Capital Annualized Costs PEP'!AB43</f>
        <v>9152.6519840628007</v>
      </c>
      <c r="AC5" s="27">
        <f>'Capital Annualized Costs PEP'!AC43</f>
        <v>9597.9072872010001</v>
      </c>
      <c r="AD5" s="27">
        <f>'Capital Annualized Costs PEP'!AD43</f>
        <v>10035.8608268606</v>
      </c>
      <c r="AE5" s="27">
        <f>'Capital Annualized Costs PEP'!AE43</f>
        <v>10489.625574009598</v>
      </c>
      <c r="AF5" s="27">
        <f>'Capital Annualized Costs PEP'!AF43</f>
        <v>10924.1261868532</v>
      </c>
      <c r="AG5" s="27">
        <f>'Capital Annualized Costs PEP'!AG43</f>
        <v>11615.939228947696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BD9F-2B8C-4C47-BD92-078784810A0C}">
  <dimension ref="A1:BF43"/>
  <sheetViews>
    <sheetView workbookViewId="0">
      <selection activeCell="E16" sqref="E16"/>
    </sheetView>
  </sheetViews>
  <sheetFormatPr defaultRowHeight="14.4"/>
  <cols>
    <col min="1" max="1" width="32.6640625" bestFit="1" customWidth="1"/>
    <col min="3" max="5" width="9.5546875" bestFit="1" customWidth="1"/>
    <col min="6" max="6" width="9" bestFit="1" customWidth="1"/>
    <col min="7" max="22" width="9.5546875" bestFit="1" customWidth="1"/>
    <col min="23" max="23" width="10.5546875" bestFit="1" customWidth="1"/>
    <col min="24" max="24" width="9" bestFit="1" customWidth="1"/>
    <col min="25" max="32" width="9.5546875" bestFit="1" customWidth="1"/>
    <col min="33" max="33" width="10.5546875" bestFit="1" customWidth="1"/>
  </cols>
  <sheetData>
    <row r="1" spans="1:58">
      <c r="A1" s="33" t="s">
        <v>267</v>
      </c>
    </row>
    <row r="2" spans="1:58" ht="15" thickBot="1"/>
    <row r="3" spans="1:58" ht="15" thickBot="1">
      <c r="A3" s="3" t="s">
        <v>17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t="s">
        <v>132</v>
      </c>
      <c r="C4">
        <f>SUMIFS(Capital_Investments!C$2:C$10000,Capital_Investments!$B$2:$B$10000,$A4)</f>
        <v>0</v>
      </c>
      <c r="D4">
        <f>SUMIFS(Capital_Investments!D$2:D$10000,Capital_Investments!$B$2:$B$10000,$A4)</f>
        <v>0</v>
      </c>
      <c r="E4">
        <f>SUMIFS(Capital_Investments!E$2:E$10000,Capital_Investments!$B$2:$B$10000,$A4)</f>
        <v>369</v>
      </c>
      <c r="F4">
        <f>SUMIFS(Capital_Investments!F$2:F$10000,Capital_Investments!$B$2:$B$10000,$A4)</f>
        <v>27</v>
      </c>
      <c r="G4">
        <f>SUMIFS(Capital_Investments!G$2:G$10000,Capital_Investments!$B$2:$B$10000,$A4)</f>
        <v>44.55</v>
      </c>
      <c r="H4">
        <f>SUMIFS(Capital_Investments!H$2:H$10000,Capital_Investments!$B$2:$B$10000,$A4)</f>
        <v>0</v>
      </c>
      <c r="I4">
        <f>SUMIFS(Capital_Investments!I$2:I$10000,Capital_Investments!$B$2:$B$10000,$A4)</f>
        <v>0</v>
      </c>
      <c r="J4">
        <f>SUMIFS(Capital_Investments!J$2:J$10000,Capital_Investments!$B$2:$B$10000,$A4)</f>
        <v>0</v>
      </c>
      <c r="K4">
        <f>SUMIFS(Capital_Investments!K$2:K$10000,Capital_Investments!$B$2:$B$10000,$A4)</f>
        <v>0</v>
      </c>
      <c r="L4">
        <f>SUMIFS(Capital_Investments!L$2:L$10000,Capital_Investments!$B$2:$B$10000,$A4)</f>
        <v>0</v>
      </c>
      <c r="M4">
        <f>SUMIFS(Capital_Investments!M$2:M$10000,Capital_Investments!$B$2:$B$10000,$A4)</f>
        <v>0</v>
      </c>
      <c r="N4">
        <f>SUMIFS(Capital_Investments!N$2:N$10000,Capital_Investments!$B$2:$B$10000,$A4)</f>
        <v>0</v>
      </c>
      <c r="O4">
        <f>SUMIFS(Capital_Investments!O$2:O$10000,Capital_Investments!$B$2:$B$10000,$A4)</f>
        <v>0</v>
      </c>
      <c r="P4">
        <f>SUMIFS(Capital_Investments!P$2:P$10000,Capital_Investments!$B$2:$B$10000,$A4)</f>
        <v>0</v>
      </c>
      <c r="Q4">
        <f>SUMIFS(Capital_Investments!Q$2:Q$10000,Capital_Investments!$B$2:$B$10000,$A4)</f>
        <v>0</v>
      </c>
      <c r="R4">
        <f>SUMIFS(Capital_Investments!R$2:R$10000,Capital_Investments!$B$2:$B$10000,$A4)</f>
        <v>0</v>
      </c>
      <c r="S4">
        <f>SUMIFS(Capital_Investments!S$2:S$10000,Capital_Investments!$B$2:$B$10000,$A4)</f>
        <v>0</v>
      </c>
      <c r="T4">
        <f>SUMIFS(Capital_Investments!T$2:T$10000,Capital_Investments!$B$2:$B$10000,$A4)</f>
        <v>0</v>
      </c>
      <c r="U4">
        <f>SUMIFS(Capital_Investments!U$2:U$10000,Capital_Investments!$B$2:$B$10000,$A4)</f>
        <v>0</v>
      </c>
      <c r="V4">
        <f>SUMIFS(Capital_Investments!V$2:V$10000,Capital_Investments!$B$2:$B$10000,$A4)</f>
        <v>0</v>
      </c>
      <c r="W4">
        <f>SUMIFS(Capital_Investments!W$2:W$10000,Capital_Investments!$B$2:$B$10000,$A4)</f>
        <v>0</v>
      </c>
      <c r="X4">
        <f>SUMIFS(Capital_Investments!X$2:X$10000,Capital_Investments!$B$2:$B$10000,$A4)</f>
        <v>0</v>
      </c>
      <c r="Y4">
        <f>SUMIFS(Capital_Investments!Y$2:Y$10000,Capital_Investments!$B$2:$B$10000,$A4)</f>
        <v>0</v>
      </c>
      <c r="Z4">
        <f>SUMIFS(Capital_Investments!Z$2:Z$10000,Capital_Investments!$B$2:$B$10000,$A4)</f>
        <v>0</v>
      </c>
      <c r="AA4">
        <f>SUMIFS(Capital_Investments!AA$2:AA$10000,Capital_Investments!$B$2:$B$10000,$A4)</f>
        <v>0</v>
      </c>
      <c r="AB4">
        <f>SUMIFS(Capital_Investments!AB$2:AB$10000,Capital_Investments!$B$2:$B$10000,$A4)</f>
        <v>0</v>
      </c>
      <c r="AC4">
        <f>SUMIFS(Capital_Investments!AC$2:AC$10000,Capital_Investments!$B$2:$B$10000,$A4)</f>
        <v>0</v>
      </c>
      <c r="AD4">
        <f>SUMIFS(Capital_Investments!AD$2:AD$10000,Capital_Investments!$B$2:$B$10000,$A4)</f>
        <v>0</v>
      </c>
      <c r="AE4">
        <f>SUMIFS(Capital_Investments!AE$2:AE$10000,Capital_Investments!$B$2:$B$10000,$A4)</f>
        <v>0</v>
      </c>
      <c r="AF4">
        <f>SUMIFS(Capital_Investments!AF$2:AF$10000,Capital_Investments!$B$2:$B$10000,$A4)</f>
        <v>0</v>
      </c>
      <c r="AG4">
        <f>SUMIFS(Capital_Investments!AG$2:AG$10000,Capital_Investments!$B$2:$B$10000,$A4)</f>
        <v>0</v>
      </c>
    </row>
    <row r="5" spans="1:58">
      <c r="A5" t="s">
        <v>133</v>
      </c>
      <c r="C5">
        <f>SUMIFS(Capital_Investments!C$2:C$10000,Capital_Investments!$B$2:$B$10000,$A5)</f>
        <v>0</v>
      </c>
      <c r="D5">
        <f>SUMIFS(Capital_Investments!D$2:D$10000,Capital_Investments!$B$2:$B$10000,$A5)</f>
        <v>0</v>
      </c>
      <c r="E5">
        <f>SUMIFS(Capital_Investments!E$2:E$10000,Capital_Investments!$B$2:$B$10000,$A5)</f>
        <v>0</v>
      </c>
      <c r="F5">
        <f>SUMIFS(Capital_Investments!F$2:F$10000,Capital_Investments!$B$2:$B$10000,$A5)</f>
        <v>0</v>
      </c>
      <c r="G5">
        <f>SUMIFS(Capital_Investments!G$2:G$10000,Capital_Investments!$B$2:$B$10000,$A5)</f>
        <v>0</v>
      </c>
      <c r="H5">
        <f>SUMIFS(Capital_Investments!H$2:H$10000,Capital_Investments!$B$2:$B$10000,$A5)</f>
        <v>0</v>
      </c>
      <c r="I5">
        <f>SUMIFS(Capital_Investments!I$2:I$10000,Capital_Investments!$B$2:$B$10000,$A5)</f>
        <v>0</v>
      </c>
      <c r="J5">
        <f>SUMIFS(Capital_Investments!J$2:J$10000,Capital_Investments!$B$2:$B$10000,$A5)</f>
        <v>0</v>
      </c>
      <c r="K5">
        <f>SUMIFS(Capital_Investments!K$2:K$10000,Capital_Investments!$B$2:$B$10000,$A5)</f>
        <v>0</v>
      </c>
      <c r="L5">
        <f>SUMIFS(Capital_Investments!L$2:L$10000,Capital_Investments!$B$2:$B$10000,$A5)</f>
        <v>0</v>
      </c>
      <c r="M5">
        <f>SUMIFS(Capital_Investments!M$2:M$10000,Capital_Investments!$B$2:$B$10000,$A5)</f>
        <v>0</v>
      </c>
      <c r="N5">
        <f>SUMIFS(Capital_Investments!N$2:N$10000,Capital_Investments!$B$2:$B$10000,$A5)</f>
        <v>0</v>
      </c>
      <c r="O5">
        <f>SUMIFS(Capital_Investments!O$2:O$10000,Capital_Investments!$B$2:$B$10000,$A5)</f>
        <v>0</v>
      </c>
      <c r="P5">
        <f>SUMIFS(Capital_Investments!P$2:P$10000,Capital_Investments!$B$2:$B$10000,$A5)</f>
        <v>0</v>
      </c>
      <c r="Q5">
        <f>SUMIFS(Capital_Investments!Q$2:Q$10000,Capital_Investments!$B$2:$B$10000,$A5)</f>
        <v>0</v>
      </c>
      <c r="R5">
        <f>SUMIFS(Capital_Investments!R$2:R$10000,Capital_Investments!$B$2:$B$10000,$A5)</f>
        <v>0</v>
      </c>
      <c r="S5">
        <f>SUMIFS(Capital_Investments!S$2:S$10000,Capital_Investments!$B$2:$B$10000,$A5)</f>
        <v>0</v>
      </c>
      <c r="T5">
        <f>SUMIFS(Capital_Investments!T$2:T$10000,Capital_Investments!$B$2:$B$10000,$A5)</f>
        <v>0</v>
      </c>
      <c r="U5">
        <f>SUMIFS(Capital_Investments!U$2:U$10000,Capital_Investments!$B$2:$B$10000,$A5)</f>
        <v>0</v>
      </c>
      <c r="V5">
        <f>SUMIFS(Capital_Investments!V$2:V$10000,Capital_Investments!$B$2:$B$10000,$A5)</f>
        <v>0</v>
      </c>
      <c r="W5">
        <f>SUMIFS(Capital_Investments!W$2:W$10000,Capital_Investments!$B$2:$B$10000,$A5)</f>
        <v>0</v>
      </c>
      <c r="X5">
        <f>SUMIFS(Capital_Investments!X$2:X$10000,Capital_Investments!$B$2:$B$10000,$A5)</f>
        <v>0</v>
      </c>
      <c r="Y5">
        <f>SUMIFS(Capital_Investments!Y$2:Y$10000,Capital_Investments!$B$2:$B$10000,$A5)</f>
        <v>0</v>
      </c>
      <c r="Z5">
        <f>SUMIFS(Capital_Investments!Z$2:Z$10000,Capital_Investments!$B$2:$B$10000,$A5)</f>
        <v>0</v>
      </c>
      <c r="AA5">
        <f>SUMIFS(Capital_Investments!AA$2:AA$10000,Capital_Investments!$B$2:$B$10000,$A5)</f>
        <v>0</v>
      </c>
      <c r="AB5">
        <f>SUMIFS(Capital_Investments!AB$2:AB$10000,Capital_Investments!$B$2:$B$10000,$A5)</f>
        <v>0</v>
      </c>
      <c r="AC5">
        <f>SUMIFS(Capital_Investments!AC$2:AC$10000,Capital_Investments!$B$2:$B$10000,$A5)</f>
        <v>0</v>
      </c>
      <c r="AD5">
        <f>SUMIFS(Capital_Investments!AD$2:AD$10000,Capital_Investments!$B$2:$B$10000,$A5)</f>
        <v>0</v>
      </c>
      <c r="AE5">
        <f>SUMIFS(Capital_Investments!AE$2:AE$10000,Capital_Investments!$B$2:$B$10000,$A5)</f>
        <v>0</v>
      </c>
      <c r="AF5">
        <f>SUMIFS(Capital_Investments!AF$2:AF$10000,Capital_Investments!$B$2:$B$10000,$A5)</f>
        <v>0</v>
      </c>
      <c r="AG5">
        <f>SUMIFS(Capital_Investments!AG$2:AG$10000,Capital_Investments!$B$2:$B$10000,$A5)</f>
        <v>0</v>
      </c>
    </row>
    <row r="6" spans="1:58">
      <c r="A6" t="s">
        <v>138</v>
      </c>
      <c r="C6">
        <f>SUMIFS(Capital_Investments!C$2:C$10000,Capital_Investments!$B$2:$B$10000,$A6)</f>
        <v>0</v>
      </c>
      <c r="D6">
        <f>SUMIFS(Capital_Investments!D$2:D$10000,Capital_Investments!$B$2:$B$10000,$A6)</f>
        <v>0</v>
      </c>
      <c r="E6">
        <f>SUMIFS(Capital_Investments!E$2:E$10000,Capital_Investments!$B$2:$B$10000,$A6)</f>
        <v>16.28</v>
      </c>
      <c r="F6">
        <f>SUMIFS(Capital_Investments!F$2:F$10000,Capital_Investments!$B$2:$B$10000,$A6)</f>
        <v>1236.7765999999999</v>
      </c>
      <c r="G6">
        <f>SUMIFS(Capital_Investments!G$2:G$10000,Capital_Investments!$B$2:$B$10000,$A6)</f>
        <v>29.578900000000001</v>
      </c>
      <c r="H6">
        <f>SUMIFS(Capital_Investments!H$2:H$10000,Capital_Investments!$B$2:$B$10000,$A6)</f>
        <v>157.08000000000001</v>
      </c>
      <c r="I6">
        <f>SUMIFS(Capital_Investments!I$2:I$10000,Capital_Investments!$B$2:$B$10000,$A6)</f>
        <v>3722.5142999999998</v>
      </c>
      <c r="J6">
        <f>SUMIFS(Capital_Investments!J$2:J$10000,Capital_Investments!$B$2:$B$10000,$A6)</f>
        <v>0</v>
      </c>
      <c r="K6">
        <f>SUMIFS(Capital_Investments!K$2:K$10000,Capital_Investments!$B$2:$B$10000,$A6)</f>
        <v>0</v>
      </c>
      <c r="L6">
        <f>SUMIFS(Capital_Investments!L$2:L$10000,Capital_Investments!$B$2:$B$10000,$A6)</f>
        <v>0</v>
      </c>
      <c r="M6">
        <f>SUMIFS(Capital_Investments!M$2:M$10000,Capital_Investments!$B$2:$B$10000,$A6)</f>
        <v>0</v>
      </c>
      <c r="N6">
        <f>SUMIFS(Capital_Investments!N$2:N$10000,Capital_Investments!$B$2:$B$10000,$A6)</f>
        <v>0</v>
      </c>
      <c r="O6">
        <f>SUMIFS(Capital_Investments!O$2:O$10000,Capital_Investments!$B$2:$B$10000,$A6)</f>
        <v>0</v>
      </c>
      <c r="P6">
        <f>SUMIFS(Capital_Investments!P$2:P$10000,Capital_Investments!$B$2:$B$10000,$A6)</f>
        <v>0</v>
      </c>
      <c r="Q6">
        <f>SUMIFS(Capital_Investments!Q$2:Q$10000,Capital_Investments!$B$2:$B$10000,$A6)</f>
        <v>816.30420000000004</v>
      </c>
      <c r="R6">
        <f>SUMIFS(Capital_Investments!R$2:R$10000,Capital_Investments!$B$2:$B$10000,$A6)</f>
        <v>8080.9310999999998</v>
      </c>
      <c r="S6">
        <f>SUMIFS(Capital_Investments!S$2:S$10000,Capital_Investments!$B$2:$B$10000,$A6)</f>
        <v>477.4</v>
      </c>
      <c r="T6">
        <f>SUMIFS(Capital_Investments!T$2:T$10000,Capital_Investments!$B$2:$B$10000,$A6)</f>
        <v>2684.88</v>
      </c>
      <c r="U6">
        <f>SUMIFS(Capital_Investments!U$2:U$10000,Capital_Investments!$B$2:$B$10000,$A6)</f>
        <v>0</v>
      </c>
      <c r="V6">
        <f>SUMIFS(Capital_Investments!V$2:V$10000,Capital_Investments!$B$2:$B$10000,$A6)</f>
        <v>0</v>
      </c>
      <c r="W6">
        <f>SUMIFS(Capital_Investments!W$2:W$10000,Capital_Investments!$B$2:$B$10000,$A6)</f>
        <v>0</v>
      </c>
      <c r="X6">
        <f>SUMIFS(Capital_Investments!X$2:X$10000,Capital_Investments!$B$2:$B$10000,$A6)</f>
        <v>0</v>
      </c>
      <c r="Y6">
        <f>SUMIFS(Capital_Investments!Y$2:Y$10000,Capital_Investments!$B$2:$B$10000,$A6)</f>
        <v>0</v>
      </c>
      <c r="Z6">
        <f>SUMIFS(Capital_Investments!Z$2:Z$10000,Capital_Investments!$B$2:$B$10000,$A6)</f>
        <v>0</v>
      </c>
      <c r="AA6">
        <f>SUMIFS(Capital_Investments!AA$2:AA$10000,Capital_Investments!$B$2:$B$10000,$A6)</f>
        <v>0</v>
      </c>
      <c r="AB6">
        <f>SUMIFS(Capital_Investments!AB$2:AB$10000,Capital_Investments!$B$2:$B$10000,$A6)</f>
        <v>0</v>
      </c>
      <c r="AC6">
        <f>SUMIFS(Capital_Investments!AC$2:AC$10000,Capital_Investments!$B$2:$B$10000,$A6)</f>
        <v>0</v>
      </c>
      <c r="AD6">
        <f>SUMIFS(Capital_Investments!AD$2:AD$10000,Capital_Investments!$B$2:$B$10000,$A6)</f>
        <v>0</v>
      </c>
      <c r="AE6">
        <f>SUMIFS(Capital_Investments!AE$2:AE$10000,Capital_Investments!$B$2:$B$10000,$A6)</f>
        <v>0</v>
      </c>
      <c r="AF6">
        <f>SUMIFS(Capital_Investments!AF$2:AF$10000,Capital_Investments!$B$2:$B$10000,$A6)</f>
        <v>0</v>
      </c>
      <c r="AG6">
        <f>SUMIFS(Capital_Investments!AG$2:AG$10000,Capital_Investments!$B$2:$B$10000,$A6)</f>
        <v>0</v>
      </c>
    </row>
    <row r="7" spans="1:58">
      <c r="A7" t="s">
        <v>141</v>
      </c>
      <c r="C7">
        <f>SUMIFS(Capital_Investments!C$2:C$10000,Capital_Investments!$B$2:$B$10000,$A7)</f>
        <v>0</v>
      </c>
      <c r="D7">
        <f>SUMIFS(Capital_Investments!D$2:D$10000,Capital_Investments!$B$2:$B$10000,$A7)</f>
        <v>0</v>
      </c>
      <c r="E7">
        <f>SUMIFS(Capital_Investments!E$2:E$10000,Capital_Investments!$B$2:$B$10000,$A7)</f>
        <v>0</v>
      </c>
      <c r="F7">
        <f>SUMIFS(Capital_Investments!F$2:F$10000,Capital_Investments!$B$2:$B$10000,$A7)</f>
        <v>0</v>
      </c>
      <c r="G7">
        <f>SUMIFS(Capital_Investments!G$2:G$10000,Capital_Investments!$B$2:$B$10000,$A7)</f>
        <v>0</v>
      </c>
      <c r="H7">
        <f>SUMIFS(Capital_Investments!H$2:H$10000,Capital_Investments!$B$2:$B$10000,$A7)</f>
        <v>0</v>
      </c>
      <c r="I7">
        <f>SUMIFS(Capital_Investments!I$2:I$10000,Capital_Investments!$B$2:$B$10000,$A7)</f>
        <v>0</v>
      </c>
      <c r="J7">
        <f>SUMIFS(Capital_Investments!J$2:J$10000,Capital_Investments!$B$2:$B$10000,$A7)</f>
        <v>0</v>
      </c>
      <c r="K7">
        <f>SUMIFS(Capital_Investments!K$2:K$10000,Capital_Investments!$B$2:$B$10000,$A7)</f>
        <v>0</v>
      </c>
      <c r="L7">
        <f>SUMIFS(Capital_Investments!L$2:L$10000,Capital_Investments!$B$2:$B$10000,$A7)</f>
        <v>0</v>
      </c>
      <c r="M7">
        <f>SUMIFS(Capital_Investments!M$2:M$10000,Capital_Investments!$B$2:$B$10000,$A7)</f>
        <v>0</v>
      </c>
      <c r="N7">
        <f>SUMIFS(Capital_Investments!N$2:N$10000,Capital_Investments!$B$2:$B$10000,$A7)</f>
        <v>0</v>
      </c>
      <c r="O7">
        <f>SUMIFS(Capital_Investments!O$2:O$10000,Capital_Investments!$B$2:$B$10000,$A7)</f>
        <v>0</v>
      </c>
      <c r="P7">
        <f>SUMIFS(Capital_Investments!P$2:P$10000,Capital_Investments!$B$2:$B$10000,$A7)</f>
        <v>0</v>
      </c>
      <c r="Q7">
        <f>SUMIFS(Capital_Investments!Q$2:Q$10000,Capital_Investments!$B$2:$B$10000,$A7)</f>
        <v>0</v>
      </c>
      <c r="R7">
        <f>SUMIFS(Capital_Investments!R$2:R$10000,Capital_Investments!$B$2:$B$10000,$A7)</f>
        <v>0</v>
      </c>
      <c r="S7">
        <f>SUMIFS(Capital_Investments!S$2:S$10000,Capital_Investments!$B$2:$B$10000,$A7)</f>
        <v>0</v>
      </c>
      <c r="T7">
        <f>SUMIFS(Capital_Investments!T$2:T$10000,Capital_Investments!$B$2:$B$10000,$A7)</f>
        <v>0</v>
      </c>
      <c r="U7">
        <f>SUMIFS(Capital_Investments!U$2:U$10000,Capital_Investments!$B$2:$B$10000,$A7)</f>
        <v>0</v>
      </c>
      <c r="V7">
        <f>SUMIFS(Capital_Investments!V$2:V$10000,Capital_Investments!$B$2:$B$10000,$A7)</f>
        <v>0</v>
      </c>
      <c r="W7">
        <f>SUMIFS(Capital_Investments!W$2:W$10000,Capital_Investments!$B$2:$B$10000,$A7)</f>
        <v>0</v>
      </c>
      <c r="X7">
        <f>SUMIFS(Capital_Investments!X$2:X$10000,Capital_Investments!$B$2:$B$10000,$A7)</f>
        <v>0</v>
      </c>
      <c r="Y7">
        <f>SUMIFS(Capital_Investments!Y$2:Y$10000,Capital_Investments!$B$2:$B$10000,$A7)</f>
        <v>0</v>
      </c>
      <c r="Z7">
        <f>SUMIFS(Capital_Investments!Z$2:Z$10000,Capital_Investments!$B$2:$B$10000,$A7)</f>
        <v>0</v>
      </c>
      <c r="AA7">
        <f>SUMIFS(Capital_Investments!AA$2:AA$10000,Capital_Investments!$B$2:$B$10000,$A7)</f>
        <v>0</v>
      </c>
      <c r="AB7">
        <f>SUMIFS(Capital_Investments!AB$2:AB$10000,Capital_Investments!$B$2:$B$10000,$A7)</f>
        <v>0</v>
      </c>
      <c r="AC7">
        <f>SUMIFS(Capital_Investments!AC$2:AC$10000,Capital_Investments!$B$2:$B$10000,$A7)</f>
        <v>0</v>
      </c>
      <c r="AD7">
        <f>SUMIFS(Capital_Investments!AD$2:AD$10000,Capital_Investments!$B$2:$B$10000,$A7)</f>
        <v>0</v>
      </c>
      <c r="AE7">
        <f>SUMIFS(Capital_Investments!AE$2:AE$10000,Capital_Investments!$B$2:$B$10000,$A7)</f>
        <v>0</v>
      </c>
      <c r="AF7">
        <f>SUMIFS(Capital_Investments!AF$2:AF$10000,Capital_Investments!$B$2:$B$10000,$A7)</f>
        <v>0</v>
      </c>
      <c r="AG7">
        <f>SUMIFS(Capital_Investments!AG$2:AG$10000,Capital_Investments!$B$2:$B$10000,$A7)</f>
        <v>0</v>
      </c>
    </row>
    <row r="8" spans="1:58">
      <c r="A8" t="s">
        <v>142</v>
      </c>
      <c r="C8">
        <f>SUMIFS(Capital_Investments!C$2:C$10000,Capital_Investments!$B$2:$B$10000,$A8)</f>
        <v>0</v>
      </c>
      <c r="D8">
        <f>SUMIFS(Capital_Investments!D$2:D$10000,Capital_Investments!$B$2:$B$10000,$A8)</f>
        <v>1595</v>
      </c>
      <c r="E8">
        <f>SUMIFS(Capital_Investments!E$2:E$10000,Capital_Investments!$B$2:$B$10000,$A8)</f>
        <v>1692.68</v>
      </c>
      <c r="F8">
        <f>SUMIFS(Capital_Investments!F$2:F$10000,Capital_Investments!$B$2:$B$10000,$A8)</f>
        <v>0</v>
      </c>
      <c r="G8">
        <f>SUMIFS(Capital_Investments!G$2:G$10000,Capital_Investments!$B$2:$B$10000,$A8)</f>
        <v>1320</v>
      </c>
      <c r="H8">
        <f>SUMIFS(Capital_Investments!H$2:H$10000,Capital_Investments!$B$2:$B$10000,$A8)</f>
        <v>0</v>
      </c>
      <c r="I8">
        <f>SUMIFS(Capital_Investments!I$2:I$10000,Capital_Investments!$B$2:$B$10000,$A8)</f>
        <v>0</v>
      </c>
      <c r="J8">
        <f>SUMIFS(Capital_Investments!J$2:J$10000,Capital_Investments!$B$2:$B$10000,$A8)</f>
        <v>3254.5245</v>
      </c>
      <c r="K8">
        <f>SUMIFS(Capital_Investments!K$2:K$10000,Capital_Investments!$B$2:$B$10000,$A8)</f>
        <v>3242.154</v>
      </c>
      <c r="L8">
        <f>SUMIFS(Capital_Investments!L$2:L$10000,Capital_Investments!$B$2:$B$10000,$A8)</f>
        <v>3226.7269999999999</v>
      </c>
      <c r="M8">
        <f>SUMIFS(Capital_Investments!M$2:M$10000,Capital_Investments!$B$2:$B$10000,$A8)</f>
        <v>15215.187</v>
      </c>
      <c r="N8">
        <f>SUMIFS(Capital_Investments!N$2:N$10000,Capital_Investments!$B$2:$B$10000,$A8)</f>
        <v>0</v>
      </c>
      <c r="O8">
        <f>SUMIFS(Capital_Investments!O$2:O$10000,Capital_Investments!$B$2:$B$10000,$A8)</f>
        <v>0</v>
      </c>
      <c r="P8">
        <f>SUMIFS(Capital_Investments!P$2:P$10000,Capital_Investments!$B$2:$B$10000,$A8)</f>
        <v>0</v>
      </c>
      <c r="Q8">
        <f>SUMIFS(Capital_Investments!Q$2:Q$10000,Capital_Investments!$B$2:$B$10000,$A8)</f>
        <v>0</v>
      </c>
      <c r="R8">
        <f>SUMIFS(Capital_Investments!R$2:R$10000,Capital_Investments!$B$2:$B$10000,$A8)</f>
        <v>0</v>
      </c>
      <c r="S8">
        <f>SUMIFS(Capital_Investments!S$2:S$10000,Capital_Investments!$B$2:$B$10000,$A8)</f>
        <v>0</v>
      </c>
      <c r="T8">
        <f>SUMIFS(Capital_Investments!T$2:T$10000,Capital_Investments!$B$2:$B$10000,$A8)</f>
        <v>0</v>
      </c>
      <c r="U8">
        <f>SUMIFS(Capital_Investments!U$2:U$10000,Capital_Investments!$B$2:$B$10000,$A8)</f>
        <v>0</v>
      </c>
      <c r="V8">
        <f>SUMIFS(Capital_Investments!V$2:V$10000,Capital_Investments!$B$2:$B$10000,$A8)</f>
        <v>0</v>
      </c>
      <c r="W8">
        <f>SUMIFS(Capital_Investments!W$2:W$10000,Capital_Investments!$B$2:$B$10000,$A8)</f>
        <v>0</v>
      </c>
      <c r="X8">
        <f>SUMIFS(Capital_Investments!X$2:X$10000,Capital_Investments!$B$2:$B$10000,$A8)</f>
        <v>0</v>
      </c>
      <c r="Y8">
        <f>SUMIFS(Capital_Investments!Y$2:Y$10000,Capital_Investments!$B$2:$B$10000,$A8)</f>
        <v>0</v>
      </c>
      <c r="Z8">
        <f>SUMIFS(Capital_Investments!Z$2:Z$10000,Capital_Investments!$B$2:$B$10000,$A8)</f>
        <v>0</v>
      </c>
      <c r="AA8">
        <f>SUMIFS(Capital_Investments!AA$2:AA$10000,Capital_Investments!$B$2:$B$10000,$A8)</f>
        <v>0</v>
      </c>
      <c r="AB8">
        <f>SUMIFS(Capital_Investments!AB$2:AB$10000,Capital_Investments!$B$2:$B$10000,$A8)</f>
        <v>0</v>
      </c>
      <c r="AC8">
        <f>SUMIFS(Capital_Investments!AC$2:AC$10000,Capital_Investments!$B$2:$B$10000,$A8)</f>
        <v>0</v>
      </c>
      <c r="AD8">
        <f>SUMIFS(Capital_Investments!AD$2:AD$10000,Capital_Investments!$B$2:$B$10000,$A8)</f>
        <v>0</v>
      </c>
      <c r="AE8">
        <f>SUMIFS(Capital_Investments!AE$2:AE$10000,Capital_Investments!$B$2:$B$10000,$A8)</f>
        <v>0</v>
      </c>
      <c r="AF8">
        <f>SUMIFS(Capital_Investments!AF$2:AF$10000,Capital_Investments!$B$2:$B$10000,$A8)</f>
        <v>0</v>
      </c>
      <c r="AG8">
        <f>SUMIFS(Capital_Investments!AG$2:AG$10000,Capital_Investments!$B$2:$B$10000,$A8)</f>
        <v>0</v>
      </c>
    </row>
    <row r="9" spans="1:58">
      <c r="A9" t="s">
        <v>143</v>
      </c>
      <c r="C9">
        <f>SUMIFS(Capital_Investments!C$2:C$10000,Capital_Investments!$B$2:$B$10000,$A9)</f>
        <v>0</v>
      </c>
      <c r="D9">
        <f>SUMIFS(Capital_Investments!D$2:D$10000,Capital_Investments!$B$2:$B$10000,$A9)</f>
        <v>0</v>
      </c>
      <c r="E9">
        <f>SUMIFS(Capital_Investments!E$2:E$10000,Capital_Investments!$B$2:$B$10000,$A9)</f>
        <v>0</v>
      </c>
      <c r="F9">
        <f>SUMIFS(Capital_Investments!F$2:F$10000,Capital_Investments!$B$2:$B$10000,$A9)</f>
        <v>0</v>
      </c>
      <c r="G9">
        <f>SUMIFS(Capital_Investments!G$2:G$10000,Capital_Investments!$B$2:$B$10000,$A9)</f>
        <v>0</v>
      </c>
      <c r="H9">
        <f>SUMIFS(Capital_Investments!H$2:H$10000,Capital_Investments!$B$2:$B$10000,$A9)</f>
        <v>0</v>
      </c>
      <c r="I9">
        <f>SUMIFS(Capital_Investments!I$2:I$10000,Capital_Investments!$B$2:$B$10000,$A9)</f>
        <v>0</v>
      </c>
      <c r="J9">
        <f>SUMIFS(Capital_Investments!J$2:J$10000,Capital_Investments!$B$2:$B$10000,$A9)</f>
        <v>0</v>
      </c>
      <c r="K9">
        <f>SUMIFS(Capital_Investments!K$2:K$10000,Capital_Investments!$B$2:$B$10000,$A9)</f>
        <v>0</v>
      </c>
      <c r="L9">
        <f>SUMIFS(Capital_Investments!L$2:L$10000,Capital_Investments!$B$2:$B$10000,$A9)</f>
        <v>0</v>
      </c>
      <c r="M9">
        <f>SUMIFS(Capital_Investments!M$2:M$10000,Capital_Investments!$B$2:$B$10000,$A9)</f>
        <v>0</v>
      </c>
      <c r="N9">
        <f>SUMIFS(Capital_Investments!N$2:N$10000,Capital_Investments!$B$2:$B$10000,$A9)</f>
        <v>0</v>
      </c>
      <c r="O9">
        <f>SUMIFS(Capital_Investments!O$2:O$10000,Capital_Investments!$B$2:$B$10000,$A9)</f>
        <v>0</v>
      </c>
      <c r="P9">
        <f>SUMIFS(Capital_Investments!P$2:P$10000,Capital_Investments!$B$2:$B$10000,$A9)</f>
        <v>0</v>
      </c>
      <c r="Q9">
        <f>SUMIFS(Capital_Investments!Q$2:Q$10000,Capital_Investments!$B$2:$B$10000,$A9)</f>
        <v>0</v>
      </c>
      <c r="R9">
        <f>SUMIFS(Capital_Investments!R$2:R$10000,Capital_Investments!$B$2:$B$10000,$A9)</f>
        <v>0</v>
      </c>
      <c r="S9">
        <f>SUMIFS(Capital_Investments!S$2:S$10000,Capital_Investments!$B$2:$B$10000,$A9)</f>
        <v>0</v>
      </c>
      <c r="T9">
        <f>SUMIFS(Capital_Investments!T$2:T$10000,Capital_Investments!$B$2:$B$10000,$A9)</f>
        <v>0</v>
      </c>
      <c r="U9">
        <f>SUMIFS(Capital_Investments!U$2:U$10000,Capital_Investments!$B$2:$B$10000,$A9)</f>
        <v>0</v>
      </c>
      <c r="V9">
        <f>SUMIFS(Capital_Investments!V$2:V$10000,Capital_Investments!$B$2:$B$10000,$A9)</f>
        <v>0</v>
      </c>
      <c r="W9">
        <f>SUMIFS(Capital_Investments!W$2:W$10000,Capital_Investments!$B$2:$B$10000,$A9)</f>
        <v>0</v>
      </c>
      <c r="X9">
        <f>SUMIFS(Capital_Investments!X$2:X$10000,Capital_Investments!$B$2:$B$10000,$A9)</f>
        <v>0</v>
      </c>
      <c r="Y9">
        <f>SUMIFS(Capital_Investments!Y$2:Y$10000,Capital_Investments!$B$2:$B$10000,$A9)</f>
        <v>0</v>
      </c>
      <c r="Z9">
        <f>SUMIFS(Capital_Investments!Z$2:Z$10000,Capital_Investments!$B$2:$B$10000,$A9)</f>
        <v>0</v>
      </c>
      <c r="AA9">
        <f>SUMIFS(Capital_Investments!AA$2:AA$10000,Capital_Investments!$B$2:$B$10000,$A9)</f>
        <v>0</v>
      </c>
      <c r="AB9">
        <f>SUMIFS(Capital_Investments!AB$2:AB$10000,Capital_Investments!$B$2:$B$10000,$A9)</f>
        <v>0</v>
      </c>
      <c r="AC9">
        <f>SUMIFS(Capital_Investments!AC$2:AC$10000,Capital_Investments!$B$2:$B$10000,$A9)</f>
        <v>0</v>
      </c>
      <c r="AD9">
        <f>SUMIFS(Capital_Investments!AD$2:AD$10000,Capital_Investments!$B$2:$B$10000,$A9)</f>
        <v>0</v>
      </c>
      <c r="AE9">
        <f>SUMIFS(Capital_Investments!AE$2:AE$10000,Capital_Investments!$B$2:$B$10000,$A9)</f>
        <v>0</v>
      </c>
      <c r="AF9">
        <f>SUMIFS(Capital_Investments!AF$2:AF$10000,Capital_Investments!$B$2:$B$10000,$A9)</f>
        <v>0</v>
      </c>
      <c r="AG9">
        <f>SUMIFS(Capital_Investments!AG$2:AG$10000,Capital_Investments!$B$2:$B$10000,$A9)</f>
        <v>0</v>
      </c>
    </row>
    <row r="10" spans="1:58">
      <c r="A10" t="s">
        <v>144</v>
      </c>
      <c r="C10">
        <f>SUMIFS(Capital_Investments!C$2:C$10000,Capital_Investments!$B$2:$B$10000,$A10)</f>
        <v>0</v>
      </c>
      <c r="D10">
        <f>SUMIFS(Capital_Investments!D$2:D$10000,Capital_Investments!$B$2:$B$10000,$A10)</f>
        <v>0</v>
      </c>
      <c r="E10">
        <f>SUMIFS(Capital_Investments!E$2:E$10000,Capital_Investments!$B$2:$B$10000,$A10)</f>
        <v>0</v>
      </c>
      <c r="F10">
        <f>SUMIFS(Capital_Investments!F$2:F$10000,Capital_Investments!$B$2:$B$10000,$A10)</f>
        <v>0</v>
      </c>
      <c r="G10">
        <f>SUMIFS(Capital_Investments!G$2:G$10000,Capital_Investments!$B$2:$B$10000,$A10)</f>
        <v>0</v>
      </c>
      <c r="H10">
        <f>SUMIFS(Capital_Investments!H$2:H$10000,Capital_Investments!$B$2:$B$10000,$A10)</f>
        <v>0</v>
      </c>
      <c r="I10">
        <f>SUMIFS(Capital_Investments!I$2:I$10000,Capital_Investments!$B$2:$B$10000,$A10)</f>
        <v>0</v>
      </c>
      <c r="J10">
        <f>SUMIFS(Capital_Investments!J$2:J$10000,Capital_Investments!$B$2:$B$10000,$A10)</f>
        <v>0</v>
      </c>
      <c r="K10">
        <f>SUMIFS(Capital_Investments!K$2:K$10000,Capital_Investments!$B$2:$B$10000,$A10)</f>
        <v>0</v>
      </c>
      <c r="L10">
        <f>SUMIFS(Capital_Investments!L$2:L$10000,Capital_Investments!$B$2:$B$10000,$A10)</f>
        <v>0</v>
      </c>
      <c r="M10">
        <f>SUMIFS(Capital_Investments!M$2:M$10000,Capital_Investments!$B$2:$B$10000,$A10)</f>
        <v>0</v>
      </c>
      <c r="N10">
        <f>SUMIFS(Capital_Investments!N$2:N$10000,Capital_Investments!$B$2:$B$10000,$A10)</f>
        <v>0</v>
      </c>
      <c r="O10">
        <f>SUMIFS(Capital_Investments!O$2:O$10000,Capital_Investments!$B$2:$B$10000,$A10)</f>
        <v>0</v>
      </c>
      <c r="P10">
        <f>SUMIFS(Capital_Investments!P$2:P$10000,Capital_Investments!$B$2:$B$10000,$A10)</f>
        <v>0</v>
      </c>
      <c r="Q10">
        <f>SUMIFS(Capital_Investments!Q$2:Q$10000,Capital_Investments!$B$2:$B$10000,$A10)</f>
        <v>0</v>
      </c>
      <c r="R10">
        <f>SUMIFS(Capital_Investments!R$2:R$10000,Capital_Investments!$B$2:$B$10000,$A10)</f>
        <v>0</v>
      </c>
      <c r="S10">
        <f>SUMIFS(Capital_Investments!S$2:S$10000,Capital_Investments!$B$2:$B$10000,$A10)</f>
        <v>0</v>
      </c>
      <c r="T10">
        <f>SUMIFS(Capital_Investments!T$2:T$10000,Capital_Investments!$B$2:$B$10000,$A10)</f>
        <v>0</v>
      </c>
      <c r="U10">
        <f>SUMIFS(Capital_Investments!U$2:U$10000,Capital_Investments!$B$2:$B$10000,$A10)</f>
        <v>0</v>
      </c>
      <c r="V10">
        <f>SUMIFS(Capital_Investments!V$2:V$10000,Capital_Investments!$B$2:$B$10000,$A10)</f>
        <v>0</v>
      </c>
      <c r="W10">
        <f>SUMIFS(Capital_Investments!W$2:W$10000,Capital_Investments!$B$2:$B$10000,$A10)</f>
        <v>0</v>
      </c>
      <c r="X10">
        <f>SUMIFS(Capital_Investments!X$2:X$10000,Capital_Investments!$B$2:$B$10000,$A10)</f>
        <v>0</v>
      </c>
      <c r="Y10">
        <f>SUMIFS(Capital_Investments!Y$2:Y$10000,Capital_Investments!$B$2:$B$10000,$A10)</f>
        <v>0</v>
      </c>
      <c r="Z10">
        <f>SUMIFS(Capital_Investments!Z$2:Z$10000,Capital_Investments!$B$2:$B$10000,$A10)</f>
        <v>0</v>
      </c>
      <c r="AA10">
        <f>SUMIFS(Capital_Investments!AA$2:AA$10000,Capital_Investments!$B$2:$B$10000,$A10)</f>
        <v>0</v>
      </c>
      <c r="AB10">
        <f>SUMIFS(Capital_Investments!AB$2:AB$10000,Capital_Investments!$B$2:$B$10000,$A10)</f>
        <v>0</v>
      </c>
      <c r="AC10">
        <f>SUMIFS(Capital_Investments!AC$2:AC$10000,Capital_Investments!$B$2:$B$10000,$A10)</f>
        <v>0</v>
      </c>
      <c r="AD10">
        <f>SUMIFS(Capital_Investments!AD$2:AD$10000,Capital_Investments!$B$2:$B$10000,$A10)</f>
        <v>0</v>
      </c>
      <c r="AE10">
        <f>SUMIFS(Capital_Investments!AE$2:AE$10000,Capital_Investments!$B$2:$B$10000,$A10)</f>
        <v>0</v>
      </c>
      <c r="AF10">
        <f>SUMIFS(Capital_Investments!AF$2:AF$10000,Capital_Investments!$B$2:$B$10000,$A10)</f>
        <v>0</v>
      </c>
      <c r="AG10">
        <f>SUMIFS(Capital_Investments!AG$2:AG$10000,Capital_Investments!$B$2:$B$10000,$A10)</f>
        <v>0</v>
      </c>
    </row>
    <row r="11" spans="1:58">
      <c r="A11" t="s">
        <v>145</v>
      </c>
      <c r="C11">
        <f>SUMIFS(Capital_Investments!C$2:C$10000,Capital_Investments!$B$2:$B$10000,$A11)</f>
        <v>4389.9543999999996</v>
      </c>
      <c r="D11">
        <f>SUMIFS(Capital_Investments!D$2:D$10000,Capital_Investments!$B$2:$B$10000,$A11)</f>
        <v>7663.7159000000001</v>
      </c>
      <c r="E11">
        <f>SUMIFS(Capital_Investments!E$2:E$10000,Capital_Investments!$B$2:$B$10000,$A11)</f>
        <v>47.7</v>
      </c>
      <c r="F11">
        <f>SUMIFS(Capital_Investments!F$2:F$10000,Capital_Investments!$B$2:$B$10000,$A11)</f>
        <v>140.4</v>
      </c>
      <c r="G11">
        <f>SUMIFS(Capital_Investments!G$2:G$10000,Capital_Investments!$B$2:$B$10000,$A11)</f>
        <v>105.6</v>
      </c>
      <c r="H11">
        <f>SUMIFS(Capital_Investments!H$2:H$10000,Capital_Investments!$B$2:$B$10000,$A11)</f>
        <v>0</v>
      </c>
      <c r="I11">
        <f>SUMIFS(Capital_Investments!I$2:I$10000,Capital_Investments!$B$2:$B$10000,$A11)</f>
        <v>0</v>
      </c>
      <c r="J11">
        <f>SUMIFS(Capital_Investments!J$2:J$10000,Capital_Investments!$B$2:$B$10000,$A11)</f>
        <v>0</v>
      </c>
      <c r="K11">
        <f>SUMIFS(Capital_Investments!K$2:K$10000,Capital_Investments!$B$2:$B$10000,$A11)</f>
        <v>0</v>
      </c>
      <c r="L11">
        <f>SUMIFS(Capital_Investments!L$2:L$10000,Capital_Investments!$B$2:$B$10000,$A11)</f>
        <v>0</v>
      </c>
      <c r="M11">
        <f>SUMIFS(Capital_Investments!M$2:M$10000,Capital_Investments!$B$2:$B$10000,$A11)</f>
        <v>0</v>
      </c>
      <c r="N11">
        <f>SUMIFS(Capital_Investments!N$2:N$10000,Capital_Investments!$B$2:$B$10000,$A11)</f>
        <v>0</v>
      </c>
      <c r="O11">
        <f>SUMIFS(Capital_Investments!O$2:O$10000,Capital_Investments!$B$2:$B$10000,$A11)</f>
        <v>0</v>
      </c>
      <c r="P11">
        <f>SUMIFS(Capital_Investments!P$2:P$10000,Capital_Investments!$B$2:$B$10000,$A11)</f>
        <v>0</v>
      </c>
      <c r="Q11">
        <f>SUMIFS(Capital_Investments!Q$2:Q$10000,Capital_Investments!$B$2:$B$10000,$A11)</f>
        <v>0</v>
      </c>
      <c r="R11">
        <f>SUMIFS(Capital_Investments!R$2:R$10000,Capital_Investments!$B$2:$B$10000,$A11)</f>
        <v>0</v>
      </c>
      <c r="S11">
        <f>SUMIFS(Capital_Investments!S$2:S$10000,Capital_Investments!$B$2:$B$10000,$A11)</f>
        <v>0</v>
      </c>
      <c r="T11">
        <f>SUMIFS(Capital_Investments!T$2:T$10000,Capital_Investments!$B$2:$B$10000,$A11)</f>
        <v>0</v>
      </c>
      <c r="U11">
        <f>SUMIFS(Capital_Investments!U$2:U$10000,Capital_Investments!$B$2:$B$10000,$A11)</f>
        <v>0</v>
      </c>
      <c r="V11">
        <f>SUMIFS(Capital_Investments!V$2:V$10000,Capital_Investments!$B$2:$B$10000,$A11)</f>
        <v>0</v>
      </c>
      <c r="W11">
        <f>SUMIFS(Capital_Investments!W$2:W$10000,Capital_Investments!$B$2:$B$10000,$A11)</f>
        <v>0</v>
      </c>
      <c r="X11">
        <f>SUMIFS(Capital_Investments!X$2:X$10000,Capital_Investments!$B$2:$B$10000,$A11)</f>
        <v>0</v>
      </c>
      <c r="Y11">
        <f>SUMIFS(Capital_Investments!Y$2:Y$10000,Capital_Investments!$B$2:$B$10000,$A11)</f>
        <v>0</v>
      </c>
      <c r="Z11">
        <f>SUMIFS(Capital_Investments!Z$2:Z$10000,Capital_Investments!$B$2:$B$10000,$A11)</f>
        <v>0</v>
      </c>
      <c r="AA11">
        <f>SUMIFS(Capital_Investments!AA$2:AA$10000,Capital_Investments!$B$2:$B$10000,$A11)</f>
        <v>0</v>
      </c>
      <c r="AB11">
        <f>SUMIFS(Capital_Investments!AB$2:AB$10000,Capital_Investments!$B$2:$B$10000,$A11)</f>
        <v>0</v>
      </c>
      <c r="AC11">
        <f>SUMIFS(Capital_Investments!AC$2:AC$10000,Capital_Investments!$B$2:$B$10000,$A11)</f>
        <v>0</v>
      </c>
      <c r="AD11">
        <f>SUMIFS(Capital_Investments!AD$2:AD$10000,Capital_Investments!$B$2:$B$10000,$A11)</f>
        <v>0</v>
      </c>
      <c r="AE11">
        <f>SUMIFS(Capital_Investments!AE$2:AE$10000,Capital_Investments!$B$2:$B$10000,$A11)</f>
        <v>0</v>
      </c>
      <c r="AF11">
        <f>SUMIFS(Capital_Investments!AF$2:AF$10000,Capital_Investments!$B$2:$B$10000,$A11)</f>
        <v>0</v>
      </c>
      <c r="AG11">
        <f>SUMIFS(Capital_Investments!AG$2:AG$10000,Capital_Investments!$B$2:$B$10000,$A11)</f>
        <v>0</v>
      </c>
    </row>
    <row r="12" spans="1:58">
      <c r="A12" t="s">
        <v>146</v>
      </c>
      <c r="C12">
        <f>SUMIFS(Capital_Investments!C$2:C$10000,Capital_Investments!$B$2:$B$10000,$A12)</f>
        <v>0</v>
      </c>
      <c r="D12">
        <f>SUMIFS(Capital_Investments!D$2:D$10000,Capital_Investments!$B$2:$B$10000,$A12)</f>
        <v>0</v>
      </c>
      <c r="E12">
        <f>SUMIFS(Capital_Investments!E$2:E$10000,Capital_Investments!$B$2:$B$10000,$A12)</f>
        <v>0</v>
      </c>
      <c r="F12">
        <f>SUMIFS(Capital_Investments!F$2:F$10000,Capital_Investments!$B$2:$B$10000,$A12)</f>
        <v>0</v>
      </c>
      <c r="G12">
        <f>SUMIFS(Capital_Investments!G$2:G$10000,Capital_Investments!$B$2:$B$10000,$A12)</f>
        <v>0</v>
      </c>
      <c r="H12">
        <f>SUMIFS(Capital_Investments!H$2:H$10000,Capital_Investments!$B$2:$B$10000,$A12)</f>
        <v>1056</v>
      </c>
      <c r="I12">
        <f>SUMIFS(Capital_Investments!I$2:I$10000,Capital_Investments!$B$2:$B$10000,$A12)</f>
        <v>0</v>
      </c>
      <c r="J12">
        <f>SUMIFS(Capital_Investments!J$2:J$10000,Capital_Investments!$B$2:$B$10000,$A12)</f>
        <v>0</v>
      </c>
      <c r="K12">
        <f>SUMIFS(Capital_Investments!K$2:K$10000,Capital_Investments!$B$2:$B$10000,$A12)</f>
        <v>0</v>
      </c>
      <c r="L12">
        <f>SUMIFS(Capital_Investments!L$2:L$10000,Capital_Investments!$B$2:$B$10000,$A12)</f>
        <v>0</v>
      </c>
      <c r="M12">
        <f>SUMIFS(Capital_Investments!M$2:M$10000,Capital_Investments!$B$2:$B$10000,$A12)</f>
        <v>0</v>
      </c>
      <c r="N12">
        <f>SUMIFS(Capital_Investments!N$2:N$10000,Capital_Investments!$B$2:$B$10000,$A12)</f>
        <v>0</v>
      </c>
      <c r="O12">
        <f>SUMIFS(Capital_Investments!O$2:O$10000,Capital_Investments!$B$2:$B$10000,$A12)</f>
        <v>0</v>
      </c>
      <c r="P12">
        <f>SUMIFS(Capital_Investments!P$2:P$10000,Capital_Investments!$B$2:$B$10000,$A12)</f>
        <v>0</v>
      </c>
      <c r="Q12">
        <f>SUMIFS(Capital_Investments!Q$2:Q$10000,Capital_Investments!$B$2:$B$10000,$A12)</f>
        <v>0</v>
      </c>
      <c r="R12">
        <f>SUMIFS(Capital_Investments!R$2:R$10000,Capital_Investments!$B$2:$B$10000,$A12)</f>
        <v>0</v>
      </c>
      <c r="S12">
        <f>SUMIFS(Capital_Investments!S$2:S$10000,Capital_Investments!$B$2:$B$10000,$A12)</f>
        <v>0</v>
      </c>
      <c r="T12">
        <f>SUMIFS(Capital_Investments!T$2:T$10000,Capital_Investments!$B$2:$B$10000,$A12)</f>
        <v>0</v>
      </c>
      <c r="U12">
        <f>SUMIFS(Capital_Investments!U$2:U$10000,Capital_Investments!$B$2:$B$10000,$A12)</f>
        <v>0</v>
      </c>
      <c r="V12">
        <f>SUMIFS(Capital_Investments!V$2:V$10000,Capital_Investments!$B$2:$B$10000,$A12)</f>
        <v>2256.6975000000002</v>
      </c>
      <c r="W12">
        <f>SUMIFS(Capital_Investments!W$2:W$10000,Capital_Investments!$B$2:$B$10000,$A12)</f>
        <v>3361.3616999999999</v>
      </c>
      <c r="X12">
        <f>SUMIFS(Capital_Investments!X$2:X$10000,Capital_Investments!$B$2:$B$10000,$A12)</f>
        <v>626.64319999999998</v>
      </c>
      <c r="Y12">
        <f>SUMIFS(Capital_Investments!Y$2:Y$10000,Capital_Investments!$B$2:$B$10000,$A12)</f>
        <v>687.00220000000002</v>
      </c>
      <c r="Z12">
        <f>SUMIFS(Capital_Investments!Z$2:Z$10000,Capital_Investments!$B$2:$B$10000,$A12)</f>
        <v>1028.2995000000001</v>
      </c>
      <c r="AA12">
        <f>SUMIFS(Capital_Investments!AA$2:AA$10000,Capital_Investments!$B$2:$B$10000,$A12)</f>
        <v>675.83780000000002</v>
      </c>
      <c r="AB12">
        <f>SUMIFS(Capital_Investments!AB$2:AB$10000,Capital_Investments!$B$2:$B$10000,$A12)</f>
        <v>427.24860000000001</v>
      </c>
      <c r="AC12">
        <f>SUMIFS(Capital_Investments!AC$2:AC$10000,Capital_Investments!$B$2:$B$10000,$A12)</f>
        <v>984.18529999999998</v>
      </c>
      <c r="AD12">
        <f>SUMIFS(Capital_Investments!AD$2:AD$10000,Capital_Investments!$B$2:$B$10000,$A12)</f>
        <v>0</v>
      </c>
      <c r="AE12">
        <f>SUMIFS(Capital_Investments!AE$2:AE$10000,Capital_Investments!$B$2:$B$10000,$A12)</f>
        <v>0</v>
      </c>
      <c r="AF12">
        <f>SUMIFS(Capital_Investments!AF$2:AF$10000,Capital_Investments!$B$2:$B$10000,$A12)</f>
        <v>0</v>
      </c>
      <c r="AG12">
        <f>SUMIFS(Capital_Investments!AG$2:AG$10000,Capital_Investments!$B$2:$B$10000,$A12)</f>
        <v>2024.2701</v>
      </c>
    </row>
    <row r="13" spans="1:58">
      <c r="A13" t="s">
        <v>147</v>
      </c>
      <c r="C13">
        <f>SUMIFS(Capital_Investments!C$2:C$10000,Capital_Investments!$B$2:$B$10000,$A13)</f>
        <v>0</v>
      </c>
      <c r="D13">
        <f>SUMIFS(Capital_Investments!D$2:D$10000,Capital_Investments!$B$2:$B$10000,$A13)</f>
        <v>0</v>
      </c>
      <c r="E13">
        <f>SUMIFS(Capital_Investments!E$2:E$10000,Capital_Investments!$B$2:$B$10000,$A13)</f>
        <v>0</v>
      </c>
      <c r="F13">
        <f>SUMIFS(Capital_Investments!F$2:F$10000,Capital_Investments!$B$2:$B$10000,$A13)</f>
        <v>0</v>
      </c>
      <c r="G13">
        <f>SUMIFS(Capital_Investments!G$2:G$10000,Capital_Investments!$B$2:$B$10000,$A13)</f>
        <v>0</v>
      </c>
      <c r="H13">
        <f>SUMIFS(Capital_Investments!H$2:H$10000,Capital_Investments!$B$2:$B$10000,$A13)</f>
        <v>0</v>
      </c>
      <c r="I13">
        <f>SUMIFS(Capital_Investments!I$2:I$10000,Capital_Investments!$B$2:$B$10000,$A13)</f>
        <v>0</v>
      </c>
      <c r="J13">
        <f>SUMIFS(Capital_Investments!J$2:J$10000,Capital_Investments!$B$2:$B$10000,$A13)</f>
        <v>0</v>
      </c>
      <c r="K13">
        <f>SUMIFS(Capital_Investments!K$2:K$10000,Capital_Investments!$B$2:$B$10000,$A13)</f>
        <v>0</v>
      </c>
      <c r="L13">
        <f>SUMIFS(Capital_Investments!L$2:L$10000,Capital_Investments!$B$2:$B$10000,$A13)</f>
        <v>0</v>
      </c>
      <c r="M13">
        <f>SUMIFS(Capital_Investments!M$2:M$10000,Capital_Investments!$B$2:$B$10000,$A13)</f>
        <v>0</v>
      </c>
      <c r="N13">
        <f>SUMIFS(Capital_Investments!N$2:N$10000,Capital_Investments!$B$2:$B$10000,$A13)</f>
        <v>0</v>
      </c>
      <c r="O13">
        <f>SUMIFS(Capital_Investments!O$2:O$10000,Capital_Investments!$B$2:$B$10000,$A13)</f>
        <v>0</v>
      </c>
      <c r="P13">
        <f>SUMIFS(Capital_Investments!P$2:P$10000,Capital_Investments!$B$2:$B$10000,$A13)</f>
        <v>0</v>
      </c>
      <c r="Q13">
        <f>SUMIFS(Capital_Investments!Q$2:Q$10000,Capital_Investments!$B$2:$B$10000,$A13)</f>
        <v>0</v>
      </c>
      <c r="R13">
        <f>SUMIFS(Capital_Investments!R$2:R$10000,Capital_Investments!$B$2:$B$10000,$A13)</f>
        <v>0</v>
      </c>
      <c r="S13">
        <f>SUMIFS(Capital_Investments!S$2:S$10000,Capital_Investments!$B$2:$B$10000,$A13)</f>
        <v>0</v>
      </c>
      <c r="T13">
        <f>SUMIFS(Capital_Investments!T$2:T$10000,Capital_Investments!$B$2:$B$10000,$A13)</f>
        <v>0</v>
      </c>
      <c r="U13">
        <f>SUMIFS(Capital_Investments!U$2:U$10000,Capital_Investments!$B$2:$B$10000,$A13)</f>
        <v>0</v>
      </c>
      <c r="V13">
        <f>SUMIFS(Capital_Investments!V$2:V$10000,Capital_Investments!$B$2:$B$10000,$A13)</f>
        <v>0</v>
      </c>
      <c r="W13">
        <f>SUMIFS(Capital_Investments!W$2:W$10000,Capital_Investments!$B$2:$B$10000,$A13)</f>
        <v>0</v>
      </c>
      <c r="X13">
        <f>SUMIFS(Capital_Investments!X$2:X$10000,Capital_Investments!$B$2:$B$10000,$A13)</f>
        <v>0</v>
      </c>
      <c r="Y13">
        <f>SUMIFS(Capital_Investments!Y$2:Y$10000,Capital_Investments!$B$2:$B$10000,$A13)</f>
        <v>0</v>
      </c>
      <c r="Z13">
        <f>SUMIFS(Capital_Investments!Z$2:Z$10000,Capital_Investments!$B$2:$B$10000,$A13)</f>
        <v>0</v>
      </c>
      <c r="AA13">
        <f>SUMIFS(Capital_Investments!AA$2:AA$10000,Capital_Investments!$B$2:$B$10000,$A13)</f>
        <v>0</v>
      </c>
      <c r="AB13">
        <f>SUMIFS(Capital_Investments!AB$2:AB$10000,Capital_Investments!$B$2:$B$10000,$A13)</f>
        <v>0</v>
      </c>
      <c r="AC13">
        <f>SUMIFS(Capital_Investments!AC$2:AC$10000,Capital_Investments!$B$2:$B$10000,$A13)</f>
        <v>0</v>
      </c>
      <c r="AD13">
        <f>SUMIFS(Capital_Investments!AD$2:AD$10000,Capital_Investments!$B$2:$B$10000,$A13)</f>
        <v>0</v>
      </c>
      <c r="AE13">
        <f>SUMIFS(Capital_Investments!AE$2:AE$10000,Capital_Investments!$B$2:$B$10000,$A13)</f>
        <v>0</v>
      </c>
      <c r="AF13">
        <f>SUMIFS(Capital_Investments!AF$2:AF$10000,Capital_Investments!$B$2:$B$10000,$A13)</f>
        <v>0</v>
      </c>
      <c r="AG13">
        <f>SUMIFS(Capital_Investments!AG$2:AG$10000,Capital_Investments!$B$2:$B$10000,$A13)</f>
        <v>0</v>
      </c>
    </row>
    <row r="14" spans="1:58">
      <c r="A14" t="s">
        <v>148</v>
      </c>
      <c r="C14">
        <f>SUMIFS(Capital_Investments!C$2:C$10000,Capital_Investments!$B$2:$B$10000,$A14)</f>
        <v>0</v>
      </c>
      <c r="D14">
        <f>SUMIFS(Capital_Investments!D$2:D$10000,Capital_Investments!$B$2:$B$10000,$A14)</f>
        <v>0</v>
      </c>
      <c r="E14">
        <f>SUMIFS(Capital_Investments!E$2:E$10000,Capital_Investments!$B$2:$B$10000,$A14)</f>
        <v>0</v>
      </c>
      <c r="F14">
        <f>SUMIFS(Capital_Investments!F$2:F$10000,Capital_Investments!$B$2:$B$10000,$A14)</f>
        <v>0</v>
      </c>
      <c r="G14">
        <f>SUMIFS(Capital_Investments!G$2:G$10000,Capital_Investments!$B$2:$B$10000,$A14)</f>
        <v>0</v>
      </c>
      <c r="H14">
        <f>SUMIFS(Capital_Investments!H$2:H$10000,Capital_Investments!$B$2:$B$10000,$A14)</f>
        <v>0</v>
      </c>
      <c r="I14">
        <f>SUMIFS(Capital_Investments!I$2:I$10000,Capital_Investments!$B$2:$B$10000,$A14)</f>
        <v>0</v>
      </c>
      <c r="J14">
        <f>SUMIFS(Capital_Investments!J$2:J$10000,Capital_Investments!$B$2:$B$10000,$A14)</f>
        <v>0</v>
      </c>
      <c r="K14">
        <f>SUMIFS(Capital_Investments!K$2:K$10000,Capital_Investments!$B$2:$B$10000,$A14)</f>
        <v>0</v>
      </c>
      <c r="L14">
        <f>SUMIFS(Capital_Investments!L$2:L$10000,Capital_Investments!$B$2:$B$10000,$A14)</f>
        <v>0</v>
      </c>
      <c r="M14">
        <f>SUMIFS(Capital_Investments!M$2:M$10000,Capital_Investments!$B$2:$B$10000,$A14)</f>
        <v>0</v>
      </c>
      <c r="N14">
        <f>SUMIFS(Capital_Investments!N$2:N$10000,Capital_Investments!$B$2:$B$10000,$A14)</f>
        <v>0</v>
      </c>
      <c r="O14">
        <f>SUMIFS(Capital_Investments!O$2:O$10000,Capital_Investments!$B$2:$B$10000,$A14)</f>
        <v>0</v>
      </c>
      <c r="P14">
        <f>SUMIFS(Capital_Investments!P$2:P$10000,Capital_Investments!$B$2:$B$10000,$A14)</f>
        <v>0</v>
      </c>
      <c r="Q14">
        <f>SUMIFS(Capital_Investments!Q$2:Q$10000,Capital_Investments!$B$2:$B$10000,$A14)</f>
        <v>0</v>
      </c>
      <c r="R14">
        <f>SUMIFS(Capital_Investments!R$2:R$10000,Capital_Investments!$B$2:$B$10000,$A14)</f>
        <v>0</v>
      </c>
      <c r="S14">
        <f>SUMIFS(Capital_Investments!S$2:S$10000,Capital_Investments!$B$2:$B$10000,$A14)</f>
        <v>0</v>
      </c>
      <c r="T14">
        <f>SUMIFS(Capital_Investments!T$2:T$10000,Capital_Investments!$B$2:$B$10000,$A14)</f>
        <v>0</v>
      </c>
      <c r="U14">
        <f>SUMIFS(Capital_Investments!U$2:U$10000,Capital_Investments!$B$2:$B$10000,$A14)</f>
        <v>0</v>
      </c>
      <c r="V14">
        <f>SUMIFS(Capital_Investments!V$2:V$10000,Capital_Investments!$B$2:$B$10000,$A14)</f>
        <v>0</v>
      </c>
      <c r="W14">
        <f>SUMIFS(Capital_Investments!W$2:W$10000,Capital_Investments!$B$2:$B$10000,$A14)</f>
        <v>0</v>
      </c>
      <c r="X14">
        <f>SUMIFS(Capital_Investments!X$2:X$10000,Capital_Investments!$B$2:$B$10000,$A14)</f>
        <v>0</v>
      </c>
      <c r="Y14">
        <f>SUMIFS(Capital_Investments!Y$2:Y$10000,Capital_Investments!$B$2:$B$10000,$A14)</f>
        <v>0</v>
      </c>
      <c r="Z14">
        <f>SUMIFS(Capital_Investments!Z$2:Z$10000,Capital_Investments!$B$2:$B$10000,$A14)</f>
        <v>0</v>
      </c>
      <c r="AA14">
        <f>SUMIFS(Capital_Investments!AA$2:AA$10000,Capital_Investments!$B$2:$B$10000,$A14)</f>
        <v>0</v>
      </c>
      <c r="AB14">
        <f>SUMIFS(Capital_Investments!AB$2:AB$10000,Capital_Investments!$B$2:$B$10000,$A14)</f>
        <v>0</v>
      </c>
      <c r="AC14">
        <f>SUMIFS(Capital_Investments!AC$2:AC$10000,Capital_Investments!$B$2:$B$10000,$A14)</f>
        <v>0</v>
      </c>
      <c r="AD14">
        <f>SUMIFS(Capital_Investments!AD$2:AD$10000,Capital_Investments!$B$2:$B$10000,$A14)</f>
        <v>0</v>
      </c>
      <c r="AE14">
        <f>SUMIFS(Capital_Investments!AE$2:AE$10000,Capital_Investments!$B$2:$B$10000,$A14)</f>
        <v>0</v>
      </c>
      <c r="AF14">
        <f>SUMIFS(Capital_Investments!AF$2:AF$10000,Capital_Investments!$B$2:$B$10000,$A14)</f>
        <v>0</v>
      </c>
      <c r="AG14">
        <f>SUMIFS(Capital_Investments!AG$2:AG$10000,Capital_Investments!$B$2:$B$10000,$A14)</f>
        <v>0</v>
      </c>
    </row>
    <row r="15" spans="1:58">
      <c r="A15" t="s">
        <v>149</v>
      </c>
      <c r="C15">
        <f>SUMIFS(Capital_Investments!C$2:C$10000,Capital_Investments!$B$2:$B$10000,$A15)</f>
        <v>0</v>
      </c>
      <c r="D15">
        <f>SUMIFS(Capital_Investments!D$2:D$10000,Capital_Investments!$B$2:$B$10000,$A15)</f>
        <v>0</v>
      </c>
      <c r="E15">
        <f>SUMIFS(Capital_Investments!E$2:E$10000,Capital_Investments!$B$2:$B$10000,$A15)</f>
        <v>0</v>
      </c>
      <c r="F15">
        <f>SUMIFS(Capital_Investments!F$2:F$10000,Capital_Investments!$B$2:$B$10000,$A15)</f>
        <v>0</v>
      </c>
      <c r="G15">
        <f>SUMIFS(Capital_Investments!G$2:G$10000,Capital_Investments!$B$2:$B$10000,$A15)</f>
        <v>0</v>
      </c>
      <c r="H15">
        <f>SUMIFS(Capital_Investments!H$2:H$10000,Capital_Investments!$B$2:$B$10000,$A15)</f>
        <v>0</v>
      </c>
      <c r="I15">
        <f>SUMIFS(Capital_Investments!I$2:I$10000,Capital_Investments!$B$2:$B$10000,$A15)</f>
        <v>0</v>
      </c>
      <c r="J15">
        <f>SUMIFS(Capital_Investments!J$2:J$10000,Capital_Investments!$B$2:$B$10000,$A15)</f>
        <v>0</v>
      </c>
      <c r="K15">
        <f>SUMIFS(Capital_Investments!K$2:K$10000,Capital_Investments!$B$2:$B$10000,$A15)</f>
        <v>0</v>
      </c>
      <c r="L15">
        <f>SUMIFS(Capital_Investments!L$2:L$10000,Capital_Investments!$B$2:$B$10000,$A15)</f>
        <v>0</v>
      </c>
      <c r="M15">
        <f>SUMIFS(Capital_Investments!M$2:M$10000,Capital_Investments!$B$2:$B$10000,$A15)</f>
        <v>0</v>
      </c>
      <c r="N15">
        <f>SUMIFS(Capital_Investments!N$2:N$10000,Capital_Investments!$B$2:$B$10000,$A15)</f>
        <v>0</v>
      </c>
      <c r="O15">
        <f>SUMIFS(Capital_Investments!O$2:O$10000,Capital_Investments!$B$2:$B$10000,$A15)</f>
        <v>0</v>
      </c>
      <c r="P15">
        <f>SUMIFS(Capital_Investments!P$2:P$10000,Capital_Investments!$B$2:$B$10000,$A15)</f>
        <v>0</v>
      </c>
      <c r="Q15">
        <f>SUMIFS(Capital_Investments!Q$2:Q$10000,Capital_Investments!$B$2:$B$10000,$A15)</f>
        <v>0</v>
      </c>
      <c r="R15">
        <f>SUMIFS(Capital_Investments!R$2:R$10000,Capital_Investments!$B$2:$B$10000,$A15)</f>
        <v>0</v>
      </c>
      <c r="S15">
        <f>SUMIFS(Capital_Investments!S$2:S$10000,Capital_Investments!$B$2:$B$10000,$A15)</f>
        <v>2113.2660999999998</v>
      </c>
      <c r="T15">
        <f>SUMIFS(Capital_Investments!T$2:T$10000,Capital_Investments!$B$2:$B$10000,$A15)</f>
        <v>8988.9236000000001</v>
      </c>
      <c r="U15">
        <f>SUMIFS(Capital_Investments!U$2:U$10000,Capital_Investments!$B$2:$B$10000,$A15)</f>
        <v>10841.951999999999</v>
      </c>
      <c r="V15">
        <f>SUMIFS(Capital_Investments!V$2:V$10000,Capital_Investments!$B$2:$B$10000,$A15)</f>
        <v>6075.2321000000002</v>
      </c>
      <c r="W15">
        <f>SUMIFS(Capital_Investments!W$2:W$10000,Capital_Investments!$B$2:$B$10000,$A15)</f>
        <v>4502.4512999999997</v>
      </c>
      <c r="X15">
        <f>SUMIFS(Capital_Investments!X$2:X$10000,Capital_Investments!$B$2:$B$10000,$A15)</f>
        <v>3170.0230000000001</v>
      </c>
      <c r="Y15">
        <f>SUMIFS(Capital_Investments!Y$2:Y$10000,Capital_Investments!$B$2:$B$10000,$A15)</f>
        <v>3386.7954</v>
      </c>
      <c r="Z15">
        <f>SUMIFS(Capital_Investments!Z$2:Z$10000,Capital_Investments!$B$2:$B$10000,$A15)</f>
        <v>2293.0953</v>
      </c>
      <c r="AA15">
        <f>SUMIFS(Capital_Investments!AA$2:AA$10000,Capital_Investments!$B$2:$B$10000,$A15)</f>
        <v>3427.4191000000001</v>
      </c>
      <c r="AB15">
        <f>SUMIFS(Capital_Investments!AB$2:AB$10000,Capital_Investments!$B$2:$B$10000,$A15)</f>
        <v>4410.7214000000004</v>
      </c>
      <c r="AC15">
        <f>SUMIFS(Capital_Investments!AC$2:AC$10000,Capital_Investments!$B$2:$B$10000,$A15)</f>
        <v>7730.2232000000004</v>
      </c>
      <c r="AD15">
        <f>SUMIFS(Capital_Investments!AD$2:AD$10000,Capital_Investments!$B$2:$B$10000,$A15)</f>
        <v>8731.5450999999994</v>
      </c>
      <c r="AE15">
        <f>SUMIFS(Capital_Investments!AE$2:AE$10000,Capital_Investments!$B$2:$B$10000,$A15)</f>
        <v>5798.1817000000001</v>
      </c>
      <c r="AF15">
        <f>SUMIFS(Capital_Investments!AF$2:AF$10000,Capital_Investments!$B$2:$B$10000,$A15)</f>
        <v>8064.6364000000003</v>
      </c>
      <c r="AG15">
        <f>SUMIFS(Capital_Investments!AG$2:AG$10000,Capital_Investments!$B$2:$B$10000,$A15)</f>
        <v>5132.7529999999997</v>
      </c>
    </row>
    <row r="16" spans="1:58">
      <c r="A16" t="s">
        <v>150</v>
      </c>
      <c r="C16">
        <f>SUMIFS(Capital_Investments!C$2:C$10000,Capital_Investments!$B$2:$B$10000,$A16)</f>
        <v>0</v>
      </c>
      <c r="D16">
        <f>SUMIFS(Capital_Investments!D$2:D$10000,Capital_Investments!$B$2:$B$10000,$A16)</f>
        <v>288.55009999999999</v>
      </c>
      <c r="E16">
        <f>SUMIFS(Capital_Investments!E$2:E$10000,Capital_Investments!$B$2:$B$10000,$A16)</f>
        <v>279.3372</v>
      </c>
      <c r="F16">
        <f>SUMIFS(Capital_Investments!F$2:F$10000,Capital_Investments!$B$2:$B$10000,$A16)</f>
        <v>138.0787</v>
      </c>
      <c r="G16">
        <f>SUMIFS(Capital_Investments!G$2:G$10000,Capital_Investments!$B$2:$B$10000,$A16)</f>
        <v>848.31359999999995</v>
      </c>
      <c r="H16">
        <f>SUMIFS(Capital_Investments!H$2:H$10000,Capital_Investments!$B$2:$B$10000,$A16)</f>
        <v>224.32859999999999</v>
      </c>
      <c r="I16">
        <f>SUMIFS(Capital_Investments!I$2:I$10000,Capital_Investments!$B$2:$B$10000,$A16)</f>
        <v>0</v>
      </c>
      <c r="J16">
        <f>SUMIFS(Capital_Investments!J$2:J$10000,Capital_Investments!$B$2:$B$10000,$A16)</f>
        <v>0</v>
      </c>
      <c r="K16">
        <f>SUMIFS(Capital_Investments!K$2:K$10000,Capital_Investments!$B$2:$B$10000,$A16)</f>
        <v>0</v>
      </c>
      <c r="L16">
        <f>SUMIFS(Capital_Investments!L$2:L$10000,Capital_Investments!$B$2:$B$10000,$A16)</f>
        <v>0</v>
      </c>
      <c r="M16">
        <f>SUMIFS(Capital_Investments!M$2:M$10000,Capital_Investments!$B$2:$B$10000,$A16)</f>
        <v>0</v>
      </c>
      <c r="N16">
        <f>SUMIFS(Capital_Investments!N$2:N$10000,Capital_Investments!$B$2:$B$10000,$A16)</f>
        <v>0</v>
      </c>
      <c r="O16">
        <f>SUMIFS(Capital_Investments!O$2:O$10000,Capital_Investments!$B$2:$B$10000,$A16)</f>
        <v>0</v>
      </c>
      <c r="P16">
        <f>SUMIFS(Capital_Investments!P$2:P$10000,Capital_Investments!$B$2:$B$10000,$A16)</f>
        <v>0</v>
      </c>
      <c r="Q16">
        <f>SUMIFS(Capital_Investments!Q$2:Q$10000,Capital_Investments!$B$2:$B$10000,$A16)</f>
        <v>4307.3890000000001</v>
      </c>
      <c r="R16">
        <f>SUMIFS(Capital_Investments!R$2:R$10000,Capital_Investments!$B$2:$B$10000,$A16)</f>
        <v>0</v>
      </c>
      <c r="S16">
        <f>SUMIFS(Capital_Investments!S$2:S$10000,Capital_Investments!$B$2:$B$10000,$A16)</f>
        <v>2948.1695</v>
      </c>
      <c r="T16">
        <f>SUMIFS(Capital_Investments!T$2:T$10000,Capital_Investments!$B$2:$B$10000,$A16)</f>
        <v>0</v>
      </c>
      <c r="U16">
        <f>SUMIFS(Capital_Investments!U$2:U$10000,Capital_Investments!$B$2:$B$10000,$A16)</f>
        <v>0</v>
      </c>
      <c r="V16">
        <f>SUMIFS(Capital_Investments!V$2:V$10000,Capital_Investments!$B$2:$B$10000,$A16)</f>
        <v>0</v>
      </c>
      <c r="W16">
        <f>SUMIFS(Capital_Investments!W$2:W$10000,Capital_Investments!$B$2:$B$10000,$A16)</f>
        <v>0</v>
      </c>
      <c r="X16">
        <f>SUMIFS(Capital_Investments!X$2:X$10000,Capital_Investments!$B$2:$B$10000,$A16)</f>
        <v>0</v>
      </c>
      <c r="Y16">
        <f>SUMIFS(Capital_Investments!Y$2:Y$10000,Capital_Investments!$B$2:$B$10000,$A16)</f>
        <v>0</v>
      </c>
      <c r="Z16">
        <f>SUMIFS(Capital_Investments!Z$2:Z$10000,Capital_Investments!$B$2:$B$10000,$A16)</f>
        <v>234.60679999999999</v>
      </c>
      <c r="AA16">
        <f>SUMIFS(Capital_Investments!AA$2:AA$10000,Capital_Investments!$B$2:$B$10000,$A16)</f>
        <v>0</v>
      </c>
      <c r="AB16">
        <f>SUMIFS(Capital_Investments!AB$2:AB$10000,Capital_Investments!$B$2:$B$10000,$A16)</f>
        <v>0</v>
      </c>
      <c r="AC16">
        <f>SUMIFS(Capital_Investments!AC$2:AC$10000,Capital_Investments!$B$2:$B$10000,$A16)</f>
        <v>0</v>
      </c>
      <c r="AD16">
        <f>SUMIFS(Capital_Investments!AD$2:AD$10000,Capital_Investments!$B$2:$B$10000,$A16)</f>
        <v>0</v>
      </c>
      <c r="AE16">
        <f>SUMIFS(Capital_Investments!AE$2:AE$10000,Capital_Investments!$B$2:$B$10000,$A16)</f>
        <v>825.6173</v>
      </c>
      <c r="AF16">
        <f>SUMIFS(Capital_Investments!AF$2:AF$10000,Capital_Investments!$B$2:$B$10000,$A16)</f>
        <v>74.411600000000007</v>
      </c>
      <c r="AG16">
        <f>SUMIFS(Capital_Investments!AG$2:AG$10000,Capital_Investments!$B$2:$B$10000,$A16)</f>
        <v>3325.8773999999999</v>
      </c>
    </row>
    <row r="17" spans="1:58">
      <c r="A17" t="s">
        <v>151</v>
      </c>
      <c r="C17">
        <f>SUMIFS(Capital_Investments!C$2:C$10000,Capital_Investments!$B$2:$B$10000,$A17)</f>
        <v>0</v>
      </c>
      <c r="D17">
        <f>SUMIFS(Capital_Investments!D$2:D$10000,Capital_Investments!$B$2:$B$10000,$A17)</f>
        <v>0</v>
      </c>
      <c r="E17">
        <f>SUMIFS(Capital_Investments!E$2:E$10000,Capital_Investments!$B$2:$B$10000,$A17)</f>
        <v>0</v>
      </c>
      <c r="F17">
        <f>SUMIFS(Capital_Investments!F$2:F$10000,Capital_Investments!$B$2:$B$10000,$A17)</f>
        <v>0</v>
      </c>
      <c r="G17">
        <f>SUMIFS(Capital_Investments!G$2:G$10000,Capital_Investments!$B$2:$B$10000,$A17)</f>
        <v>0</v>
      </c>
      <c r="H17">
        <f>SUMIFS(Capital_Investments!H$2:H$10000,Capital_Investments!$B$2:$B$10000,$A17)</f>
        <v>0</v>
      </c>
      <c r="I17">
        <f>SUMIFS(Capital_Investments!I$2:I$10000,Capital_Investments!$B$2:$B$10000,$A17)</f>
        <v>0</v>
      </c>
      <c r="J17">
        <f>SUMIFS(Capital_Investments!J$2:J$10000,Capital_Investments!$B$2:$B$10000,$A17)</f>
        <v>0</v>
      </c>
      <c r="K17">
        <f>SUMIFS(Capital_Investments!K$2:K$10000,Capital_Investments!$B$2:$B$10000,$A17)</f>
        <v>0</v>
      </c>
      <c r="L17">
        <f>SUMIFS(Capital_Investments!L$2:L$10000,Capital_Investments!$B$2:$B$10000,$A17)</f>
        <v>0</v>
      </c>
      <c r="M17">
        <f>SUMIFS(Capital_Investments!M$2:M$10000,Capital_Investments!$B$2:$B$10000,$A17)</f>
        <v>0</v>
      </c>
      <c r="N17">
        <f>SUMIFS(Capital_Investments!N$2:N$10000,Capital_Investments!$B$2:$B$10000,$A17)</f>
        <v>0</v>
      </c>
      <c r="O17">
        <f>SUMIFS(Capital_Investments!O$2:O$10000,Capital_Investments!$B$2:$B$10000,$A17)</f>
        <v>0</v>
      </c>
      <c r="P17">
        <f>SUMIFS(Capital_Investments!P$2:P$10000,Capital_Investments!$B$2:$B$10000,$A17)</f>
        <v>0</v>
      </c>
      <c r="Q17">
        <f>SUMIFS(Capital_Investments!Q$2:Q$10000,Capital_Investments!$B$2:$B$10000,$A17)</f>
        <v>0</v>
      </c>
      <c r="R17">
        <f>SUMIFS(Capital_Investments!R$2:R$10000,Capital_Investments!$B$2:$B$10000,$A17)</f>
        <v>0</v>
      </c>
      <c r="S17">
        <f>SUMIFS(Capital_Investments!S$2:S$10000,Capital_Investments!$B$2:$B$10000,$A17)</f>
        <v>0</v>
      </c>
      <c r="T17">
        <f>SUMIFS(Capital_Investments!T$2:T$10000,Capital_Investments!$B$2:$B$10000,$A17)</f>
        <v>0</v>
      </c>
      <c r="U17">
        <f>SUMIFS(Capital_Investments!U$2:U$10000,Capital_Investments!$B$2:$B$10000,$A17)</f>
        <v>0</v>
      </c>
      <c r="V17">
        <f>SUMIFS(Capital_Investments!V$2:V$10000,Capital_Investments!$B$2:$B$10000,$A17)</f>
        <v>0</v>
      </c>
      <c r="W17">
        <f>SUMIFS(Capital_Investments!W$2:W$10000,Capital_Investments!$B$2:$B$10000,$A17)</f>
        <v>0</v>
      </c>
      <c r="X17">
        <f>SUMIFS(Capital_Investments!X$2:X$10000,Capital_Investments!$B$2:$B$10000,$A17)</f>
        <v>0</v>
      </c>
      <c r="Y17">
        <f>SUMIFS(Capital_Investments!Y$2:Y$10000,Capital_Investments!$B$2:$B$10000,$A17)</f>
        <v>0</v>
      </c>
      <c r="Z17">
        <f>SUMIFS(Capital_Investments!Z$2:Z$10000,Capital_Investments!$B$2:$B$10000,$A17)</f>
        <v>0</v>
      </c>
      <c r="AA17">
        <f>SUMIFS(Capital_Investments!AA$2:AA$10000,Capital_Investments!$B$2:$B$10000,$A17)</f>
        <v>0</v>
      </c>
      <c r="AB17">
        <f>SUMIFS(Capital_Investments!AB$2:AB$10000,Capital_Investments!$B$2:$B$10000,$A17)</f>
        <v>0</v>
      </c>
      <c r="AC17">
        <f>SUMIFS(Capital_Investments!AC$2:AC$10000,Capital_Investments!$B$2:$B$10000,$A17)</f>
        <v>0</v>
      </c>
      <c r="AD17">
        <f>SUMIFS(Capital_Investments!AD$2:AD$10000,Capital_Investments!$B$2:$B$10000,$A17)</f>
        <v>0</v>
      </c>
      <c r="AE17">
        <f>SUMIFS(Capital_Investments!AE$2:AE$10000,Capital_Investments!$B$2:$B$10000,$A17)</f>
        <v>0</v>
      </c>
      <c r="AF17">
        <f>SUMIFS(Capital_Investments!AF$2:AF$10000,Capital_Investments!$B$2:$B$10000,$A17)</f>
        <v>0</v>
      </c>
      <c r="AG17">
        <f>SUMIFS(Capital_Investments!AG$2:AG$10000,Capital_Investments!$B$2:$B$10000,$A17)</f>
        <v>0</v>
      </c>
    </row>
    <row r="18" spans="1:58">
      <c r="A18" t="s">
        <v>152</v>
      </c>
      <c r="C18">
        <f>SUMIFS(Capital_Investments!C$2:C$10000,Capital_Investments!$B$2:$B$10000,$A18)</f>
        <v>357.99759999999998</v>
      </c>
      <c r="D18">
        <f>SUMIFS(Capital_Investments!D$2:D$10000,Capital_Investments!$B$2:$B$10000,$A18)</f>
        <v>225.77699999999999</v>
      </c>
      <c r="E18">
        <f>SUMIFS(Capital_Investments!E$2:E$10000,Capital_Investments!$B$2:$B$10000,$A18)</f>
        <v>0</v>
      </c>
      <c r="F18">
        <f>SUMIFS(Capital_Investments!F$2:F$10000,Capital_Investments!$B$2:$B$10000,$A18)</f>
        <v>33.935299999999998</v>
      </c>
      <c r="G18">
        <f>SUMIFS(Capital_Investments!G$2:G$10000,Capital_Investments!$B$2:$B$10000,$A18)</f>
        <v>0</v>
      </c>
      <c r="H18">
        <f>SUMIFS(Capital_Investments!H$2:H$10000,Capital_Investments!$B$2:$B$10000,$A18)</f>
        <v>0</v>
      </c>
      <c r="I18">
        <f>SUMIFS(Capital_Investments!I$2:I$10000,Capital_Investments!$B$2:$B$10000,$A18)</f>
        <v>0</v>
      </c>
      <c r="J18">
        <f>SUMIFS(Capital_Investments!J$2:J$10000,Capital_Investments!$B$2:$B$10000,$A18)</f>
        <v>0</v>
      </c>
      <c r="K18">
        <f>SUMIFS(Capital_Investments!K$2:K$10000,Capital_Investments!$B$2:$B$10000,$A18)</f>
        <v>0</v>
      </c>
      <c r="L18">
        <f>SUMIFS(Capital_Investments!L$2:L$10000,Capital_Investments!$B$2:$B$10000,$A18)</f>
        <v>0</v>
      </c>
      <c r="M18">
        <f>SUMIFS(Capital_Investments!M$2:M$10000,Capital_Investments!$B$2:$B$10000,$A18)</f>
        <v>0</v>
      </c>
      <c r="N18">
        <f>SUMIFS(Capital_Investments!N$2:N$10000,Capital_Investments!$B$2:$B$10000,$A18)</f>
        <v>0</v>
      </c>
      <c r="O18">
        <f>SUMIFS(Capital_Investments!O$2:O$10000,Capital_Investments!$B$2:$B$10000,$A18)</f>
        <v>0</v>
      </c>
      <c r="P18">
        <f>SUMIFS(Capital_Investments!P$2:P$10000,Capital_Investments!$B$2:$B$10000,$A18)</f>
        <v>0</v>
      </c>
      <c r="Q18">
        <f>SUMIFS(Capital_Investments!Q$2:Q$10000,Capital_Investments!$B$2:$B$10000,$A18)</f>
        <v>0</v>
      </c>
      <c r="R18">
        <f>SUMIFS(Capital_Investments!R$2:R$10000,Capital_Investments!$B$2:$B$10000,$A18)</f>
        <v>0</v>
      </c>
      <c r="S18">
        <f>SUMIFS(Capital_Investments!S$2:S$10000,Capital_Investments!$B$2:$B$10000,$A18)</f>
        <v>0</v>
      </c>
      <c r="T18">
        <f>SUMIFS(Capital_Investments!T$2:T$10000,Capital_Investments!$B$2:$B$10000,$A18)</f>
        <v>0</v>
      </c>
      <c r="U18">
        <f>SUMIFS(Capital_Investments!U$2:U$10000,Capital_Investments!$B$2:$B$10000,$A18)</f>
        <v>0</v>
      </c>
      <c r="V18">
        <f>SUMIFS(Capital_Investments!V$2:V$10000,Capital_Investments!$B$2:$B$10000,$A18)</f>
        <v>0</v>
      </c>
      <c r="W18">
        <f>SUMIFS(Capital_Investments!W$2:W$10000,Capital_Investments!$B$2:$B$10000,$A18)</f>
        <v>0</v>
      </c>
      <c r="X18">
        <f>SUMIFS(Capital_Investments!X$2:X$10000,Capital_Investments!$B$2:$B$10000,$A18)</f>
        <v>0</v>
      </c>
      <c r="Y18">
        <f>SUMIFS(Capital_Investments!Y$2:Y$10000,Capital_Investments!$B$2:$B$10000,$A18)</f>
        <v>0</v>
      </c>
      <c r="Z18">
        <f>SUMIFS(Capital_Investments!Z$2:Z$10000,Capital_Investments!$B$2:$B$10000,$A18)</f>
        <v>0</v>
      </c>
      <c r="AA18">
        <f>SUMIFS(Capital_Investments!AA$2:AA$10000,Capital_Investments!$B$2:$B$10000,$A18)</f>
        <v>0</v>
      </c>
      <c r="AB18">
        <f>SUMIFS(Capital_Investments!AB$2:AB$10000,Capital_Investments!$B$2:$B$10000,$A18)</f>
        <v>0</v>
      </c>
      <c r="AC18">
        <f>SUMIFS(Capital_Investments!AC$2:AC$10000,Capital_Investments!$B$2:$B$10000,$A18)</f>
        <v>0</v>
      </c>
      <c r="AD18">
        <f>SUMIFS(Capital_Investments!AD$2:AD$10000,Capital_Investments!$B$2:$B$10000,$A18)</f>
        <v>0</v>
      </c>
      <c r="AE18">
        <f>SUMIFS(Capital_Investments!AE$2:AE$10000,Capital_Investments!$B$2:$B$10000,$A18)</f>
        <v>0</v>
      </c>
      <c r="AF18">
        <f>SUMIFS(Capital_Investments!AF$2:AF$10000,Capital_Investments!$B$2:$B$10000,$A18)</f>
        <v>0</v>
      </c>
      <c r="AG18">
        <f>SUMIFS(Capital_Investments!AG$2:AG$10000,Capital_Investments!$B$2:$B$10000,$A18)</f>
        <v>0</v>
      </c>
    </row>
    <row r="19" spans="1:58">
      <c r="A19" t="s">
        <v>135</v>
      </c>
      <c r="C19">
        <f>SUMIFS(Capital_Investments!C$2:C$10000,Capital_Investments!$B$2:$B$10000,$A19)</f>
        <v>0</v>
      </c>
      <c r="D19">
        <f>SUMIFS(Capital_Investments!D$2:D$10000,Capital_Investments!$B$2:$B$10000,$A19)</f>
        <v>233.74</v>
      </c>
      <c r="E19">
        <f>SUMIFS(Capital_Investments!E$2:E$10000,Capital_Investments!$B$2:$B$10000,$A19)</f>
        <v>126.49</v>
      </c>
      <c r="F19">
        <f>SUMIFS(Capital_Investments!F$2:F$10000,Capital_Investments!$B$2:$B$10000,$A19)</f>
        <v>0</v>
      </c>
      <c r="G19">
        <f>SUMIFS(Capital_Investments!G$2:G$10000,Capital_Investments!$B$2:$B$10000,$A19)</f>
        <v>14.56</v>
      </c>
      <c r="H19">
        <f>SUMIFS(Capital_Investments!H$2:H$10000,Capital_Investments!$B$2:$B$10000,$A19)</f>
        <v>0</v>
      </c>
      <c r="I19">
        <f>SUMIFS(Capital_Investments!I$2:I$10000,Capital_Investments!$B$2:$B$10000,$A19)</f>
        <v>0</v>
      </c>
      <c r="J19">
        <f>SUMIFS(Capital_Investments!J$2:J$10000,Capital_Investments!$B$2:$B$10000,$A19)</f>
        <v>0</v>
      </c>
      <c r="K19">
        <f>SUMIFS(Capital_Investments!K$2:K$10000,Capital_Investments!$B$2:$B$10000,$A19)</f>
        <v>0</v>
      </c>
      <c r="L19">
        <f>SUMIFS(Capital_Investments!L$2:L$10000,Capital_Investments!$B$2:$B$10000,$A19)</f>
        <v>0</v>
      </c>
      <c r="M19">
        <f>SUMIFS(Capital_Investments!M$2:M$10000,Capital_Investments!$B$2:$B$10000,$A19)</f>
        <v>0</v>
      </c>
      <c r="N19">
        <f>SUMIFS(Capital_Investments!N$2:N$10000,Capital_Investments!$B$2:$B$10000,$A19)</f>
        <v>0</v>
      </c>
      <c r="O19">
        <f>SUMIFS(Capital_Investments!O$2:O$10000,Capital_Investments!$B$2:$B$10000,$A19)</f>
        <v>0</v>
      </c>
      <c r="P19">
        <f>SUMIFS(Capital_Investments!P$2:P$10000,Capital_Investments!$B$2:$B$10000,$A19)</f>
        <v>0</v>
      </c>
      <c r="Q19">
        <f>SUMIFS(Capital_Investments!Q$2:Q$10000,Capital_Investments!$B$2:$B$10000,$A19)</f>
        <v>0</v>
      </c>
      <c r="R19">
        <f>SUMIFS(Capital_Investments!R$2:R$10000,Capital_Investments!$B$2:$B$10000,$A19)</f>
        <v>0</v>
      </c>
      <c r="S19">
        <f>SUMIFS(Capital_Investments!S$2:S$10000,Capital_Investments!$B$2:$B$10000,$A19)</f>
        <v>0</v>
      </c>
      <c r="T19">
        <f>SUMIFS(Capital_Investments!T$2:T$10000,Capital_Investments!$B$2:$B$10000,$A19)</f>
        <v>0</v>
      </c>
      <c r="U19">
        <f>SUMIFS(Capital_Investments!U$2:U$10000,Capital_Investments!$B$2:$B$10000,$A19)</f>
        <v>0</v>
      </c>
      <c r="V19">
        <f>SUMIFS(Capital_Investments!V$2:V$10000,Capital_Investments!$B$2:$B$10000,$A19)</f>
        <v>0</v>
      </c>
      <c r="W19">
        <f>SUMIFS(Capital_Investments!W$2:W$10000,Capital_Investments!$B$2:$B$10000,$A19)</f>
        <v>0</v>
      </c>
      <c r="X19">
        <f>SUMIFS(Capital_Investments!X$2:X$10000,Capital_Investments!$B$2:$B$10000,$A19)</f>
        <v>0</v>
      </c>
      <c r="Y19">
        <f>SUMIFS(Capital_Investments!Y$2:Y$10000,Capital_Investments!$B$2:$B$10000,$A19)</f>
        <v>0</v>
      </c>
      <c r="Z19">
        <f>SUMIFS(Capital_Investments!Z$2:Z$10000,Capital_Investments!$B$2:$B$10000,$A19)</f>
        <v>0</v>
      </c>
      <c r="AA19">
        <f>SUMIFS(Capital_Investments!AA$2:AA$10000,Capital_Investments!$B$2:$B$10000,$A19)</f>
        <v>0</v>
      </c>
      <c r="AB19">
        <f>SUMIFS(Capital_Investments!AB$2:AB$10000,Capital_Investments!$B$2:$B$10000,$A19)</f>
        <v>0</v>
      </c>
      <c r="AC19">
        <f>SUMIFS(Capital_Investments!AC$2:AC$10000,Capital_Investments!$B$2:$B$10000,$A19)</f>
        <v>0</v>
      </c>
      <c r="AD19">
        <f>SUMIFS(Capital_Investments!AD$2:AD$10000,Capital_Investments!$B$2:$B$10000,$A19)</f>
        <v>0</v>
      </c>
      <c r="AE19">
        <f>SUMIFS(Capital_Investments!AE$2:AE$10000,Capital_Investments!$B$2:$B$10000,$A19)</f>
        <v>0</v>
      </c>
      <c r="AF19">
        <f>SUMIFS(Capital_Investments!AF$2:AF$10000,Capital_Investments!$B$2:$B$10000,$A19)</f>
        <v>0</v>
      </c>
      <c r="AG19">
        <f>SUMIFS(Capital_Investments!AG$2:AG$10000,Capital_Investments!$B$2:$B$10000,$A19)</f>
        <v>0</v>
      </c>
    </row>
    <row r="20" spans="1:58">
      <c r="A20" t="s">
        <v>134</v>
      </c>
      <c r="C20">
        <f>SUMIFS(Capital_Investments!C$2:C$10000,Capital_Investments!$B$2:$B$10000,$A20)</f>
        <v>0</v>
      </c>
      <c r="D20">
        <f>SUMIFS(Capital_Investments!D$2:D$10000,Capital_Investments!$B$2:$B$10000,$A20)</f>
        <v>0</v>
      </c>
      <c r="E20">
        <f>SUMIFS(Capital_Investments!E$2:E$10000,Capital_Investments!$B$2:$B$10000,$A20)</f>
        <v>0</v>
      </c>
      <c r="F20">
        <f>SUMIFS(Capital_Investments!F$2:F$10000,Capital_Investments!$B$2:$B$10000,$A20)</f>
        <v>0</v>
      </c>
      <c r="G20">
        <f>SUMIFS(Capital_Investments!G$2:G$10000,Capital_Investments!$B$2:$B$10000,$A20)</f>
        <v>0</v>
      </c>
      <c r="H20">
        <f>SUMIFS(Capital_Investments!H$2:H$10000,Capital_Investments!$B$2:$B$10000,$A20)</f>
        <v>0</v>
      </c>
      <c r="I20">
        <f>SUMIFS(Capital_Investments!I$2:I$10000,Capital_Investments!$B$2:$B$10000,$A20)</f>
        <v>0</v>
      </c>
      <c r="J20">
        <f>SUMIFS(Capital_Investments!J$2:J$10000,Capital_Investments!$B$2:$B$10000,$A20)</f>
        <v>0</v>
      </c>
      <c r="K20">
        <f>SUMIFS(Capital_Investments!K$2:K$10000,Capital_Investments!$B$2:$B$10000,$A20)</f>
        <v>0</v>
      </c>
      <c r="L20">
        <f>SUMIFS(Capital_Investments!L$2:L$10000,Capital_Investments!$B$2:$B$10000,$A20)</f>
        <v>0</v>
      </c>
      <c r="M20">
        <f>SUMIFS(Capital_Investments!M$2:M$10000,Capital_Investments!$B$2:$B$10000,$A20)</f>
        <v>0</v>
      </c>
      <c r="N20">
        <f>SUMIFS(Capital_Investments!N$2:N$10000,Capital_Investments!$B$2:$B$10000,$A20)</f>
        <v>0</v>
      </c>
      <c r="O20">
        <f>SUMIFS(Capital_Investments!O$2:O$10000,Capital_Investments!$B$2:$B$10000,$A20)</f>
        <v>0</v>
      </c>
      <c r="P20">
        <f>SUMIFS(Capital_Investments!P$2:P$10000,Capital_Investments!$B$2:$B$10000,$A20)</f>
        <v>0</v>
      </c>
      <c r="Q20">
        <f>SUMIFS(Capital_Investments!Q$2:Q$10000,Capital_Investments!$B$2:$B$10000,$A20)</f>
        <v>0</v>
      </c>
      <c r="R20">
        <f>SUMIFS(Capital_Investments!R$2:R$10000,Capital_Investments!$B$2:$B$10000,$A20)</f>
        <v>0</v>
      </c>
      <c r="S20">
        <f>SUMIFS(Capital_Investments!S$2:S$10000,Capital_Investments!$B$2:$B$10000,$A20)</f>
        <v>0</v>
      </c>
      <c r="T20">
        <f>SUMIFS(Capital_Investments!T$2:T$10000,Capital_Investments!$B$2:$B$10000,$A20)</f>
        <v>0</v>
      </c>
      <c r="U20">
        <f>SUMIFS(Capital_Investments!U$2:U$10000,Capital_Investments!$B$2:$B$10000,$A20)</f>
        <v>0</v>
      </c>
      <c r="V20">
        <f>SUMIFS(Capital_Investments!V$2:V$10000,Capital_Investments!$B$2:$B$10000,$A20)</f>
        <v>0</v>
      </c>
      <c r="W20">
        <f>SUMIFS(Capital_Investments!W$2:W$10000,Capital_Investments!$B$2:$B$10000,$A20)</f>
        <v>0</v>
      </c>
      <c r="X20">
        <f>SUMIFS(Capital_Investments!X$2:X$10000,Capital_Investments!$B$2:$B$10000,$A20)</f>
        <v>0</v>
      </c>
      <c r="Y20">
        <f>SUMIFS(Capital_Investments!Y$2:Y$10000,Capital_Investments!$B$2:$B$10000,$A20)</f>
        <v>0</v>
      </c>
      <c r="Z20">
        <f>SUMIFS(Capital_Investments!Z$2:Z$10000,Capital_Investments!$B$2:$B$10000,$A20)</f>
        <v>0</v>
      </c>
      <c r="AA20">
        <f>SUMIFS(Capital_Investments!AA$2:AA$10000,Capital_Investments!$B$2:$B$10000,$A20)</f>
        <v>0</v>
      </c>
      <c r="AB20">
        <f>SUMIFS(Capital_Investments!AB$2:AB$10000,Capital_Investments!$B$2:$B$10000,$A20)</f>
        <v>0</v>
      </c>
      <c r="AC20">
        <f>SUMIFS(Capital_Investments!AC$2:AC$10000,Capital_Investments!$B$2:$B$10000,$A20)</f>
        <v>0</v>
      </c>
      <c r="AD20">
        <f>SUMIFS(Capital_Investments!AD$2:AD$10000,Capital_Investments!$B$2:$B$10000,$A20)</f>
        <v>0</v>
      </c>
      <c r="AE20">
        <f>SUMIFS(Capital_Investments!AE$2:AE$10000,Capital_Investments!$B$2:$B$10000,$A20)</f>
        <v>0</v>
      </c>
      <c r="AF20">
        <f>SUMIFS(Capital_Investments!AF$2:AF$10000,Capital_Investments!$B$2:$B$10000,$A20)</f>
        <v>0</v>
      </c>
      <c r="AG20">
        <f>SUMIFS(Capital_Investments!AG$2:AG$10000,Capital_Investments!$B$2:$B$10000,$A20)</f>
        <v>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>
      <c r="A21" s="43" t="s">
        <v>154</v>
      </c>
      <c r="C21">
        <f>SUMIFS(Capital_Investments!C$2:C$10000,Capital_Investments!$B$2:$B$10000,$A21)</f>
        <v>0</v>
      </c>
      <c r="D21">
        <f>SUMIFS(Capital_Investments!D$2:D$10000,Capital_Investments!$B$2:$B$10000,$A21)</f>
        <v>0</v>
      </c>
      <c r="E21">
        <f>SUMIFS(Capital_Investments!E$2:E$10000,Capital_Investments!$B$2:$B$10000,$A21)</f>
        <v>0</v>
      </c>
      <c r="F21">
        <f>SUMIFS(Capital_Investments!F$2:F$10000,Capital_Investments!$B$2:$B$10000,$A21)</f>
        <v>0</v>
      </c>
      <c r="G21">
        <f>SUMIFS(Capital_Investments!G$2:G$10000,Capital_Investments!$B$2:$B$10000,$A21)</f>
        <v>0</v>
      </c>
      <c r="H21">
        <f>SUMIFS(Capital_Investments!H$2:H$10000,Capital_Investments!$B$2:$B$10000,$A21)</f>
        <v>459.69720000000001</v>
      </c>
      <c r="I21">
        <f>SUMIFS(Capital_Investments!I$2:I$10000,Capital_Investments!$B$2:$B$10000,$A21)</f>
        <v>1316.7722000000001</v>
      </c>
      <c r="J21">
        <f>SUMIFS(Capital_Investments!J$2:J$10000,Capital_Investments!$B$2:$B$10000,$A21)</f>
        <v>1316.7722000000001</v>
      </c>
      <c r="K21">
        <f>SUMIFS(Capital_Investments!K$2:K$10000,Capital_Investments!$B$2:$B$10000,$A21)</f>
        <v>1316.7722000000001</v>
      </c>
      <c r="L21">
        <f>SUMIFS(Capital_Investments!L$2:L$10000,Capital_Investments!$B$2:$B$10000,$A21)</f>
        <v>1316.7722000000001</v>
      </c>
      <c r="M21">
        <f>SUMIFS(Capital_Investments!M$2:M$10000,Capital_Investments!$B$2:$B$10000,$A21)</f>
        <v>1316.7722000000001</v>
      </c>
      <c r="N21">
        <f>SUMIFS(Capital_Investments!N$2:N$10000,Capital_Investments!$B$2:$B$10000,$A21)</f>
        <v>1573.5395000000001</v>
      </c>
      <c r="O21">
        <f>SUMIFS(Capital_Investments!O$2:O$10000,Capital_Investments!$B$2:$B$10000,$A21)</f>
        <v>1573.5395000000001</v>
      </c>
      <c r="P21">
        <f>SUMIFS(Capital_Investments!P$2:P$10000,Capital_Investments!$B$2:$B$10000,$A21)</f>
        <v>1620.3588</v>
      </c>
      <c r="Q21">
        <f>SUMIFS(Capital_Investments!Q$2:Q$10000,Capital_Investments!$B$2:$B$10000,$A21)</f>
        <v>1631.31</v>
      </c>
      <c r="R21">
        <f>SUMIFS(Capital_Investments!R$2:R$10000,Capital_Investments!$B$2:$B$10000,$A21)</f>
        <v>1648.5632000000001</v>
      </c>
      <c r="S21">
        <f>SUMIFS(Capital_Investments!S$2:S$10000,Capital_Investments!$B$2:$B$10000,$A21)</f>
        <v>1975.2876000000001</v>
      </c>
      <c r="T21">
        <f>SUMIFS(Capital_Investments!T$2:T$10000,Capital_Investments!$B$2:$B$10000,$A21)</f>
        <v>1975.2806</v>
      </c>
      <c r="U21">
        <f>SUMIFS(Capital_Investments!U$2:U$10000,Capital_Investments!$B$2:$B$10000,$A21)</f>
        <v>1864.8184000000001</v>
      </c>
      <c r="V21">
        <f>SUMIFS(Capital_Investments!V$2:V$10000,Capital_Investments!$B$2:$B$10000,$A21)</f>
        <v>1969.9671000000001</v>
      </c>
      <c r="W21">
        <f>SUMIFS(Capital_Investments!W$2:W$10000,Capital_Investments!$B$2:$B$10000,$A21)</f>
        <v>1589.4321</v>
      </c>
      <c r="X21">
        <f>SUMIFS(Capital_Investments!X$2:X$10000,Capital_Investments!$B$2:$B$10000,$A21)</f>
        <v>1921.3886</v>
      </c>
      <c r="Y21">
        <f>SUMIFS(Capital_Investments!Y$2:Y$10000,Capital_Investments!$B$2:$B$10000,$A21)</f>
        <v>2075.5421999999999</v>
      </c>
      <c r="Z21">
        <f>SUMIFS(Capital_Investments!Z$2:Z$10000,Capital_Investments!$B$2:$B$10000,$A21)</f>
        <v>2080.1632</v>
      </c>
      <c r="AA21">
        <f>SUMIFS(Capital_Investments!AA$2:AA$10000,Capital_Investments!$B$2:$B$10000,$A21)</f>
        <v>2084.5023999999999</v>
      </c>
      <c r="AB21">
        <f>SUMIFS(Capital_Investments!AB$2:AB$10000,Capital_Investments!$B$2:$B$10000,$A21)</f>
        <v>2088.5700000000002</v>
      </c>
      <c r="AC21">
        <f>SUMIFS(Capital_Investments!AC$2:AC$10000,Capital_Investments!$B$2:$B$10000,$A21)</f>
        <v>2163.3755000000001</v>
      </c>
      <c r="AD21">
        <f>SUMIFS(Capital_Investments!AD$2:AD$10000,Capital_Investments!$B$2:$B$10000,$A21)</f>
        <v>2166.6012999999998</v>
      </c>
      <c r="AE21">
        <f>SUMIFS(Capital_Investments!AE$2:AE$10000,Capital_Investments!$B$2:$B$10000,$A21)</f>
        <v>2169.6396</v>
      </c>
      <c r="AF21">
        <f>SUMIFS(Capital_Investments!AF$2:AF$10000,Capital_Investments!$B$2:$B$10000,$A21)</f>
        <v>2172.4953999999998</v>
      </c>
      <c r="AG21">
        <f>SUMIFS(Capital_Investments!AG$2:AG$10000,Capital_Investments!$B$2:$B$10000,$A21)</f>
        <v>3107.0751</v>
      </c>
    </row>
    <row r="22" spans="1:58">
      <c r="A22" t="s">
        <v>268</v>
      </c>
      <c r="C22" s="27">
        <f>SUM(C4:C21)</f>
        <v>4747.9519999999993</v>
      </c>
      <c r="D22" s="27">
        <f t="shared" ref="D22:AG22" si="0">SUM(D4:D21)</f>
        <v>10006.782999999999</v>
      </c>
      <c r="E22" s="27">
        <f t="shared" si="0"/>
        <v>2531.4871999999996</v>
      </c>
      <c r="F22" s="27">
        <f t="shared" si="0"/>
        <v>1576.1906000000001</v>
      </c>
      <c r="G22" s="27">
        <f t="shared" si="0"/>
        <v>2362.6024999999995</v>
      </c>
      <c r="H22" s="27">
        <f t="shared" si="0"/>
        <v>1897.1058</v>
      </c>
      <c r="I22" s="27">
        <f t="shared" si="0"/>
        <v>5039.2865000000002</v>
      </c>
      <c r="J22" s="27">
        <f t="shared" si="0"/>
        <v>4571.2966999999999</v>
      </c>
      <c r="K22" s="27">
        <f t="shared" si="0"/>
        <v>4558.9261999999999</v>
      </c>
      <c r="L22" s="27">
        <f t="shared" si="0"/>
        <v>4543.4992000000002</v>
      </c>
      <c r="M22" s="27">
        <f t="shared" si="0"/>
        <v>16531.959200000001</v>
      </c>
      <c r="N22" s="27">
        <f t="shared" si="0"/>
        <v>1573.5395000000001</v>
      </c>
      <c r="O22" s="27">
        <f t="shared" si="0"/>
        <v>1573.5395000000001</v>
      </c>
      <c r="P22" s="27">
        <f t="shared" si="0"/>
        <v>1620.3588</v>
      </c>
      <c r="Q22" s="27">
        <f t="shared" si="0"/>
        <v>6755.0031999999992</v>
      </c>
      <c r="R22" s="27">
        <f t="shared" si="0"/>
        <v>9729.4943000000003</v>
      </c>
      <c r="S22" s="27">
        <f t="shared" si="0"/>
        <v>7514.1232</v>
      </c>
      <c r="T22" s="27">
        <f t="shared" si="0"/>
        <v>13649.084199999999</v>
      </c>
      <c r="U22" s="27">
        <f t="shared" si="0"/>
        <v>12706.770399999999</v>
      </c>
      <c r="V22" s="27">
        <f t="shared" si="0"/>
        <v>10301.896699999999</v>
      </c>
      <c r="W22" s="27">
        <f t="shared" si="0"/>
        <v>9453.2451000000001</v>
      </c>
      <c r="X22" s="27">
        <f t="shared" si="0"/>
        <v>5718.0547999999999</v>
      </c>
      <c r="Y22" s="27">
        <f t="shared" si="0"/>
        <v>6149.3397999999997</v>
      </c>
      <c r="Z22" s="27">
        <f t="shared" si="0"/>
        <v>5636.1648000000005</v>
      </c>
      <c r="AA22" s="27">
        <f t="shared" si="0"/>
        <v>6187.7592999999997</v>
      </c>
      <c r="AB22" s="27">
        <f t="shared" si="0"/>
        <v>6926.5400000000009</v>
      </c>
      <c r="AC22" s="27">
        <f t="shared" si="0"/>
        <v>10877.784</v>
      </c>
      <c r="AD22" s="27">
        <f t="shared" si="0"/>
        <v>10898.1464</v>
      </c>
      <c r="AE22" s="27">
        <f t="shared" si="0"/>
        <v>8793.4385999999995</v>
      </c>
      <c r="AF22" s="27">
        <f t="shared" si="0"/>
        <v>10311.5434</v>
      </c>
      <c r="AG22" s="27">
        <f t="shared" si="0"/>
        <v>13589.9756</v>
      </c>
    </row>
    <row r="23" spans="1:58" ht="15" thickBot="1"/>
    <row r="24" spans="1:58" ht="15" thickBot="1">
      <c r="A24" s="3" t="s">
        <v>16</v>
      </c>
      <c r="C24" s="22">
        <v>2020</v>
      </c>
      <c r="D24" s="22">
        <v>2021</v>
      </c>
      <c r="E24" s="22">
        <v>2022</v>
      </c>
      <c r="F24" s="22">
        <v>2023</v>
      </c>
      <c r="G24" s="22">
        <v>2024</v>
      </c>
      <c r="H24" s="22">
        <v>2025</v>
      </c>
      <c r="I24" s="22">
        <v>2026</v>
      </c>
      <c r="J24" s="22">
        <v>2027</v>
      </c>
      <c r="K24" s="22">
        <v>2028</v>
      </c>
      <c r="L24" s="22">
        <v>2029</v>
      </c>
      <c r="M24" s="22">
        <v>2030</v>
      </c>
      <c r="N24" s="22">
        <v>2031</v>
      </c>
      <c r="O24" s="22">
        <v>2032</v>
      </c>
      <c r="P24" s="22">
        <v>2033</v>
      </c>
      <c r="Q24" s="22">
        <v>2034</v>
      </c>
      <c r="R24" s="22">
        <v>2035</v>
      </c>
      <c r="S24" s="22">
        <v>2036</v>
      </c>
      <c r="T24" s="22">
        <v>2037</v>
      </c>
      <c r="U24" s="22">
        <v>2038</v>
      </c>
      <c r="V24" s="22">
        <v>2039</v>
      </c>
      <c r="W24" s="22">
        <v>2040</v>
      </c>
      <c r="X24" s="22">
        <v>2041</v>
      </c>
      <c r="Y24" s="22">
        <v>2042</v>
      </c>
      <c r="Z24" s="22">
        <v>2043</v>
      </c>
      <c r="AA24" s="22">
        <v>2044</v>
      </c>
      <c r="AB24" s="22">
        <v>2045</v>
      </c>
      <c r="AC24" s="22">
        <v>2046</v>
      </c>
      <c r="AD24" s="22">
        <v>2047</v>
      </c>
      <c r="AE24" s="22">
        <v>2048</v>
      </c>
      <c r="AF24" s="22">
        <v>2049</v>
      </c>
      <c r="AG24" s="22">
        <v>2050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>
      <c r="A25" t="s">
        <v>132</v>
      </c>
      <c r="C25">
        <f>SUMIFS(Annualized_Investments!C$2:C$9991,Annualized_Investments!$B$2:$B$9991,$A25)</f>
        <v>0</v>
      </c>
      <c r="D25">
        <f>SUMIFS(Annualized_Investments!D$2:D$9991,Annualized_Investments!$B$2:$B$9991,$A25)</f>
        <v>0</v>
      </c>
      <c r="E25">
        <f>SUMIFS(Annualized_Investments!E$2:E$9991,Annualized_Investments!$B$2:$B$9991,$A25)</f>
        <v>20.480610924099999</v>
      </c>
      <c r="F25">
        <f>SUMIFS(Annualized_Investments!F$2:F$9991,Annualized_Investments!$B$2:$B$9991,$A25)</f>
        <v>21.979192211200001</v>
      </c>
      <c r="G25">
        <f>SUMIFS(Annualized_Investments!G$2:G$9991,Annualized_Investments!$B$2:$B$9991,$A25)</f>
        <v>24.451851334899999</v>
      </c>
      <c r="H25">
        <f>SUMIFS(Annualized_Investments!H$2:H$9991,Annualized_Investments!$B$2:$B$9991,$A25)</f>
        <v>24.451851334899999</v>
      </c>
      <c r="I25">
        <f>SUMIFS(Annualized_Investments!I$2:I$9991,Annualized_Investments!$B$2:$B$9991,$A25)</f>
        <v>24.451851334899999</v>
      </c>
      <c r="J25">
        <f>SUMIFS(Annualized_Investments!J$2:J$9991,Annualized_Investments!$B$2:$B$9991,$A25)</f>
        <v>24.451851334899999</v>
      </c>
      <c r="K25">
        <f>SUMIFS(Annualized_Investments!K$2:K$9991,Annualized_Investments!$B$2:$B$9991,$A25)</f>
        <v>24.451851334899999</v>
      </c>
      <c r="L25">
        <f>SUMIFS(Annualized_Investments!L$2:L$9991,Annualized_Investments!$B$2:$B$9991,$A25)</f>
        <v>24.451851334899999</v>
      </c>
      <c r="M25">
        <f>SUMIFS(Annualized_Investments!M$2:M$9991,Annualized_Investments!$B$2:$B$9991,$A25)</f>
        <v>24.451851334899999</v>
      </c>
      <c r="N25">
        <f>SUMIFS(Annualized_Investments!N$2:N$9991,Annualized_Investments!$B$2:$B$9991,$A25)</f>
        <v>24.451851334899999</v>
      </c>
      <c r="O25">
        <f>SUMIFS(Annualized_Investments!O$2:O$9991,Annualized_Investments!$B$2:$B$9991,$A25)</f>
        <v>24.451851334899999</v>
      </c>
      <c r="P25">
        <f>SUMIFS(Annualized_Investments!P$2:P$9991,Annualized_Investments!$B$2:$B$9991,$A25)</f>
        <v>24.451851334899999</v>
      </c>
      <c r="Q25">
        <f>SUMIFS(Annualized_Investments!Q$2:Q$9991,Annualized_Investments!$B$2:$B$9991,$A25)</f>
        <v>24.451851334899999</v>
      </c>
      <c r="R25">
        <f>SUMIFS(Annualized_Investments!R$2:R$9991,Annualized_Investments!$B$2:$B$9991,$A25)</f>
        <v>24.451851334899999</v>
      </c>
      <c r="S25">
        <f>SUMIFS(Annualized_Investments!S$2:S$9991,Annualized_Investments!$B$2:$B$9991,$A25)</f>
        <v>24.451851334899999</v>
      </c>
      <c r="T25">
        <f>SUMIFS(Annualized_Investments!T$2:T$9991,Annualized_Investments!$B$2:$B$9991,$A25)</f>
        <v>24.451851334899999</v>
      </c>
      <c r="U25">
        <f>SUMIFS(Annualized_Investments!U$2:U$9991,Annualized_Investments!$B$2:$B$9991,$A25)</f>
        <v>24.451851334899999</v>
      </c>
      <c r="V25">
        <f>SUMIFS(Annualized_Investments!V$2:V$9991,Annualized_Investments!$B$2:$B$9991,$A25)</f>
        <v>24.451851334899999</v>
      </c>
      <c r="W25">
        <f>SUMIFS(Annualized_Investments!W$2:W$9991,Annualized_Investments!$B$2:$B$9991,$A25)</f>
        <v>24.451851334899999</v>
      </c>
      <c r="X25">
        <f>SUMIFS(Annualized_Investments!X$2:X$9991,Annualized_Investments!$B$2:$B$9991,$A25)</f>
        <v>24.451851334899999</v>
      </c>
      <c r="Y25">
        <f>SUMIFS(Annualized_Investments!Y$2:Y$9991,Annualized_Investments!$B$2:$B$9991,$A25)</f>
        <v>24.451851334899999</v>
      </c>
      <c r="Z25">
        <f>SUMIFS(Annualized_Investments!Z$2:Z$9991,Annualized_Investments!$B$2:$B$9991,$A25)</f>
        <v>24.451851334899999</v>
      </c>
      <c r="AA25">
        <f>SUMIFS(Annualized_Investments!AA$2:AA$9991,Annualized_Investments!$B$2:$B$9991,$A25)</f>
        <v>24.451851334899999</v>
      </c>
      <c r="AB25">
        <f>SUMIFS(Annualized_Investments!AB$2:AB$9991,Annualized_Investments!$B$2:$B$9991,$A25)</f>
        <v>24.451851334899999</v>
      </c>
      <c r="AC25">
        <f>SUMIFS(Annualized_Investments!AC$2:AC$9991,Annualized_Investments!$B$2:$B$9991,$A25)</f>
        <v>24.451851334899999</v>
      </c>
      <c r="AD25">
        <f>SUMIFS(Annualized_Investments!AD$2:AD$9991,Annualized_Investments!$B$2:$B$9991,$A25)</f>
        <v>24.451851334899999</v>
      </c>
      <c r="AE25">
        <f>SUMIFS(Annualized_Investments!AE$2:AE$9991,Annualized_Investments!$B$2:$B$9991,$A25)</f>
        <v>24.451851334899999</v>
      </c>
      <c r="AF25">
        <f>SUMIFS(Annualized_Investments!AF$2:AF$9991,Annualized_Investments!$B$2:$B$9991,$A25)</f>
        <v>24.451851334899999</v>
      </c>
      <c r="AG25">
        <f>SUMIFS(Annualized_Investments!AG$2:AG$9991,Annualized_Investments!$B$2:$B$9991,$A25)</f>
        <v>24.451851334899999</v>
      </c>
    </row>
    <row r="26" spans="1:58">
      <c r="A26" t="s">
        <v>133</v>
      </c>
      <c r="C26">
        <f>SUMIFS(Annualized_Investments!C$2:C$9991,Annualized_Investments!$B$2:$B$9991,$A26)</f>
        <v>0</v>
      </c>
      <c r="D26">
        <f>SUMIFS(Annualized_Investments!D$2:D$9991,Annualized_Investments!$B$2:$B$9991,$A26)</f>
        <v>0</v>
      </c>
      <c r="E26">
        <f>SUMIFS(Annualized_Investments!E$2:E$9991,Annualized_Investments!$B$2:$B$9991,$A26)</f>
        <v>0</v>
      </c>
      <c r="F26">
        <f>SUMIFS(Annualized_Investments!F$2:F$9991,Annualized_Investments!$B$2:$B$9991,$A26)</f>
        <v>0</v>
      </c>
      <c r="G26">
        <f>SUMIFS(Annualized_Investments!G$2:G$9991,Annualized_Investments!$B$2:$B$9991,$A26)</f>
        <v>0</v>
      </c>
      <c r="H26">
        <f>SUMIFS(Annualized_Investments!H$2:H$9991,Annualized_Investments!$B$2:$B$9991,$A26)</f>
        <v>0</v>
      </c>
      <c r="I26">
        <f>SUMIFS(Annualized_Investments!I$2:I$9991,Annualized_Investments!$B$2:$B$9991,$A26)</f>
        <v>0</v>
      </c>
      <c r="J26">
        <f>SUMIFS(Annualized_Investments!J$2:J$9991,Annualized_Investments!$B$2:$B$9991,$A26)</f>
        <v>0</v>
      </c>
      <c r="K26">
        <f>SUMIFS(Annualized_Investments!K$2:K$9991,Annualized_Investments!$B$2:$B$9991,$A26)</f>
        <v>0</v>
      </c>
      <c r="L26">
        <f>SUMIFS(Annualized_Investments!L$2:L$9991,Annualized_Investments!$B$2:$B$9991,$A26)</f>
        <v>0</v>
      </c>
      <c r="M26">
        <f>SUMIFS(Annualized_Investments!M$2:M$9991,Annualized_Investments!$B$2:$B$9991,$A26)</f>
        <v>0</v>
      </c>
      <c r="N26">
        <f>SUMIFS(Annualized_Investments!N$2:N$9991,Annualized_Investments!$B$2:$B$9991,$A26)</f>
        <v>0</v>
      </c>
      <c r="O26">
        <f>SUMIFS(Annualized_Investments!O$2:O$9991,Annualized_Investments!$B$2:$B$9991,$A26)</f>
        <v>0</v>
      </c>
      <c r="P26">
        <f>SUMIFS(Annualized_Investments!P$2:P$9991,Annualized_Investments!$B$2:$B$9991,$A26)</f>
        <v>0</v>
      </c>
      <c r="Q26">
        <f>SUMIFS(Annualized_Investments!Q$2:Q$9991,Annualized_Investments!$B$2:$B$9991,$A26)</f>
        <v>0</v>
      </c>
      <c r="R26">
        <f>SUMIFS(Annualized_Investments!R$2:R$9991,Annualized_Investments!$B$2:$B$9991,$A26)</f>
        <v>0</v>
      </c>
      <c r="S26">
        <f>SUMIFS(Annualized_Investments!S$2:S$9991,Annualized_Investments!$B$2:$B$9991,$A26)</f>
        <v>0</v>
      </c>
      <c r="T26">
        <f>SUMIFS(Annualized_Investments!T$2:T$9991,Annualized_Investments!$B$2:$B$9991,$A26)</f>
        <v>0</v>
      </c>
      <c r="U26">
        <f>SUMIFS(Annualized_Investments!U$2:U$9991,Annualized_Investments!$B$2:$B$9991,$A26)</f>
        <v>0</v>
      </c>
      <c r="V26">
        <f>SUMIFS(Annualized_Investments!V$2:V$9991,Annualized_Investments!$B$2:$B$9991,$A26)</f>
        <v>0</v>
      </c>
      <c r="W26">
        <f>SUMIFS(Annualized_Investments!W$2:W$9991,Annualized_Investments!$B$2:$B$9991,$A26)</f>
        <v>0</v>
      </c>
      <c r="X26">
        <f>SUMIFS(Annualized_Investments!X$2:X$9991,Annualized_Investments!$B$2:$B$9991,$A26)</f>
        <v>0</v>
      </c>
      <c r="Y26">
        <f>SUMIFS(Annualized_Investments!Y$2:Y$9991,Annualized_Investments!$B$2:$B$9991,$A26)</f>
        <v>0</v>
      </c>
      <c r="Z26">
        <f>SUMIFS(Annualized_Investments!Z$2:Z$9991,Annualized_Investments!$B$2:$B$9991,$A26)</f>
        <v>0</v>
      </c>
      <c r="AA26">
        <f>SUMIFS(Annualized_Investments!AA$2:AA$9991,Annualized_Investments!$B$2:$B$9991,$A26)</f>
        <v>0</v>
      </c>
      <c r="AB26">
        <f>SUMIFS(Annualized_Investments!AB$2:AB$9991,Annualized_Investments!$B$2:$B$9991,$A26)</f>
        <v>0</v>
      </c>
      <c r="AC26">
        <f>SUMIFS(Annualized_Investments!AC$2:AC$9991,Annualized_Investments!$B$2:$B$9991,$A26)</f>
        <v>0</v>
      </c>
      <c r="AD26">
        <f>SUMIFS(Annualized_Investments!AD$2:AD$9991,Annualized_Investments!$B$2:$B$9991,$A26)</f>
        <v>0</v>
      </c>
      <c r="AE26">
        <f>SUMIFS(Annualized_Investments!AE$2:AE$9991,Annualized_Investments!$B$2:$B$9991,$A26)</f>
        <v>0</v>
      </c>
      <c r="AF26">
        <f>SUMIFS(Annualized_Investments!AF$2:AF$9991,Annualized_Investments!$B$2:$B$9991,$A26)</f>
        <v>0</v>
      </c>
      <c r="AG26">
        <f>SUMIFS(Annualized_Investments!AG$2:AG$9991,Annualized_Investments!$B$2:$B$9991,$A26)</f>
        <v>0</v>
      </c>
    </row>
    <row r="27" spans="1:58">
      <c r="A27" t="s">
        <v>138</v>
      </c>
      <c r="C27">
        <f>SUMIFS(Annualized_Investments!C$2:C$9991,Annualized_Investments!$B$2:$B$9991,$A27)</f>
        <v>0</v>
      </c>
      <c r="D27">
        <f>SUMIFS(Annualized_Investments!D$2:D$9991,Annualized_Investments!$B$2:$B$9991,$A27)</f>
        <v>0</v>
      </c>
      <c r="E27">
        <f>SUMIFS(Annualized_Investments!E$2:E$9991,Annualized_Investments!$B$2:$B$9991,$A27)</f>
        <v>0.90358901309999995</v>
      </c>
      <c r="F27">
        <f>SUMIFS(Annualized_Investments!F$2:F$9991,Annualized_Investments!$B$2:$B$9991,$A27)</f>
        <v>69.548413795200005</v>
      </c>
      <c r="G27">
        <f>SUMIFS(Annualized_Investments!G$2:G$9991,Annualized_Investments!$B$2:$B$9991,$A27)</f>
        <v>71.190131796499998</v>
      </c>
      <c r="H27">
        <f>SUMIFS(Annualized_Investments!H$2:H$9991,Annualized_Investments!$B$2:$B$9991,$A27)</f>
        <v>79.908544706900003</v>
      </c>
      <c r="I27">
        <f>SUMIFS(Annualized_Investments!I$2:I$9991,Annualized_Investments!$B$2:$B$9991,$A27)</f>
        <v>286.51929548620001</v>
      </c>
      <c r="J27">
        <f>SUMIFS(Annualized_Investments!J$2:J$9991,Annualized_Investments!$B$2:$B$9991,$A27)</f>
        <v>286.51929548620001</v>
      </c>
      <c r="K27">
        <f>SUMIFS(Annualized_Investments!K$2:K$9991,Annualized_Investments!$B$2:$B$9991,$A27)</f>
        <v>286.51929548620001</v>
      </c>
      <c r="L27">
        <f>SUMIFS(Annualized_Investments!L$2:L$9991,Annualized_Investments!$B$2:$B$9991,$A27)</f>
        <v>286.51929548620001</v>
      </c>
      <c r="M27">
        <f>SUMIFS(Annualized_Investments!M$2:M$9991,Annualized_Investments!$B$2:$B$9991,$A27)</f>
        <v>286.51929548620001</v>
      </c>
      <c r="N27">
        <f>SUMIFS(Annualized_Investments!N$2:N$9991,Annualized_Investments!$B$2:$B$9991,$A27)</f>
        <v>286.51929548620001</v>
      </c>
      <c r="O27">
        <f>SUMIFS(Annualized_Investments!O$2:O$9991,Annualized_Investments!$B$2:$B$9991,$A27)</f>
        <v>286.51929548620001</v>
      </c>
      <c r="P27">
        <f>SUMIFS(Annualized_Investments!P$2:P$9991,Annualized_Investments!$B$2:$B$9991,$A27)</f>
        <v>286.51929548620001</v>
      </c>
      <c r="Q27">
        <f>SUMIFS(Annualized_Investments!Q$2:Q$9991,Annualized_Investments!$B$2:$B$9991,$A27)</f>
        <v>331.82663617959997</v>
      </c>
      <c r="R27">
        <f>SUMIFS(Annualized_Investments!R$2:R$9991,Annualized_Investments!$B$2:$B$9991,$A27)</f>
        <v>780.34264095809999</v>
      </c>
      <c r="S27">
        <f>SUMIFS(Annualized_Investments!S$2:S$9991,Annualized_Investments!$B$2:$B$9991,$A27)</f>
        <v>806.83977823500004</v>
      </c>
      <c r="T27">
        <f>SUMIFS(Annualized_Investments!T$2:T$9991,Annualized_Investments!$B$2:$B$9991,$A27)</f>
        <v>955.85870142680005</v>
      </c>
      <c r="U27">
        <f>SUMIFS(Annualized_Investments!U$2:U$9991,Annualized_Investments!$B$2:$B$9991,$A27)</f>
        <v>955.85870142680005</v>
      </c>
      <c r="V27">
        <f>SUMIFS(Annualized_Investments!V$2:V$9991,Annualized_Investments!$B$2:$B$9991,$A27)</f>
        <v>955.85870142680005</v>
      </c>
      <c r="W27">
        <f>SUMIFS(Annualized_Investments!W$2:W$9991,Annualized_Investments!$B$2:$B$9991,$A27)</f>
        <v>955.85870142680005</v>
      </c>
      <c r="X27">
        <f>SUMIFS(Annualized_Investments!X$2:X$9991,Annualized_Investments!$B$2:$B$9991,$A27)</f>
        <v>955.85870142680005</v>
      </c>
      <c r="Y27">
        <f>SUMIFS(Annualized_Investments!Y$2:Y$9991,Annualized_Investments!$B$2:$B$9991,$A27)</f>
        <v>955.85870142680005</v>
      </c>
      <c r="Z27">
        <f>SUMIFS(Annualized_Investments!Z$2:Z$9991,Annualized_Investments!$B$2:$B$9991,$A27)</f>
        <v>955.85870142680005</v>
      </c>
      <c r="AA27">
        <f>SUMIFS(Annualized_Investments!AA$2:AA$9991,Annualized_Investments!$B$2:$B$9991,$A27)</f>
        <v>955.85870142680005</v>
      </c>
      <c r="AB27">
        <f>SUMIFS(Annualized_Investments!AB$2:AB$9991,Annualized_Investments!$B$2:$B$9991,$A27)</f>
        <v>955.85870142680005</v>
      </c>
      <c r="AC27">
        <f>SUMIFS(Annualized_Investments!AC$2:AC$9991,Annualized_Investments!$B$2:$B$9991,$A27)</f>
        <v>955.85870142680005</v>
      </c>
      <c r="AD27">
        <f>SUMIFS(Annualized_Investments!AD$2:AD$9991,Annualized_Investments!$B$2:$B$9991,$A27)</f>
        <v>955.85870142680005</v>
      </c>
      <c r="AE27">
        <f>SUMIFS(Annualized_Investments!AE$2:AE$9991,Annualized_Investments!$B$2:$B$9991,$A27)</f>
        <v>955.85870142680005</v>
      </c>
      <c r="AF27">
        <f>SUMIFS(Annualized_Investments!AF$2:AF$9991,Annualized_Investments!$B$2:$B$9991,$A27)</f>
        <v>955.85870142680005</v>
      </c>
      <c r="AG27">
        <f>SUMIFS(Annualized_Investments!AG$2:AG$9991,Annualized_Investments!$B$2:$B$9991,$A27)</f>
        <v>955.85870142680005</v>
      </c>
    </row>
    <row r="28" spans="1:58">
      <c r="A28" t="s">
        <v>141</v>
      </c>
      <c r="C28">
        <f>SUMIFS(Annualized_Investments!C$2:C$9991,Annualized_Investments!$B$2:$B$9991,$A28)</f>
        <v>0</v>
      </c>
      <c r="D28">
        <f>SUMIFS(Annualized_Investments!D$2:D$9991,Annualized_Investments!$B$2:$B$9991,$A28)</f>
        <v>0</v>
      </c>
      <c r="E28">
        <f>SUMIFS(Annualized_Investments!E$2:E$9991,Annualized_Investments!$B$2:$B$9991,$A28)</f>
        <v>0</v>
      </c>
      <c r="F28">
        <f>SUMIFS(Annualized_Investments!F$2:F$9991,Annualized_Investments!$B$2:$B$9991,$A28)</f>
        <v>0</v>
      </c>
      <c r="G28">
        <f>SUMIFS(Annualized_Investments!G$2:G$9991,Annualized_Investments!$B$2:$B$9991,$A28)</f>
        <v>0</v>
      </c>
      <c r="H28">
        <f>SUMIFS(Annualized_Investments!H$2:H$9991,Annualized_Investments!$B$2:$B$9991,$A28)</f>
        <v>0</v>
      </c>
      <c r="I28">
        <f>SUMIFS(Annualized_Investments!I$2:I$9991,Annualized_Investments!$B$2:$B$9991,$A28)</f>
        <v>0</v>
      </c>
      <c r="J28">
        <f>SUMIFS(Annualized_Investments!J$2:J$9991,Annualized_Investments!$B$2:$B$9991,$A28)</f>
        <v>0</v>
      </c>
      <c r="K28">
        <f>SUMIFS(Annualized_Investments!K$2:K$9991,Annualized_Investments!$B$2:$B$9991,$A28)</f>
        <v>0</v>
      </c>
      <c r="L28">
        <f>SUMIFS(Annualized_Investments!L$2:L$9991,Annualized_Investments!$B$2:$B$9991,$A28)</f>
        <v>0</v>
      </c>
      <c r="M28">
        <f>SUMIFS(Annualized_Investments!M$2:M$9991,Annualized_Investments!$B$2:$B$9991,$A28)</f>
        <v>0</v>
      </c>
      <c r="N28">
        <f>SUMIFS(Annualized_Investments!N$2:N$9991,Annualized_Investments!$B$2:$B$9991,$A28)</f>
        <v>0</v>
      </c>
      <c r="O28">
        <f>SUMIFS(Annualized_Investments!O$2:O$9991,Annualized_Investments!$B$2:$B$9991,$A28)</f>
        <v>0</v>
      </c>
      <c r="P28">
        <f>SUMIFS(Annualized_Investments!P$2:P$9991,Annualized_Investments!$B$2:$B$9991,$A28)</f>
        <v>0</v>
      </c>
      <c r="Q28">
        <f>SUMIFS(Annualized_Investments!Q$2:Q$9991,Annualized_Investments!$B$2:$B$9991,$A28)</f>
        <v>0</v>
      </c>
      <c r="R28">
        <f>SUMIFS(Annualized_Investments!R$2:R$9991,Annualized_Investments!$B$2:$B$9991,$A28)</f>
        <v>0</v>
      </c>
      <c r="S28">
        <f>SUMIFS(Annualized_Investments!S$2:S$9991,Annualized_Investments!$B$2:$B$9991,$A28)</f>
        <v>0</v>
      </c>
      <c r="T28">
        <f>SUMIFS(Annualized_Investments!T$2:T$9991,Annualized_Investments!$B$2:$B$9991,$A28)</f>
        <v>0</v>
      </c>
      <c r="U28">
        <f>SUMIFS(Annualized_Investments!U$2:U$9991,Annualized_Investments!$B$2:$B$9991,$A28)</f>
        <v>0</v>
      </c>
      <c r="V28">
        <f>SUMIFS(Annualized_Investments!V$2:V$9991,Annualized_Investments!$B$2:$B$9991,$A28)</f>
        <v>0</v>
      </c>
      <c r="W28">
        <f>SUMIFS(Annualized_Investments!W$2:W$9991,Annualized_Investments!$B$2:$B$9991,$A28)</f>
        <v>0</v>
      </c>
      <c r="X28">
        <f>SUMIFS(Annualized_Investments!X$2:X$9991,Annualized_Investments!$B$2:$B$9991,$A28)</f>
        <v>0</v>
      </c>
      <c r="Y28">
        <f>SUMIFS(Annualized_Investments!Y$2:Y$9991,Annualized_Investments!$B$2:$B$9991,$A28)</f>
        <v>0</v>
      </c>
      <c r="Z28">
        <f>SUMIFS(Annualized_Investments!Z$2:Z$9991,Annualized_Investments!$B$2:$B$9991,$A28)</f>
        <v>0</v>
      </c>
      <c r="AA28">
        <f>SUMIFS(Annualized_Investments!AA$2:AA$9991,Annualized_Investments!$B$2:$B$9991,$A28)</f>
        <v>0</v>
      </c>
      <c r="AB28">
        <f>SUMIFS(Annualized_Investments!AB$2:AB$9991,Annualized_Investments!$B$2:$B$9991,$A28)</f>
        <v>0</v>
      </c>
      <c r="AC28">
        <f>SUMIFS(Annualized_Investments!AC$2:AC$9991,Annualized_Investments!$B$2:$B$9991,$A28)</f>
        <v>0</v>
      </c>
      <c r="AD28">
        <f>SUMIFS(Annualized_Investments!AD$2:AD$9991,Annualized_Investments!$B$2:$B$9991,$A28)</f>
        <v>0</v>
      </c>
      <c r="AE28">
        <f>SUMIFS(Annualized_Investments!AE$2:AE$9991,Annualized_Investments!$B$2:$B$9991,$A28)</f>
        <v>0</v>
      </c>
      <c r="AF28">
        <f>SUMIFS(Annualized_Investments!AF$2:AF$9991,Annualized_Investments!$B$2:$B$9991,$A28)</f>
        <v>0</v>
      </c>
      <c r="AG28">
        <f>SUMIFS(Annualized_Investments!AG$2:AG$9991,Annualized_Investments!$B$2:$B$9991,$A28)</f>
        <v>0</v>
      </c>
    </row>
    <row r="29" spans="1:58">
      <c r="A29" t="s">
        <v>142</v>
      </c>
      <c r="C29">
        <f>SUMIFS(Annualized_Investments!C$2:C$9991,Annualized_Investments!$B$2:$B$9991,$A29)</f>
        <v>0</v>
      </c>
      <c r="D29">
        <f>SUMIFS(Annualized_Investments!D$2:D$9991,Annualized_Investments!$B$2:$B$9991,$A29)</f>
        <v>107.780161326</v>
      </c>
      <c r="E29">
        <f>SUMIFS(Annualized_Investments!E$2:E$9991,Annualized_Investments!$B$2:$B$9991,$A29)</f>
        <v>222.16092839379999</v>
      </c>
      <c r="F29">
        <f>SUMIFS(Annualized_Investments!F$2:F$9991,Annualized_Investments!$B$2:$B$9991,$A29)</f>
        <v>222.16092839379999</v>
      </c>
      <c r="G29">
        <f>SUMIFS(Annualized_Investments!G$2:G$9991,Annualized_Investments!$B$2:$B$9991,$A29)</f>
        <v>311.35830328430001</v>
      </c>
      <c r="H29">
        <f>SUMIFS(Annualized_Investments!H$2:H$9991,Annualized_Investments!$B$2:$B$9991,$A29)</f>
        <v>311.35830328430001</v>
      </c>
      <c r="I29">
        <f>SUMIFS(Annualized_Investments!I$2:I$9991,Annualized_Investments!$B$2:$B$9991,$A29)</f>
        <v>311.35830328430001</v>
      </c>
      <c r="J29">
        <f>SUMIFS(Annualized_Investments!J$2:J$9991,Annualized_Investments!$B$2:$B$9991,$A29)</f>
        <v>531.27878958480005</v>
      </c>
      <c r="K29">
        <f>SUMIFS(Annualized_Investments!K$2:K$9991,Annualized_Investments!$B$2:$B$9991,$A29)</f>
        <v>750.36335457769997</v>
      </c>
      <c r="L29">
        <f>SUMIFS(Annualized_Investments!L$2:L$9991,Annualized_Investments!$B$2:$B$9991,$A29)</f>
        <v>968.40545903839995</v>
      </c>
      <c r="M29">
        <f>SUMIFS(Annualized_Investments!M$2:M$9991,Annualized_Investments!$B$2:$B$9991,$A29)</f>
        <v>1996.5529884835</v>
      </c>
      <c r="N29">
        <f>SUMIFS(Annualized_Investments!N$2:N$9991,Annualized_Investments!$B$2:$B$9991,$A29)</f>
        <v>1996.5529884835</v>
      </c>
      <c r="O29">
        <f>SUMIFS(Annualized_Investments!O$2:O$9991,Annualized_Investments!$B$2:$B$9991,$A29)</f>
        <v>1996.5529884835</v>
      </c>
      <c r="P29">
        <f>SUMIFS(Annualized_Investments!P$2:P$9991,Annualized_Investments!$B$2:$B$9991,$A29)</f>
        <v>1996.5529884835</v>
      </c>
      <c r="Q29">
        <f>SUMIFS(Annualized_Investments!Q$2:Q$9991,Annualized_Investments!$B$2:$B$9991,$A29)</f>
        <v>1996.5529884835</v>
      </c>
      <c r="R29">
        <f>SUMIFS(Annualized_Investments!R$2:R$9991,Annualized_Investments!$B$2:$B$9991,$A29)</f>
        <v>1996.5529884835</v>
      </c>
      <c r="S29">
        <f>SUMIFS(Annualized_Investments!S$2:S$9991,Annualized_Investments!$B$2:$B$9991,$A29)</f>
        <v>1996.5529884835</v>
      </c>
      <c r="T29">
        <f>SUMIFS(Annualized_Investments!T$2:T$9991,Annualized_Investments!$B$2:$B$9991,$A29)</f>
        <v>1996.5529884835</v>
      </c>
      <c r="U29">
        <f>SUMIFS(Annualized_Investments!U$2:U$9991,Annualized_Investments!$B$2:$B$9991,$A29)</f>
        <v>1996.5529884835</v>
      </c>
      <c r="V29">
        <f>SUMIFS(Annualized_Investments!V$2:V$9991,Annualized_Investments!$B$2:$B$9991,$A29)</f>
        <v>1996.5529884835</v>
      </c>
      <c r="W29">
        <f>SUMIFS(Annualized_Investments!W$2:W$9991,Annualized_Investments!$B$2:$B$9991,$A29)</f>
        <v>1996.5529884835</v>
      </c>
      <c r="X29">
        <f>SUMIFS(Annualized_Investments!X$2:X$9991,Annualized_Investments!$B$2:$B$9991,$A29)</f>
        <v>1996.5529884835</v>
      </c>
      <c r="Y29">
        <f>SUMIFS(Annualized_Investments!Y$2:Y$9991,Annualized_Investments!$B$2:$B$9991,$A29)</f>
        <v>1996.5529884835</v>
      </c>
      <c r="Z29">
        <f>SUMIFS(Annualized_Investments!Z$2:Z$9991,Annualized_Investments!$B$2:$B$9991,$A29)</f>
        <v>1996.5529884835</v>
      </c>
      <c r="AA29">
        <f>SUMIFS(Annualized_Investments!AA$2:AA$9991,Annualized_Investments!$B$2:$B$9991,$A29)</f>
        <v>1996.5529884835</v>
      </c>
      <c r="AB29">
        <f>SUMIFS(Annualized_Investments!AB$2:AB$9991,Annualized_Investments!$B$2:$B$9991,$A29)</f>
        <v>1996.5529884835</v>
      </c>
      <c r="AC29">
        <f>SUMIFS(Annualized_Investments!AC$2:AC$9991,Annualized_Investments!$B$2:$B$9991,$A29)</f>
        <v>1888.7728271574999</v>
      </c>
      <c r="AD29">
        <f>SUMIFS(Annualized_Investments!AD$2:AD$9991,Annualized_Investments!$B$2:$B$9991,$A29)</f>
        <v>1774.3920600895999</v>
      </c>
      <c r="AE29">
        <f>SUMIFS(Annualized_Investments!AE$2:AE$9991,Annualized_Investments!$B$2:$B$9991,$A29)</f>
        <v>1774.3920600895999</v>
      </c>
      <c r="AF29">
        <f>SUMIFS(Annualized_Investments!AF$2:AF$9991,Annualized_Investments!$B$2:$B$9991,$A29)</f>
        <v>1685.1946851992</v>
      </c>
      <c r="AG29">
        <f>SUMIFS(Annualized_Investments!AG$2:AG$9991,Annualized_Investments!$B$2:$B$9991,$A29)</f>
        <v>1685.1946851992</v>
      </c>
    </row>
    <row r="30" spans="1:58">
      <c r="A30" t="s">
        <v>143</v>
      </c>
      <c r="C30">
        <f>SUMIFS(Annualized_Investments!C$2:C$9991,Annualized_Investments!$B$2:$B$9991,$A30)</f>
        <v>0</v>
      </c>
      <c r="D30">
        <f>SUMIFS(Annualized_Investments!D$2:D$9991,Annualized_Investments!$B$2:$B$9991,$A30)</f>
        <v>0</v>
      </c>
      <c r="E30">
        <f>SUMIFS(Annualized_Investments!E$2:E$9991,Annualized_Investments!$B$2:$B$9991,$A30)</f>
        <v>0</v>
      </c>
      <c r="F30">
        <f>SUMIFS(Annualized_Investments!F$2:F$9991,Annualized_Investments!$B$2:$B$9991,$A30)</f>
        <v>0</v>
      </c>
      <c r="G30">
        <f>SUMIFS(Annualized_Investments!G$2:G$9991,Annualized_Investments!$B$2:$B$9991,$A30)</f>
        <v>0</v>
      </c>
      <c r="H30">
        <f>SUMIFS(Annualized_Investments!H$2:H$9991,Annualized_Investments!$B$2:$B$9991,$A30)</f>
        <v>0</v>
      </c>
      <c r="I30">
        <f>SUMIFS(Annualized_Investments!I$2:I$9991,Annualized_Investments!$B$2:$B$9991,$A30)</f>
        <v>0</v>
      </c>
      <c r="J30">
        <f>SUMIFS(Annualized_Investments!J$2:J$9991,Annualized_Investments!$B$2:$B$9991,$A30)</f>
        <v>0</v>
      </c>
      <c r="K30">
        <f>SUMIFS(Annualized_Investments!K$2:K$9991,Annualized_Investments!$B$2:$B$9991,$A30)</f>
        <v>0</v>
      </c>
      <c r="L30">
        <f>SUMIFS(Annualized_Investments!L$2:L$9991,Annualized_Investments!$B$2:$B$9991,$A30)</f>
        <v>0</v>
      </c>
      <c r="M30">
        <f>SUMIFS(Annualized_Investments!M$2:M$9991,Annualized_Investments!$B$2:$B$9991,$A30)</f>
        <v>0</v>
      </c>
      <c r="N30">
        <f>SUMIFS(Annualized_Investments!N$2:N$9991,Annualized_Investments!$B$2:$B$9991,$A30)</f>
        <v>0</v>
      </c>
      <c r="O30">
        <f>SUMIFS(Annualized_Investments!O$2:O$9991,Annualized_Investments!$B$2:$B$9991,$A30)</f>
        <v>0</v>
      </c>
      <c r="P30">
        <f>SUMIFS(Annualized_Investments!P$2:P$9991,Annualized_Investments!$B$2:$B$9991,$A30)</f>
        <v>0</v>
      </c>
      <c r="Q30">
        <f>SUMIFS(Annualized_Investments!Q$2:Q$9991,Annualized_Investments!$B$2:$B$9991,$A30)</f>
        <v>0</v>
      </c>
      <c r="R30">
        <f>SUMIFS(Annualized_Investments!R$2:R$9991,Annualized_Investments!$B$2:$B$9991,$A30)</f>
        <v>0</v>
      </c>
      <c r="S30">
        <f>SUMIFS(Annualized_Investments!S$2:S$9991,Annualized_Investments!$B$2:$B$9991,$A30)</f>
        <v>0</v>
      </c>
      <c r="T30">
        <f>SUMIFS(Annualized_Investments!T$2:T$9991,Annualized_Investments!$B$2:$B$9991,$A30)</f>
        <v>0</v>
      </c>
      <c r="U30">
        <f>SUMIFS(Annualized_Investments!U$2:U$9991,Annualized_Investments!$B$2:$B$9991,$A30)</f>
        <v>0</v>
      </c>
      <c r="V30">
        <f>SUMIFS(Annualized_Investments!V$2:V$9991,Annualized_Investments!$B$2:$B$9991,$A30)</f>
        <v>0</v>
      </c>
      <c r="W30">
        <f>SUMIFS(Annualized_Investments!W$2:W$9991,Annualized_Investments!$B$2:$B$9991,$A30)</f>
        <v>0</v>
      </c>
      <c r="X30">
        <f>SUMIFS(Annualized_Investments!X$2:X$9991,Annualized_Investments!$B$2:$B$9991,$A30)</f>
        <v>0</v>
      </c>
      <c r="Y30">
        <f>SUMIFS(Annualized_Investments!Y$2:Y$9991,Annualized_Investments!$B$2:$B$9991,$A30)</f>
        <v>0</v>
      </c>
      <c r="Z30">
        <f>SUMIFS(Annualized_Investments!Z$2:Z$9991,Annualized_Investments!$B$2:$B$9991,$A30)</f>
        <v>0</v>
      </c>
      <c r="AA30">
        <f>SUMIFS(Annualized_Investments!AA$2:AA$9991,Annualized_Investments!$B$2:$B$9991,$A30)</f>
        <v>0</v>
      </c>
      <c r="AB30">
        <f>SUMIFS(Annualized_Investments!AB$2:AB$9991,Annualized_Investments!$B$2:$B$9991,$A30)</f>
        <v>0</v>
      </c>
      <c r="AC30">
        <f>SUMIFS(Annualized_Investments!AC$2:AC$9991,Annualized_Investments!$B$2:$B$9991,$A30)</f>
        <v>0</v>
      </c>
      <c r="AD30">
        <f>SUMIFS(Annualized_Investments!AD$2:AD$9991,Annualized_Investments!$B$2:$B$9991,$A30)</f>
        <v>0</v>
      </c>
      <c r="AE30">
        <f>SUMIFS(Annualized_Investments!AE$2:AE$9991,Annualized_Investments!$B$2:$B$9991,$A30)</f>
        <v>0</v>
      </c>
      <c r="AF30">
        <f>SUMIFS(Annualized_Investments!AF$2:AF$9991,Annualized_Investments!$B$2:$B$9991,$A30)</f>
        <v>0</v>
      </c>
      <c r="AG30">
        <f>SUMIFS(Annualized_Investments!AG$2:AG$9991,Annualized_Investments!$B$2:$B$9991,$A30)</f>
        <v>0</v>
      </c>
    </row>
    <row r="31" spans="1:58">
      <c r="A31" t="s">
        <v>144</v>
      </c>
      <c r="C31">
        <f>SUMIFS(Annualized_Investments!C$2:C$9991,Annualized_Investments!$B$2:$B$9991,$A31)</f>
        <v>0</v>
      </c>
      <c r="D31">
        <f>SUMIFS(Annualized_Investments!D$2:D$9991,Annualized_Investments!$B$2:$B$9991,$A31)</f>
        <v>0</v>
      </c>
      <c r="E31">
        <f>SUMIFS(Annualized_Investments!E$2:E$9991,Annualized_Investments!$B$2:$B$9991,$A31)</f>
        <v>0</v>
      </c>
      <c r="F31">
        <f>SUMIFS(Annualized_Investments!F$2:F$9991,Annualized_Investments!$B$2:$B$9991,$A31)</f>
        <v>0</v>
      </c>
      <c r="G31">
        <f>SUMIFS(Annualized_Investments!G$2:G$9991,Annualized_Investments!$B$2:$B$9991,$A31)</f>
        <v>0</v>
      </c>
      <c r="H31">
        <f>SUMIFS(Annualized_Investments!H$2:H$9991,Annualized_Investments!$B$2:$B$9991,$A31)</f>
        <v>0</v>
      </c>
      <c r="I31">
        <f>SUMIFS(Annualized_Investments!I$2:I$9991,Annualized_Investments!$B$2:$B$9991,$A31)</f>
        <v>0</v>
      </c>
      <c r="J31">
        <f>SUMIFS(Annualized_Investments!J$2:J$9991,Annualized_Investments!$B$2:$B$9991,$A31)</f>
        <v>0</v>
      </c>
      <c r="K31">
        <f>SUMIFS(Annualized_Investments!K$2:K$9991,Annualized_Investments!$B$2:$B$9991,$A31)</f>
        <v>0</v>
      </c>
      <c r="L31">
        <f>SUMIFS(Annualized_Investments!L$2:L$9991,Annualized_Investments!$B$2:$B$9991,$A31)</f>
        <v>0</v>
      </c>
      <c r="M31">
        <f>SUMIFS(Annualized_Investments!M$2:M$9991,Annualized_Investments!$B$2:$B$9991,$A31)</f>
        <v>0</v>
      </c>
      <c r="N31">
        <f>SUMIFS(Annualized_Investments!N$2:N$9991,Annualized_Investments!$B$2:$B$9991,$A31)</f>
        <v>0</v>
      </c>
      <c r="O31">
        <f>SUMIFS(Annualized_Investments!O$2:O$9991,Annualized_Investments!$B$2:$B$9991,$A31)</f>
        <v>0</v>
      </c>
      <c r="P31">
        <f>SUMIFS(Annualized_Investments!P$2:P$9991,Annualized_Investments!$B$2:$B$9991,$A31)</f>
        <v>0</v>
      </c>
      <c r="Q31">
        <f>SUMIFS(Annualized_Investments!Q$2:Q$9991,Annualized_Investments!$B$2:$B$9991,$A31)</f>
        <v>0</v>
      </c>
      <c r="R31">
        <f>SUMIFS(Annualized_Investments!R$2:R$9991,Annualized_Investments!$B$2:$B$9991,$A31)</f>
        <v>0</v>
      </c>
      <c r="S31">
        <f>SUMIFS(Annualized_Investments!S$2:S$9991,Annualized_Investments!$B$2:$B$9991,$A31)</f>
        <v>0</v>
      </c>
      <c r="T31">
        <f>SUMIFS(Annualized_Investments!T$2:T$9991,Annualized_Investments!$B$2:$B$9991,$A31)</f>
        <v>0</v>
      </c>
      <c r="U31">
        <f>SUMIFS(Annualized_Investments!U$2:U$9991,Annualized_Investments!$B$2:$B$9991,$A31)</f>
        <v>0</v>
      </c>
      <c r="V31">
        <f>SUMIFS(Annualized_Investments!V$2:V$9991,Annualized_Investments!$B$2:$B$9991,$A31)</f>
        <v>0</v>
      </c>
      <c r="W31">
        <f>SUMIFS(Annualized_Investments!W$2:W$9991,Annualized_Investments!$B$2:$B$9991,$A31)</f>
        <v>0</v>
      </c>
      <c r="X31">
        <f>SUMIFS(Annualized_Investments!X$2:X$9991,Annualized_Investments!$B$2:$B$9991,$A31)</f>
        <v>0</v>
      </c>
      <c r="Y31">
        <f>SUMIFS(Annualized_Investments!Y$2:Y$9991,Annualized_Investments!$B$2:$B$9991,$A31)</f>
        <v>0</v>
      </c>
      <c r="Z31">
        <f>SUMIFS(Annualized_Investments!Z$2:Z$9991,Annualized_Investments!$B$2:$B$9991,$A31)</f>
        <v>0</v>
      </c>
      <c r="AA31">
        <f>SUMIFS(Annualized_Investments!AA$2:AA$9991,Annualized_Investments!$B$2:$B$9991,$A31)</f>
        <v>0</v>
      </c>
      <c r="AB31">
        <f>SUMIFS(Annualized_Investments!AB$2:AB$9991,Annualized_Investments!$B$2:$B$9991,$A31)</f>
        <v>0</v>
      </c>
      <c r="AC31">
        <f>SUMIFS(Annualized_Investments!AC$2:AC$9991,Annualized_Investments!$B$2:$B$9991,$A31)</f>
        <v>0</v>
      </c>
      <c r="AD31">
        <f>SUMIFS(Annualized_Investments!AD$2:AD$9991,Annualized_Investments!$B$2:$B$9991,$A31)</f>
        <v>0</v>
      </c>
      <c r="AE31">
        <f>SUMIFS(Annualized_Investments!AE$2:AE$9991,Annualized_Investments!$B$2:$B$9991,$A31)</f>
        <v>0</v>
      </c>
      <c r="AF31">
        <f>SUMIFS(Annualized_Investments!AF$2:AF$9991,Annualized_Investments!$B$2:$B$9991,$A31)</f>
        <v>0</v>
      </c>
      <c r="AG31">
        <f>SUMIFS(Annualized_Investments!AG$2:AG$9991,Annualized_Investments!$B$2:$B$9991,$A31)</f>
        <v>0</v>
      </c>
    </row>
    <row r="32" spans="1:58">
      <c r="A32" t="s">
        <v>145</v>
      </c>
      <c r="C32">
        <f>SUMIFS(Annualized_Investments!C$2:C$9991,Annualized_Investments!$B$2:$B$9991,$A32)</f>
        <v>210.6473130039</v>
      </c>
      <c r="D32">
        <f>SUMIFS(Annualized_Investments!D$2:D$9991,Annualized_Investments!$B$2:$B$9991,$A32)</f>
        <v>578.38260473260004</v>
      </c>
      <c r="E32">
        <f>SUMIFS(Annualized_Investments!E$2:E$9991,Annualized_Investments!$B$2:$B$9991,$A32)</f>
        <v>580.67143871919995</v>
      </c>
      <c r="F32">
        <f>SUMIFS(Annualized_Investments!F$2:F$9991,Annualized_Investments!$B$2:$B$9991,$A32)</f>
        <v>587.40838403819998</v>
      </c>
      <c r="G32">
        <f>SUMIFS(Annualized_Investments!G$2:G$9991,Annualized_Investments!$B$2:$B$9991,$A32)</f>
        <v>592.47548820980001</v>
      </c>
      <c r="H32">
        <f>SUMIFS(Annualized_Investments!H$2:H$9991,Annualized_Investments!$B$2:$B$9991,$A32)</f>
        <v>592.47548820980001</v>
      </c>
      <c r="I32">
        <f>SUMIFS(Annualized_Investments!I$2:I$9991,Annualized_Investments!$B$2:$B$9991,$A32)</f>
        <v>592.47548820980001</v>
      </c>
      <c r="J32">
        <f>SUMIFS(Annualized_Investments!J$2:J$9991,Annualized_Investments!$B$2:$B$9991,$A32)</f>
        <v>592.47548820980001</v>
      </c>
      <c r="K32">
        <f>SUMIFS(Annualized_Investments!K$2:K$9991,Annualized_Investments!$B$2:$B$9991,$A32)</f>
        <v>592.47548820980001</v>
      </c>
      <c r="L32">
        <f>SUMIFS(Annualized_Investments!L$2:L$9991,Annualized_Investments!$B$2:$B$9991,$A32)</f>
        <v>592.47548820980001</v>
      </c>
      <c r="M32">
        <f>SUMIFS(Annualized_Investments!M$2:M$9991,Annualized_Investments!$B$2:$B$9991,$A32)</f>
        <v>592.47548820980001</v>
      </c>
      <c r="N32">
        <f>SUMIFS(Annualized_Investments!N$2:N$9991,Annualized_Investments!$B$2:$B$9991,$A32)</f>
        <v>592.47548820980001</v>
      </c>
      <c r="O32">
        <f>SUMIFS(Annualized_Investments!O$2:O$9991,Annualized_Investments!$B$2:$B$9991,$A32)</f>
        <v>592.47548820980001</v>
      </c>
      <c r="P32">
        <f>SUMIFS(Annualized_Investments!P$2:P$9991,Annualized_Investments!$B$2:$B$9991,$A32)</f>
        <v>592.47548820980001</v>
      </c>
      <c r="Q32">
        <f>SUMIFS(Annualized_Investments!Q$2:Q$9991,Annualized_Investments!$B$2:$B$9991,$A32)</f>
        <v>592.47548820980001</v>
      </c>
      <c r="R32">
        <f>SUMIFS(Annualized_Investments!R$2:R$9991,Annualized_Investments!$B$2:$B$9991,$A32)</f>
        <v>592.47548820980001</v>
      </c>
      <c r="S32">
        <f>SUMIFS(Annualized_Investments!S$2:S$9991,Annualized_Investments!$B$2:$B$9991,$A32)</f>
        <v>592.47548820980001</v>
      </c>
      <c r="T32">
        <f>SUMIFS(Annualized_Investments!T$2:T$9991,Annualized_Investments!$B$2:$B$9991,$A32)</f>
        <v>592.47548820980001</v>
      </c>
      <c r="U32">
        <f>SUMIFS(Annualized_Investments!U$2:U$9991,Annualized_Investments!$B$2:$B$9991,$A32)</f>
        <v>592.47548820980001</v>
      </c>
      <c r="V32">
        <f>SUMIFS(Annualized_Investments!V$2:V$9991,Annualized_Investments!$B$2:$B$9991,$A32)</f>
        <v>592.47548820980001</v>
      </c>
      <c r="W32">
        <f>SUMIFS(Annualized_Investments!W$2:W$9991,Annualized_Investments!$B$2:$B$9991,$A32)</f>
        <v>592.47548820980001</v>
      </c>
      <c r="X32">
        <f>SUMIFS(Annualized_Investments!X$2:X$9991,Annualized_Investments!$B$2:$B$9991,$A32)</f>
        <v>592.47548820980001</v>
      </c>
      <c r="Y32">
        <f>SUMIFS(Annualized_Investments!Y$2:Y$9991,Annualized_Investments!$B$2:$B$9991,$A32)</f>
        <v>592.47548820980001</v>
      </c>
      <c r="Z32">
        <f>SUMIFS(Annualized_Investments!Z$2:Z$9991,Annualized_Investments!$B$2:$B$9991,$A32)</f>
        <v>592.47548820980001</v>
      </c>
      <c r="AA32">
        <f>SUMIFS(Annualized_Investments!AA$2:AA$9991,Annualized_Investments!$B$2:$B$9991,$A32)</f>
        <v>592.47548820980001</v>
      </c>
      <c r="AB32">
        <f>SUMIFS(Annualized_Investments!AB$2:AB$9991,Annualized_Investments!$B$2:$B$9991,$A32)</f>
        <v>592.47548820980001</v>
      </c>
      <c r="AC32">
        <f>SUMIFS(Annualized_Investments!AC$2:AC$9991,Annualized_Investments!$B$2:$B$9991,$A32)</f>
        <v>592.47548820980001</v>
      </c>
      <c r="AD32">
        <f>SUMIFS(Annualized_Investments!AD$2:AD$9991,Annualized_Investments!$B$2:$B$9991,$A32)</f>
        <v>592.47548820980001</v>
      </c>
      <c r="AE32">
        <f>SUMIFS(Annualized_Investments!AE$2:AE$9991,Annualized_Investments!$B$2:$B$9991,$A32)</f>
        <v>592.47548820980001</v>
      </c>
      <c r="AF32">
        <f>SUMIFS(Annualized_Investments!AF$2:AF$9991,Annualized_Investments!$B$2:$B$9991,$A32)</f>
        <v>592.47548820980001</v>
      </c>
      <c r="AG32">
        <f>SUMIFS(Annualized_Investments!AG$2:AG$9991,Annualized_Investments!$B$2:$B$9991,$A32)</f>
        <v>592.47548820980001</v>
      </c>
    </row>
    <row r="33" spans="1:33">
      <c r="A33" t="s">
        <v>146</v>
      </c>
      <c r="C33">
        <f>SUMIFS(Annualized_Investments!C$2:C$9991,Annualized_Investments!$B$2:$B$9991,$A33)</f>
        <v>0</v>
      </c>
      <c r="D33">
        <f>SUMIFS(Annualized_Investments!D$2:D$9991,Annualized_Investments!$B$2:$B$9991,$A33)</f>
        <v>0</v>
      </c>
      <c r="E33">
        <f>SUMIFS(Annualized_Investments!E$2:E$9991,Annualized_Investments!$B$2:$B$9991,$A33)</f>
        <v>0</v>
      </c>
      <c r="F33">
        <f>SUMIFS(Annualized_Investments!F$2:F$9991,Annualized_Investments!$B$2:$B$9991,$A33)</f>
        <v>0</v>
      </c>
      <c r="G33">
        <f>SUMIFS(Annualized_Investments!G$2:G$9991,Annualized_Investments!$B$2:$B$9991,$A33)</f>
        <v>0</v>
      </c>
      <c r="H33">
        <f>SUMIFS(Annualized_Investments!H$2:H$9991,Annualized_Investments!$B$2:$B$9991,$A33)</f>
        <v>71.357899912400001</v>
      </c>
      <c r="I33">
        <f>SUMIFS(Annualized_Investments!I$2:I$9991,Annualized_Investments!$B$2:$B$9991,$A33)</f>
        <v>71.357899912400001</v>
      </c>
      <c r="J33">
        <f>SUMIFS(Annualized_Investments!J$2:J$9991,Annualized_Investments!$B$2:$B$9991,$A33)</f>
        <v>71.357899912400001</v>
      </c>
      <c r="K33">
        <f>SUMIFS(Annualized_Investments!K$2:K$9991,Annualized_Investments!$B$2:$B$9991,$A33)</f>
        <v>71.357899912400001</v>
      </c>
      <c r="L33">
        <f>SUMIFS(Annualized_Investments!L$2:L$9991,Annualized_Investments!$B$2:$B$9991,$A33)</f>
        <v>71.357899912400001</v>
      </c>
      <c r="M33">
        <f>SUMIFS(Annualized_Investments!M$2:M$9991,Annualized_Investments!$B$2:$B$9991,$A33)</f>
        <v>71.357899912400001</v>
      </c>
      <c r="N33">
        <f>SUMIFS(Annualized_Investments!N$2:N$9991,Annualized_Investments!$B$2:$B$9991,$A33)</f>
        <v>71.357899912400001</v>
      </c>
      <c r="O33">
        <f>SUMIFS(Annualized_Investments!O$2:O$9991,Annualized_Investments!$B$2:$B$9991,$A33)</f>
        <v>71.357899912400001</v>
      </c>
      <c r="P33">
        <f>SUMIFS(Annualized_Investments!P$2:P$9991,Annualized_Investments!$B$2:$B$9991,$A33)</f>
        <v>71.357899912400001</v>
      </c>
      <c r="Q33">
        <f>SUMIFS(Annualized_Investments!Q$2:Q$9991,Annualized_Investments!$B$2:$B$9991,$A33)</f>
        <v>71.357899912400001</v>
      </c>
      <c r="R33">
        <f>SUMIFS(Annualized_Investments!R$2:R$9991,Annualized_Investments!$B$2:$B$9991,$A33)</f>
        <v>71.357899912400001</v>
      </c>
      <c r="S33">
        <f>SUMIFS(Annualized_Investments!S$2:S$9991,Annualized_Investments!$B$2:$B$9991,$A33)</f>
        <v>71.357899912400001</v>
      </c>
      <c r="T33">
        <f>SUMIFS(Annualized_Investments!T$2:T$9991,Annualized_Investments!$B$2:$B$9991,$A33)</f>
        <v>71.357899912400001</v>
      </c>
      <c r="U33">
        <f>SUMIFS(Annualized_Investments!U$2:U$9991,Annualized_Investments!$B$2:$B$9991,$A33)</f>
        <v>71.357899912400001</v>
      </c>
      <c r="V33">
        <f>SUMIFS(Annualized_Investments!V$2:V$9991,Annualized_Investments!$B$2:$B$9991,$A33)</f>
        <v>223.85145515619999</v>
      </c>
      <c r="W33">
        <f>SUMIFS(Annualized_Investments!W$2:W$9991,Annualized_Investments!$B$2:$B$9991,$A33)</f>
        <v>450.99133371480002</v>
      </c>
      <c r="X33">
        <f>SUMIFS(Annualized_Investments!X$2:X$9991,Annualized_Investments!$B$2:$B$9991,$A33)</f>
        <v>493.33597646700002</v>
      </c>
      <c r="Y33">
        <f>SUMIFS(Annualized_Investments!Y$2:Y$9991,Annualized_Investments!$B$2:$B$9991,$A33)</f>
        <v>539.75930433370002</v>
      </c>
      <c r="Z33">
        <f>SUMIFS(Annualized_Investments!Z$2:Z$9991,Annualized_Investments!$B$2:$B$9991,$A33)</f>
        <v>609.24537706180001</v>
      </c>
      <c r="AA33">
        <f>SUMIFS(Annualized_Investments!AA$2:AA$9991,Annualized_Investments!$B$2:$B$9991,$A33)</f>
        <v>654.91428434349996</v>
      </c>
      <c r="AB33">
        <f>SUMIFS(Annualized_Investments!AB$2:AB$9991,Annualized_Investments!$B$2:$B$9991,$A33)</f>
        <v>683.78508248410003</v>
      </c>
      <c r="AC33">
        <f>SUMIFS(Annualized_Investments!AC$2:AC$9991,Annualized_Investments!$B$2:$B$9991,$A33)</f>
        <v>750.29019245819995</v>
      </c>
      <c r="AD33">
        <f>SUMIFS(Annualized_Investments!AD$2:AD$9991,Annualized_Investments!$B$2:$B$9991,$A33)</f>
        <v>750.29019245819995</v>
      </c>
      <c r="AE33">
        <f>SUMIFS(Annualized_Investments!AE$2:AE$9991,Annualized_Investments!$B$2:$B$9991,$A33)</f>
        <v>750.29019245819995</v>
      </c>
      <c r="AF33">
        <f>SUMIFS(Annualized_Investments!AF$2:AF$9991,Annualized_Investments!$B$2:$B$9991,$A33)</f>
        <v>750.29019245819995</v>
      </c>
      <c r="AG33">
        <f>SUMIFS(Annualized_Investments!AG$2:AG$9991,Annualized_Investments!$B$2:$B$9991,$A33)</f>
        <v>815.7198523861</v>
      </c>
    </row>
    <row r="34" spans="1:33">
      <c r="A34" t="s">
        <v>147</v>
      </c>
      <c r="C34">
        <f>SUMIFS(Annualized_Investments!C$2:C$9991,Annualized_Investments!$B$2:$B$9991,$A34)</f>
        <v>0</v>
      </c>
      <c r="D34">
        <f>SUMIFS(Annualized_Investments!D$2:D$9991,Annualized_Investments!$B$2:$B$9991,$A34)</f>
        <v>0</v>
      </c>
      <c r="E34">
        <f>SUMIFS(Annualized_Investments!E$2:E$9991,Annualized_Investments!$B$2:$B$9991,$A34)</f>
        <v>0</v>
      </c>
      <c r="F34">
        <f>SUMIFS(Annualized_Investments!F$2:F$9991,Annualized_Investments!$B$2:$B$9991,$A34)</f>
        <v>0</v>
      </c>
      <c r="G34">
        <f>SUMIFS(Annualized_Investments!G$2:G$9991,Annualized_Investments!$B$2:$B$9991,$A34)</f>
        <v>0</v>
      </c>
      <c r="H34">
        <f>SUMIFS(Annualized_Investments!H$2:H$9991,Annualized_Investments!$B$2:$B$9991,$A34)</f>
        <v>0</v>
      </c>
      <c r="I34">
        <f>SUMIFS(Annualized_Investments!I$2:I$9991,Annualized_Investments!$B$2:$B$9991,$A34)</f>
        <v>0</v>
      </c>
      <c r="J34">
        <f>SUMIFS(Annualized_Investments!J$2:J$9991,Annualized_Investments!$B$2:$B$9991,$A34)</f>
        <v>0</v>
      </c>
      <c r="K34">
        <f>SUMIFS(Annualized_Investments!K$2:K$9991,Annualized_Investments!$B$2:$B$9991,$A34)</f>
        <v>0</v>
      </c>
      <c r="L34">
        <f>SUMIFS(Annualized_Investments!L$2:L$9991,Annualized_Investments!$B$2:$B$9991,$A34)</f>
        <v>0</v>
      </c>
      <c r="M34">
        <f>SUMIFS(Annualized_Investments!M$2:M$9991,Annualized_Investments!$B$2:$B$9991,$A34)</f>
        <v>0</v>
      </c>
      <c r="N34">
        <f>SUMIFS(Annualized_Investments!N$2:N$9991,Annualized_Investments!$B$2:$B$9991,$A34)</f>
        <v>0</v>
      </c>
      <c r="O34">
        <f>SUMIFS(Annualized_Investments!O$2:O$9991,Annualized_Investments!$B$2:$B$9991,$A34)</f>
        <v>0</v>
      </c>
      <c r="P34">
        <f>SUMIFS(Annualized_Investments!P$2:P$9991,Annualized_Investments!$B$2:$B$9991,$A34)</f>
        <v>0</v>
      </c>
      <c r="Q34">
        <f>SUMIFS(Annualized_Investments!Q$2:Q$9991,Annualized_Investments!$B$2:$B$9991,$A34)</f>
        <v>0</v>
      </c>
      <c r="R34">
        <f>SUMIFS(Annualized_Investments!R$2:R$9991,Annualized_Investments!$B$2:$B$9991,$A34)</f>
        <v>0</v>
      </c>
      <c r="S34">
        <f>SUMIFS(Annualized_Investments!S$2:S$9991,Annualized_Investments!$B$2:$B$9991,$A34)</f>
        <v>0</v>
      </c>
      <c r="T34">
        <f>SUMIFS(Annualized_Investments!T$2:T$9991,Annualized_Investments!$B$2:$B$9991,$A34)</f>
        <v>0</v>
      </c>
      <c r="U34">
        <f>SUMIFS(Annualized_Investments!U$2:U$9991,Annualized_Investments!$B$2:$B$9991,$A34)</f>
        <v>0</v>
      </c>
      <c r="V34">
        <f>SUMIFS(Annualized_Investments!V$2:V$9991,Annualized_Investments!$B$2:$B$9991,$A34)</f>
        <v>0</v>
      </c>
      <c r="W34">
        <f>SUMIFS(Annualized_Investments!W$2:W$9991,Annualized_Investments!$B$2:$B$9991,$A34)</f>
        <v>0</v>
      </c>
      <c r="X34">
        <f>SUMIFS(Annualized_Investments!X$2:X$9991,Annualized_Investments!$B$2:$B$9991,$A34)</f>
        <v>0</v>
      </c>
      <c r="Y34">
        <f>SUMIFS(Annualized_Investments!Y$2:Y$9991,Annualized_Investments!$B$2:$B$9991,$A34)</f>
        <v>0</v>
      </c>
      <c r="Z34">
        <f>SUMIFS(Annualized_Investments!Z$2:Z$9991,Annualized_Investments!$B$2:$B$9991,$A34)</f>
        <v>0</v>
      </c>
      <c r="AA34">
        <f>SUMIFS(Annualized_Investments!AA$2:AA$9991,Annualized_Investments!$B$2:$B$9991,$A34)</f>
        <v>0</v>
      </c>
      <c r="AB34">
        <f>SUMIFS(Annualized_Investments!AB$2:AB$9991,Annualized_Investments!$B$2:$B$9991,$A34)</f>
        <v>0</v>
      </c>
      <c r="AC34">
        <f>SUMIFS(Annualized_Investments!AC$2:AC$9991,Annualized_Investments!$B$2:$B$9991,$A34)</f>
        <v>0</v>
      </c>
      <c r="AD34">
        <f>SUMIFS(Annualized_Investments!AD$2:AD$9991,Annualized_Investments!$B$2:$B$9991,$A34)</f>
        <v>0</v>
      </c>
      <c r="AE34">
        <f>SUMIFS(Annualized_Investments!AE$2:AE$9991,Annualized_Investments!$B$2:$B$9991,$A34)</f>
        <v>0</v>
      </c>
      <c r="AF34">
        <f>SUMIFS(Annualized_Investments!AF$2:AF$9991,Annualized_Investments!$B$2:$B$9991,$A34)</f>
        <v>0</v>
      </c>
      <c r="AG34">
        <f>SUMIFS(Annualized_Investments!AG$2:AG$9991,Annualized_Investments!$B$2:$B$9991,$A34)</f>
        <v>0</v>
      </c>
    </row>
    <row r="35" spans="1:33">
      <c r="A35" t="s">
        <v>148</v>
      </c>
      <c r="C35">
        <f>SUMIFS(Annualized_Investments!C$2:C$9991,Annualized_Investments!$B$2:$B$9991,$A35)</f>
        <v>0</v>
      </c>
      <c r="D35">
        <f>SUMIFS(Annualized_Investments!D$2:D$9991,Annualized_Investments!$B$2:$B$9991,$A35)</f>
        <v>0</v>
      </c>
      <c r="E35">
        <f>SUMIFS(Annualized_Investments!E$2:E$9991,Annualized_Investments!$B$2:$B$9991,$A35)</f>
        <v>0</v>
      </c>
      <c r="F35">
        <f>SUMIFS(Annualized_Investments!F$2:F$9991,Annualized_Investments!$B$2:$B$9991,$A35)</f>
        <v>0</v>
      </c>
      <c r="G35">
        <f>SUMIFS(Annualized_Investments!G$2:G$9991,Annualized_Investments!$B$2:$B$9991,$A35)</f>
        <v>0</v>
      </c>
      <c r="H35">
        <f>SUMIFS(Annualized_Investments!H$2:H$9991,Annualized_Investments!$B$2:$B$9991,$A35)</f>
        <v>0</v>
      </c>
      <c r="I35">
        <f>SUMIFS(Annualized_Investments!I$2:I$9991,Annualized_Investments!$B$2:$B$9991,$A35)</f>
        <v>0</v>
      </c>
      <c r="J35">
        <f>SUMIFS(Annualized_Investments!J$2:J$9991,Annualized_Investments!$B$2:$B$9991,$A35)</f>
        <v>0</v>
      </c>
      <c r="K35">
        <f>SUMIFS(Annualized_Investments!K$2:K$9991,Annualized_Investments!$B$2:$B$9991,$A35)</f>
        <v>0</v>
      </c>
      <c r="L35">
        <f>SUMIFS(Annualized_Investments!L$2:L$9991,Annualized_Investments!$B$2:$B$9991,$A35)</f>
        <v>0</v>
      </c>
      <c r="M35">
        <f>SUMIFS(Annualized_Investments!M$2:M$9991,Annualized_Investments!$B$2:$B$9991,$A35)</f>
        <v>0</v>
      </c>
      <c r="N35">
        <f>SUMIFS(Annualized_Investments!N$2:N$9991,Annualized_Investments!$B$2:$B$9991,$A35)</f>
        <v>0</v>
      </c>
      <c r="O35">
        <f>SUMIFS(Annualized_Investments!O$2:O$9991,Annualized_Investments!$B$2:$B$9991,$A35)</f>
        <v>0</v>
      </c>
      <c r="P35">
        <f>SUMIFS(Annualized_Investments!P$2:P$9991,Annualized_Investments!$B$2:$B$9991,$A35)</f>
        <v>0</v>
      </c>
      <c r="Q35">
        <f>SUMIFS(Annualized_Investments!Q$2:Q$9991,Annualized_Investments!$B$2:$B$9991,$A35)</f>
        <v>0</v>
      </c>
      <c r="R35">
        <f>SUMIFS(Annualized_Investments!R$2:R$9991,Annualized_Investments!$B$2:$B$9991,$A35)</f>
        <v>0</v>
      </c>
      <c r="S35">
        <f>SUMIFS(Annualized_Investments!S$2:S$9991,Annualized_Investments!$B$2:$B$9991,$A35)</f>
        <v>0</v>
      </c>
      <c r="T35">
        <f>SUMIFS(Annualized_Investments!T$2:T$9991,Annualized_Investments!$B$2:$B$9991,$A35)</f>
        <v>0</v>
      </c>
      <c r="U35">
        <f>SUMIFS(Annualized_Investments!U$2:U$9991,Annualized_Investments!$B$2:$B$9991,$A35)</f>
        <v>0</v>
      </c>
      <c r="V35">
        <f>SUMIFS(Annualized_Investments!V$2:V$9991,Annualized_Investments!$B$2:$B$9991,$A35)</f>
        <v>0</v>
      </c>
      <c r="W35">
        <f>SUMIFS(Annualized_Investments!W$2:W$9991,Annualized_Investments!$B$2:$B$9991,$A35)</f>
        <v>0</v>
      </c>
      <c r="X35">
        <f>SUMIFS(Annualized_Investments!X$2:X$9991,Annualized_Investments!$B$2:$B$9991,$A35)</f>
        <v>0</v>
      </c>
      <c r="Y35">
        <f>SUMIFS(Annualized_Investments!Y$2:Y$9991,Annualized_Investments!$B$2:$B$9991,$A35)</f>
        <v>0</v>
      </c>
      <c r="Z35">
        <f>SUMIFS(Annualized_Investments!Z$2:Z$9991,Annualized_Investments!$B$2:$B$9991,$A35)</f>
        <v>0</v>
      </c>
      <c r="AA35">
        <f>SUMIFS(Annualized_Investments!AA$2:AA$9991,Annualized_Investments!$B$2:$B$9991,$A35)</f>
        <v>0</v>
      </c>
      <c r="AB35">
        <f>SUMIFS(Annualized_Investments!AB$2:AB$9991,Annualized_Investments!$B$2:$B$9991,$A35)</f>
        <v>0</v>
      </c>
      <c r="AC35">
        <f>SUMIFS(Annualized_Investments!AC$2:AC$9991,Annualized_Investments!$B$2:$B$9991,$A35)</f>
        <v>0</v>
      </c>
      <c r="AD35">
        <f>SUMIFS(Annualized_Investments!AD$2:AD$9991,Annualized_Investments!$B$2:$B$9991,$A35)</f>
        <v>0</v>
      </c>
      <c r="AE35">
        <f>SUMIFS(Annualized_Investments!AE$2:AE$9991,Annualized_Investments!$B$2:$B$9991,$A35)</f>
        <v>0</v>
      </c>
      <c r="AF35">
        <f>SUMIFS(Annualized_Investments!AF$2:AF$9991,Annualized_Investments!$B$2:$B$9991,$A35)</f>
        <v>0</v>
      </c>
      <c r="AG35">
        <f>SUMIFS(Annualized_Investments!AG$2:AG$9991,Annualized_Investments!$B$2:$B$9991,$A35)</f>
        <v>0</v>
      </c>
    </row>
    <row r="36" spans="1:33">
      <c r="A36" t="s">
        <v>149</v>
      </c>
      <c r="C36">
        <f>SUMIFS(Annualized_Investments!C$2:C$9991,Annualized_Investments!$B$2:$B$9991,$A36)</f>
        <v>0</v>
      </c>
      <c r="D36">
        <f>SUMIFS(Annualized_Investments!D$2:D$9991,Annualized_Investments!$B$2:$B$9991,$A36)</f>
        <v>0</v>
      </c>
      <c r="E36">
        <f>SUMIFS(Annualized_Investments!E$2:E$9991,Annualized_Investments!$B$2:$B$9991,$A36)</f>
        <v>0</v>
      </c>
      <c r="F36">
        <f>SUMIFS(Annualized_Investments!F$2:F$9991,Annualized_Investments!$B$2:$B$9991,$A36)</f>
        <v>0</v>
      </c>
      <c r="G36">
        <f>SUMIFS(Annualized_Investments!G$2:G$9991,Annualized_Investments!$B$2:$B$9991,$A36)</f>
        <v>0</v>
      </c>
      <c r="H36">
        <f>SUMIFS(Annualized_Investments!H$2:H$9991,Annualized_Investments!$B$2:$B$9991,$A36)</f>
        <v>0</v>
      </c>
      <c r="I36">
        <f>SUMIFS(Annualized_Investments!I$2:I$9991,Annualized_Investments!$B$2:$B$9991,$A36)</f>
        <v>0</v>
      </c>
      <c r="J36">
        <f>SUMIFS(Annualized_Investments!J$2:J$9991,Annualized_Investments!$B$2:$B$9991,$A36)</f>
        <v>0</v>
      </c>
      <c r="K36">
        <f>SUMIFS(Annualized_Investments!K$2:K$9991,Annualized_Investments!$B$2:$B$9991,$A36)</f>
        <v>0</v>
      </c>
      <c r="L36">
        <f>SUMIFS(Annualized_Investments!L$2:L$9991,Annualized_Investments!$B$2:$B$9991,$A36)</f>
        <v>0</v>
      </c>
      <c r="M36">
        <f>SUMIFS(Annualized_Investments!M$2:M$9991,Annualized_Investments!$B$2:$B$9991,$A36)</f>
        <v>0</v>
      </c>
      <c r="N36">
        <f>SUMIFS(Annualized_Investments!N$2:N$9991,Annualized_Investments!$B$2:$B$9991,$A36)</f>
        <v>0</v>
      </c>
      <c r="O36">
        <f>SUMIFS(Annualized_Investments!O$2:O$9991,Annualized_Investments!$B$2:$B$9991,$A36)</f>
        <v>0</v>
      </c>
      <c r="P36">
        <f>SUMIFS(Annualized_Investments!P$2:P$9991,Annualized_Investments!$B$2:$B$9991,$A36)</f>
        <v>0</v>
      </c>
      <c r="Q36">
        <f>SUMIFS(Annualized_Investments!Q$2:Q$9991,Annualized_Investments!$B$2:$B$9991,$A36)</f>
        <v>0</v>
      </c>
      <c r="R36">
        <f>SUMIFS(Annualized_Investments!R$2:R$9991,Annualized_Investments!$B$2:$B$9991,$A36)</f>
        <v>0</v>
      </c>
      <c r="S36">
        <f>SUMIFS(Annualized_Investments!S$2:S$9991,Annualized_Investments!$B$2:$B$9991,$A36)</f>
        <v>106.3238204628</v>
      </c>
      <c r="T36">
        <f>SUMIFS(Annualized_Investments!T$2:T$9991,Annualized_Investments!$B$2:$B$9991,$A36)</f>
        <v>558.57954869340006</v>
      </c>
      <c r="U36">
        <f>SUMIFS(Annualized_Investments!U$2:U$9991,Annualized_Investments!$B$2:$B$9991,$A36)</f>
        <v>1104.0658733519999</v>
      </c>
      <c r="V36">
        <f>SUMIFS(Annualized_Investments!V$2:V$9991,Annualized_Investments!$B$2:$B$9991,$A36)</f>
        <v>1409.7263328040001</v>
      </c>
      <c r="W36">
        <f>SUMIFS(Annualized_Investments!W$2:W$9991,Annualized_Investments!$B$2:$B$9991,$A36)</f>
        <v>1636.2561690909999</v>
      </c>
      <c r="X36">
        <f>SUMIFS(Annualized_Investments!X$2:X$9991,Annualized_Investments!$B$2:$B$9991,$A36)</f>
        <v>1795.7481309953</v>
      </c>
      <c r="Y36">
        <f>SUMIFS(Annualized_Investments!Y$2:Y$9991,Annualized_Investments!$B$2:$B$9991,$A36)</f>
        <v>1966.1464665640999</v>
      </c>
      <c r="Z36">
        <f>SUMIFS(Annualized_Investments!Z$2:Z$9991,Annualized_Investments!$B$2:$B$9991,$A36)</f>
        <v>2081.5179538469001</v>
      </c>
      <c r="AA36">
        <f>SUMIFS(Annualized_Investments!AA$2:AA$9991,Annualized_Investments!$B$2:$B$9991,$A36)</f>
        <v>2253.9601716249999</v>
      </c>
      <c r="AB36">
        <f>SUMIFS(Annualized_Investments!AB$2:AB$9991,Annualized_Investments!$B$2:$B$9991,$A36)</f>
        <v>2475.8748421178002</v>
      </c>
      <c r="AC36">
        <f>SUMIFS(Annualized_Investments!AC$2:AC$9991,Annualized_Investments!$B$2:$B$9991,$A36)</f>
        <v>2864.8021351143998</v>
      </c>
      <c r="AD36">
        <f>SUMIFS(Annualized_Investments!AD$2:AD$9991,Annualized_Investments!$B$2:$B$9991,$A36)</f>
        <v>3304.1084929722001</v>
      </c>
      <c r="AE36">
        <f>SUMIFS(Annualized_Investments!AE$2:AE$9991,Annualized_Investments!$B$2:$B$9991,$A36)</f>
        <v>3595.8298384674999</v>
      </c>
      <c r="AF36">
        <f>SUMIFS(Annualized_Investments!AF$2:AF$9991,Annualized_Investments!$B$2:$B$9991,$A36)</f>
        <v>4001.5823145477998</v>
      </c>
      <c r="AG36">
        <f>SUMIFS(Annualized_Investments!AG$2:AG$9991,Annualized_Investments!$B$2:$B$9991,$A36)</f>
        <v>4259.8242408494998</v>
      </c>
    </row>
    <row r="37" spans="1:33">
      <c r="A37" t="s">
        <v>150</v>
      </c>
      <c r="C37">
        <f>SUMIFS(Annualized_Investments!C$2:C$9991,Annualized_Investments!$B$2:$B$9991,$A37)</f>
        <v>0</v>
      </c>
      <c r="D37">
        <f>SUMIFS(Annualized_Investments!D$2:D$9991,Annualized_Investments!$B$2:$B$9991,$A37)</f>
        <v>17.8767600929</v>
      </c>
      <c r="E37">
        <f>SUMIFS(Annualized_Investments!E$2:E$9991,Annualized_Investments!$B$2:$B$9991,$A37)</f>
        <v>35.182746503700002</v>
      </c>
      <c r="F37">
        <f>SUMIFS(Annualized_Investments!F$2:F$9991,Annualized_Investments!$B$2:$B$9991,$A37)</f>
        <v>43.737239445599997</v>
      </c>
      <c r="G37">
        <f>SUMIFS(Annualized_Investments!G$2:G$9991,Annualized_Investments!$B$2:$B$9991,$A37)</f>
        <v>96.293446186699995</v>
      </c>
      <c r="H37">
        <f>SUMIFS(Annualized_Investments!H$2:H$9991,Annualized_Investments!$B$2:$B$9991,$A37)</f>
        <v>110.19144367200001</v>
      </c>
      <c r="I37">
        <f>SUMIFS(Annualized_Investments!I$2:I$9991,Annualized_Investments!$B$2:$B$9991,$A37)</f>
        <v>110.19144367200001</v>
      </c>
      <c r="J37">
        <f>SUMIFS(Annualized_Investments!J$2:J$9991,Annualized_Investments!$B$2:$B$9991,$A37)</f>
        <v>110.19144367200001</v>
      </c>
      <c r="K37">
        <f>SUMIFS(Annualized_Investments!K$2:K$9991,Annualized_Investments!$B$2:$B$9991,$A37)</f>
        <v>110.19144367200001</v>
      </c>
      <c r="L37">
        <f>SUMIFS(Annualized_Investments!L$2:L$9991,Annualized_Investments!$B$2:$B$9991,$A37)</f>
        <v>110.19144367200001</v>
      </c>
      <c r="M37">
        <f>SUMIFS(Annualized_Investments!M$2:M$9991,Annualized_Investments!$B$2:$B$9991,$A37)</f>
        <v>110.19144367200001</v>
      </c>
      <c r="N37">
        <f>SUMIFS(Annualized_Investments!N$2:N$9991,Annualized_Investments!$B$2:$B$9991,$A37)</f>
        <v>110.19144367200001</v>
      </c>
      <c r="O37">
        <f>SUMIFS(Annualized_Investments!O$2:O$9991,Annualized_Investments!$B$2:$B$9991,$A37)</f>
        <v>110.19144367200001</v>
      </c>
      <c r="P37">
        <f>SUMIFS(Annualized_Investments!P$2:P$9991,Annualized_Investments!$B$2:$B$9991,$A37)</f>
        <v>110.19144367200001</v>
      </c>
      <c r="Q37">
        <f>SUMIFS(Annualized_Investments!Q$2:Q$9991,Annualized_Investments!$B$2:$B$9991,$A37)</f>
        <v>377.0503350043</v>
      </c>
      <c r="R37">
        <f>SUMIFS(Annualized_Investments!R$2:R$9991,Annualized_Investments!$B$2:$B$9991,$A37)</f>
        <v>377.0503350043</v>
      </c>
      <c r="S37">
        <f>SUMIFS(Annualized_Investments!S$2:S$9991,Annualized_Investments!$B$2:$B$9991,$A37)</f>
        <v>559.70048437089997</v>
      </c>
      <c r="T37">
        <f>SUMIFS(Annualized_Investments!T$2:T$9991,Annualized_Investments!$B$2:$B$9991,$A37)</f>
        <v>559.70048437089997</v>
      </c>
      <c r="U37">
        <f>SUMIFS(Annualized_Investments!U$2:U$9991,Annualized_Investments!$B$2:$B$9991,$A37)</f>
        <v>559.70048437089997</v>
      </c>
      <c r="V37">
        <f>SUMIFS(Annualized_Investments!V$2:V$9991,Annualized_Investments!$B$2:$B$9991,$A37)</f>
        <v>559.70048437089997</v>
      </c>
      <c r="W37">
        <f>SUMIFS(Annualized_Investments!W$2:W$9991,Annualized_Investments!$B$2:$B$9991,$A37)</f>
        <v>559.70048437089997</v>
      </c>
      <c r="X37">
        <f>SUMIFS(Annualized_Investments!X$2:X$9991,Annualized_Investments!$B$2:$B$9991,$A37)</f>
        <v>559.70048437089997</v>
      </c>
      <c r="Y37">
        <f>SUMIFS(Annualized_Investments!Y$2:Y$9991,Annualized_Investments!$B$2:$B$9991,$A37)</f>
        <v>559.70048437089997</v>
      </c>
      <c r="Z37">
        <f>SUMIFS(Annualized_Investments!Z$2:Z$9991,Annualized_Investments!$B$2:$B$9991,$A37)</f>
        <v>574.23525486580002</v>
      </c>
      <c r="AA37">
        <f>SUMIFS(Annualized_Investments!AA$2:AA$9991,Annualized_Investments!$B$2:$B$9991,$A37)</f>
        <v>574.23525486580002</v>
      </c>
      <c r="AB37">
        <f>SUMIFS(Annualized_Investments!AB$2:AB$9991,Annualized_Investments!$B$2:$B$9991,$A37)</f>
        <v>574.23525486580002</v>
      </c>
      <c r="AC37">
        <f>SUMIFS(Annualized_Investments!AC$2:AC$9991,Annualized_Investments!$B$2:$B$9991,$A37)</f>
        <v>574.23525486580002</v>
      </c>
      <c r="AD37">
        <f>SUMIFS(Annualized_Investments!AD$2:AD$9991,Annualized_Investments!$B$2:$B$9991,$A37)</f>
        <v>574.23525486580002</v>
      </c>
      <c r="AE37">
        <f>SUMIFS(Annualized_Investments!AE$2:AE$9991,Annualized_Investments!$B$2:$B$9991,$A37)</f>
        <v>625.38534076300004</v>
      </c>
      <c r="AF37">
        <f>SUMIFS(Annualized_Investments!AF$2:AF$9991,Annualized_Investments!$B$2:$B$9991,$A37)</f>
        <v>629.995418255</v>
      </c>
      <c r="AG37">
        <f>SUMIFS(Annualized_Investments!AG$2:AG$9991,Annualized_Investments!$B$2:$B$9991,$A37)</f>
        <v>836.04598756079997</v>
      </c>
    </row>
    <row r="38" spans="1:33">
      <c r="A38" t="s">
        <v>151</v>
      </c>
      <c r="C38">
        <f>SUMIFS(Annualized_Investments!C$2:C$9991,Annualized_Investments!$B$2:$B$9991,$A38)</f>
        <v>0</v>
      </c>
      <c r="D38">
        <f>SUMIFS(Annualized_Investments!D$2:D$9991,Annualized_Investments!$B$2:$B$9991,$A38)</f>
        <v>0</v>
      </c>
      <c r="E38">
        <f>SUMIFS(Annualized_Investments!E$2:E$9991,Annualized_Investments!$B$2:$B$9991,$A38)</f>
        <v>0</v>
      </c>
      <c r="F38">
        <f>SUMIFS(Annualized_Investments!F$2:F$9991,Annualized_Investments!$B$2:$B$9991,$A38)</f>
        <v>0</v>
      </c>
      <c r="G38">
        <f>SUMIFS(Annualized_Investments!G$2:G$9991,Annualized_Investments!$B$2:$B$9991,$A38)</f>
        <v>0</v>
      </c>
      <c r="H38">
        <f>SUMIFS(Annualized_Investments!H$2:H$9991,Annualized_Investments!$B$2:$B$9991,$A38)</f>
        <v>0</v>
      </c>
      <c r="I38">
        <f>SUMIFS(Annualized_Investments!I$2:I$9991,Annualized_Investments!$B$2:$B$9991,$A38)</f>
        <v>0</v>
      </c>
      <c r="J38">
        <f>SUMIFS(Annualized_Investments!J$2:J$9991,Annualized_Investments!$B$2:$B$9991,$A38)</f>
        <v>0</v>
      </c>
      <c r="K38">
        <f>SUMIFS(Annualized_Investments!K$2:K$9991,Annualized_Investments!$B$2:$B$9991,$A38)</f>
        <v>0</v>
      </c>
      <c r="L38">
        <f>SUMIFS(Annualized_Investments!L$2:L$9991,Annualized_Investments!$B$2:$B$9991,$A38)</f>
        <v>0</v>
      </c>
      <c r="M38">
        <f>SUMIFS(Annualized_Investments!M$2:M$9991,Annualized_Investments!$B$2:$B$9991,$A38)</f>
        <v>0</v>
      </c>
      <c r="N38">
        <f>SUMIFS(Annualized_Investments!N$2:N$9991,Annualized_Investments!$B$2:$B$9991,$A38)</f>
        <v>0</v>
      </c>
      <c r="O38">
        <f>SUMIFS(Annualized_Investments!O$2:O$9991,Annualized_Investments!$B$2:$B$9991,$A38)</f>
        <v>0</v>
      </c>
      <c r="P38">
        <f>SUMIFS(Annualized_Investments!P$2:P$9991,Annualized_Investments!$B$2:$B$9991,$A38)</f>
        <v>0</v>
      </c>
      <c r="Q38">
        <f>SUMIFS(Annualized_Investments!Q$2:Q$9991,Annualized_Investments!$B$2:$B$9991,$A38)</f>
        <v>0</v>
      </c>
      <c r="R38">
        <f>SUMIFS(Annualized_Investments!R$2:R$9991,Annualized_Investments!$B$2:$B$9991,$A38)</f>
        <v>0</v>
      </c>
      <c r="S38">
        <f>SUMIFS(Annualized_Investments!S$2:S$9991,Annualized_Investments!$B$2:$B$9991,$A38)</f>
        <v>0</v>
      </c>
      <c r="T38">
        <f>SUMIFS(Annualized_Investments!T$2:T$9991,Annualized_Investments!$B$2:$B$9991,$A38)</f>
        <v>0</v>
      </c>
      <c r="U38">
        <f>SUMIFS(Annualized_Investments!U$2:U$9991,Annualized_Investments!$B$2:$B$9991,$A38)</f>
        <v>0</v>
      </c>
      <c r="V38">
        <f>SUMIFS(Annualized_Investments!V$2:V$9991,Annualized_Investments!$B$2:$B$9991,$A38)</f>
        <v>0</v>
      </c>
      <c r="W38">
        <f>SUMIFS(Annualized_Investments!W$2:W$9991,Annualized_Investments!$B$2:$B$9991,$A38)</f>
        <v>0</v>
      </c>
      <c r="X38">
        <f>SUMIFS(Annualized_Investments!X$2:X$9991,Annualized_Investments!$B$2:$B$9991,$A38)</f>
        <v>0</v>
      </c>
      <c r="Y38">
        <f>SUMIFS(Annualized_Investments!Y$2:Y$9991,Annualized_Investments!$B$2:$B$9991,$A38)</f>
        <v>0</v>
      </c>
      <c r="Z38">
        <f>SUMIFS(Annualized_Investments!Z$2:Z$9991,Annualized_Investments!$B$2:$B$9991,$A38)</f>
        <v>0</v>
      </c>
      <c r="AA38">
        <f>SUMIFS(Annualized_Investments!AA$2:AA$9991,Annualized_Investments!$B$2:$B$9991,$A38)</f>
        <v>0</v>
      </c>
      <c r="AB38">
        <f>SUMIFS(Annualized_Investments!AB$2:AB$9991,Annualized_Investments!$B$2:$B$9991,$A38)</f>
        <v>0</v>
      </c>
      <c r="AC38">
        <f>SUMIFS(Annualized_Investments!AC$2:AC$9991,Annualized_Investments!$B$2:$B$9991,$A38)</f>
        <v>0</v>
      </c>
      <c r="AD38">
        <f>SUMIFS(Annualized_Investments!AD$2:AD$9991,Annualized_Investments!$B$2:$B$9991,$A38)</f>
        <v>0</v>
      </c>
      <c r="AE38">
        <f>SUMIFS(Annualized_Investments!AE$2:AE$9991,Annualized_Investments!$B$2:$B$9991,$A38)</f>
        <v>0</v>
      </c>
      <c r="AF38">
        <f>SUMIFS(Annualized_Investments!AF$2:AF$9991,Annualized_Investments!$B$2:$B$9991,$A38)</f>
        <v>0</v>
      </c>
      <c r="AG38">
        <f>SUMIFS(Annualized_Investments!AG$2:AG$9991,Annualized_Investments!$B$2:$B$9991,$A38)</f>
        <v>0</v>
      </c>
    </row>
    <row r="39" spans="1:33">
      <c r="A39" t="s">
        <v>152</v>
      </c>
      <c r="C39">
        <f>SUMIFS(Annualized_Investments!C$2:C$9991,Annualized_Investments!$B$2:$B$9991,$A39)</f>
        <v>24.191247073500001</v>
      </c>
      <c r="D39">
        <f>SUMIFS(Annualized_Investments!D$2:D$9991,Annualized_Investments!$B$2:$B$9991,$A39)</f>
        <v>39.447849884599997</v>
      </c>
      <c r="E39">
        <f>SUMIFS(Annualized_Investments!E$2:E$9991,Annualized_Investments!$B$2:$B$9991,$A39)</f>
        <v>39.447849884599997</v>
      </c>
      <c r="F39">
        <f>SUMIFS(Annualized_Investments!F$2:F$9991,Annualized_Investments!$B$2:$B$9991,$A39)</f>
        <v>41.740986002900001</v>
      </c>
      <c r="G39">
        <f>SUMIFS(Annualized_Investments!G$2:G$9991,Annualized_Investments!$B$2:$B$9991,$A39)</f>
        <v>41.740986002900001</v>
      </c>
      <c r="H39">
        <f>SUMIFS(Annualized_Investments!H$2:H$9991,Annualized_Investments!$B$2:$B$9991,$A39)</f>
        <v>41.740986002900001</v>
      </c>
      <c r="I39">
        <f>SUMIFS(Annualized_Investments!I$2:I$9991,Annualized_Investments!$B$2:$B$9991,$A39)</f>
        <v>41.740986002900001</v>
      </c>
      <c r="J39">
        <f>SUMIFS(Annualized_Investments!J$2:J$9991,Annualized_Investments!$B$2:$B$9991,$A39)</f>
        <v>41.740986002900001</v>
      </c>
      <c r="K39">
        <f>SUMIFS(Annualized_Investments!K$2:K$9991,Annualized_Investments!$B$2:$B$9991,$A39)</f>
        <v>41.740986002900001</v>
      </c>
      <c r="L39">
        <f>SUMIFS(Annualized_Investments!L$2:L$9991,Annualized_Investments!$B$2:$B$9991,$A39)</f>
        <v>41.740986002900001</v>
      </c>
      <c r="M39">
        <f>SUMIFS(Annualized_Investments!M$2:M$9991,Annualized_Investments!$B$2:$B$9991,$A39)</f>
        <v>41.740986002900001</v>
      </c>
      <c r="N39">
        <f>SUMIFS(Annualized_Investments!N$2:N$9991,Annualized_Investments!$B$2:$B$9991,$A39)</f>
        <v>41.740986002900001</v>
      </c>
      <c r="O39">
        <f>SUMIFS(Annualized_Investments!O$2:O$9991,Annualized_Investments!$B$2:$B$9991,$A39)</f>
        <v>41.740986002900001</v>
      </c>
      <c r="P39">
        <f>SUMIFS(Annualized_Investments!P$2:P$9991,Annualized_Investments!$B$2:$B$9991,$A39)</f>
        <v>41.740986002900001</v>
      </c>
      <c r="Q39">
        <f>SUMIFS(Annualized_Investments!Q$2:Q$9991,Annualized_Investments!$B$2:$B$9991,$A39)</f>
        <v>41.740986002900001</v>
      </c>
      <c r="R39">
        <f>SUMIFS(Annualized_Investments!R$2:R$9991,Annualized_Investments!$B$2:$B$9991,$A39)</f>
        <v>41.740986002900001</v>
      </c>
      <c r="S39">
        <f>SUMIFS(Annualized_Investments!S$2:S$9991,Annualized_Investments!$B$2:$B$9991,$A39)</f>
        <v>41.740986002900001</v>
      </c>
      <c r="T39">
        <f>SUMIFS(Annualized_Investments!T$2:T$9991,Annualized_Investments!$B$2:$B$9991,$A39)</f>
        <v>41.740986002900001</v>
      </c>
      <c r="U39">
        <f>SUMIFS(Annualized_Investments!U$2:U$9991,Annualized_Investments!$B$2:$B$9991,$A39)</f>
        <v>41.740986002900001</v>
      </c>
      <c r="V39">
        <f>SUMIFS(Annualized_Investments!V$2:V$9991,Annualized_Investments!$B$2:$B$9991,$A39)</f>
        <v>41.740986002900001</v>
      </c>
      <c r="W39">
        <f>SUMIFS(Annualized_Investments!W$2:W$9991,Annualized_Investments!$B$2:$B$9991,$A39)</f>
        <v>41.740986002900001</v>
      </c>
      <c r="X39">
        <f>SUMIFS(Annualized_Investments!X$2:X$9991,Annualized_Investments!$B$2:$B$9991,$A39)</f>
        <v>41.740986002900001</v>
      </c>
      <c r="Y39">
        <f>SUMIFS(Annualized_Investments!Y$2:Y$9991,Annualized_Investments!$B$2:$B$9991,$A39)</f>
        <v>41.740986002900001</v>
      </c>
      <c r="Z39">
        <f>SUMIFS(Annualized_Investments!Z$2:Z$9991,Annualized_Investments!$B$2:$B$9991,$A39)</f>
        <v>41.740986002900001</v>
      </c>
      <c r="AA39">
        <f>SUMIFS(Annualized_Investments!AA$2:AA$9991,Annualized_Investments!$B$2:$B$9991,$A39)</f>
        <v>41.740986002900001</v>
      </c>
      <c r="AB39">
        <f>SUMIFS(Annualized_Investments!AB$2:AB$9991,Annualized_Investments!$B$2:$B$9991,$A39)</f>
        <v>17.5497389294</v>
      </c>
      <c r="AC39">
        <f>SUMIFS(Annualized_Investments!AC$2:AC$9991,Annualized_Investments!$B$2:$B$9991,$A39)</f>
        <v>2.2931361183000001</v>
      </c>
      <c r="AD39">
        <f>SUMIFS(Annualized_Investments!AD$2:AD$9991,Annualized_Investments!$B$2:$B$9991,$A39)</f>
        <v>2.2931361183000001</v>
      </c>
      <c r="AE39">
        <f>SUMIFS(Annualized_Investments!AE$2:AE$9991,Annualized_Investments!$B$2:$B$9991,$A39)</f>
        <v>0</v>
      </c>
      <c r="AF39">
        <f>SUMIFS(Annualized_Investments!AF$2:AF$9991,Annualized_Investments!$B$2:$B$9991,$A39)</f>
        <v>0</v>
      </c>
      <c r="AG39">
        <f>SUMIFS(Annualized_Investments!AG$2:AG$9991,Annualized_Investments!$B$2:$B$9991,$A39)</f>
        <v>0</v>
      </c>
    </row>
    <row r="40" spans="1:33">
      <c r="A40" t="s">
        <v>135</v>
      </c>
      <c r="C40">
        <f>SUMIFS(Annualized_Investments!C$2:C$9991,Annualized_Investments!$B$2:$B$9991,$A40)</f>
        <v>0</v>
      </c>
      <c r="D40">
        <f>SUMIFS(Annualized_Investments!D$2:D$9991,Annualized_Investments!$B$2:$B$9991,$A40)</f>
        <v>12.9732737057</v>
      </c>
      <c r="E40">
        <f>SUMIFS(Annualized_Investments!E$2:E$9991,Annualized_Investments!$B$2:$B$9991,$A40)</f>
        <v>19.993849520800001</v>
      </c>
      <c r="F40">
        <f>SUMIFS(Annualized_Investments!F$2:F$9991,Annualized_Investments!$B$2:$B$9991,$A40)</f>
        <v>19.993849520800001</v>
      </c>
      <c r="G40">
        <f>SUMIFS(Annualized_Investments!G$2:G$9991,Annualized_Investments!$B$2:$B$9991,$A40)</f>
        <v>20.801973355600001</v>
      </c>
      <c r="H40">
        <f>SUMIFS(Annualized_Investments!H$2:H$9991,Annualized_Investments!$B$2:$B$9991,$A40)</f>
        <v>20.801973355600001</v>
      </c>
      <c r="I40">
        <f>SUMIFS(Annualized_Investments!I$2:I$9991,Annualized_Investments!$B$2:$B$9991,$A40)</f>
        <v>20.801973355600001</v>
      </c>
      <c r="J40">
        <f>SUMIFS(Annualized_Investments!J$2:J$9991,Annualized_Investments!$B$2:$B$9991,$A40)</f>
        <v>20.801973355600001</v>
      </c>
      <c r="K40">
        <f>SUMIFS(Annualized_Investments!K$2:K$9991,Annualized_Investments!$B$2:$B$9991,$A40)</f>
        <v>20.801973355600001</v>
      </c>
      <c r="L40">
        <f>SUMIFS(Annualized_Investments!L$2:L$9991,Annualized_Investments!$B$2:$B$9991,$A40)</f>
        <v>20.801973355600001</v>
      </c>
      <c r="M40">
        <f>SUMIFS(Annualized_Investments!M$2:M$9991,Annualized_Investments!$B$2:$B$9991,$A40)</f>
        <v>20.801973355600001</v>
      </c>
      <c r="N40">
        <f>SUMIFS(Annualized_Investments!N$2:N$9991,Annualized_Investments!$B$2:$B$9991,$A40)</f>
        <v>20.801973355600001</v>
      </c>
      <c r="O40">
        <f>SUMIFS(Annualized_Investments!O$2:O$9991,Annualized_Investments!$B$2:$B$9991,$A40)</f>
        <v>20.801973355600001</v>
      </c>
      <c r="P40">
        <f>SUMIFS(Annualized_Investments!P$2:P$9991,Annualized_Investments!$B$2:$B$9991,$A40)</f>
        <v>20.801973355600001</v>
      </c>
      <c r="Q40">
        <f>SUMIFS(Annualized_Investments!Q$2:Q$9991,Annualized_Investments!$B$2:$B$9991,$A40)</f>
        <v>20.801973355600001</v>
      </c>
      <c r="R40">
        <f>SUMIFS(Annualized_Investments!R$2:R$9991,Annualized_Investments!$B$2:$B$9991,$A40)</f>
        <v>20.801973355600001</v>
      </c>
      <c r="S40">
        <f>SUMIFS(Annualized_Investments!S$2:S$9991,Annualized_Investments!$B$2:$B$9991,$A40)</f>
        <v>20.801973355600001</v>
      </c>
      <c r="T40">
        <f>SUMIFS(Annualized_Investments!T$2:T$9991,Annualized_Investments!$B$2:$B$9991,$A40)</f>
        <v>20.801973355600001</v>
      </c>
      <c r="U40">
        <f>SUMIFS(Annualized_Investments!U$2:U$9991,Annualized_Investments!$B$2:$B$9991,$A40)</f>
        <v>20.801973355600001</v>
      </c>
      <c r="V40">
        <f>SUMIFS(Annualized_Investments!V$2:V$9991,Annualized_Investments!$B$2:$B$9991,$A40)</f>
        <v>20.801973355600001</v>
      </c>
      <c r="W40">
        <f>SUMIFS(Annualized_Investments!W$2:W$9991,Annualized_Investments!$B$2:$B$9991,$A40)</f>
        <v>20.801973355600001</v>
      </c>
      <c r="X40">
        <f>SUMIFS(Annualized_Investments!X$2:X$9991,Annualized_Investments!$B$2:$B$9991,$A40)</f>
        <v>20.801973355600001</v>
      </c>
      <c r="Y40">
        <f>SUMIFS(Annualized_Investments!Y$2:Y$9991,Annualized_Investments!$B$2:$B$9991,$A40)</f>
        <v>20.801973355600001</v>
      </c>
      <c r="Z40">
        <f>SUMIFS(Annualized_Investments!Z$2:Z$9991,Annualized_Investments!$B$2:$B$9991,$A40)</f>
        <v>20.801973355600001</v>
      </c>
      <c r="AA40">
        <f>SUMIFS(Annualized_Investments!AA$2:AA$9991,Annualized_Investments!$B$2:$B$9991,$A40)</f>
        <v>20.801973355600001</v>
      </c>
      <c r="AB40">
        <f>SUMIFS(Annualized_Investments!AB$2:AB$9991,Annualized_Investments!$B$2:$B$9991,$A40)</f>
        <v>20.801973355600001</v>
      </c>
      <c r="AC40">
        <f>SUMIFS(Annualized_Investments!AC$2:AC$9991,Annualized_Investments!$B$2:$B$9991,$A40)</f>
        <v>20.801973355600001</v>
      </c>
      <c r="AD40">
        <f>SUMIFS(Annualized_Investments!AD$2:AD$9991,Annualized_Investments!$B$2:$B$9991,$A40)</f>
        <v>20.801973355600001</v>
      </c>
      <c r="AE40">
        <f>SUMIFS(Annualized_Investments!AE$2:AE$9991,Annualized_Investments!$B$2:$B$9991,$A40)</f>
        <v>20.801973355600001</v>
      </c>
      <c r="AF40">
        <f>SUMIFS(Annualized_Investments!AF$2:AF$9991,Annualized_Investments!$B$2:$B$9991,$A40)</f>
        <v>20.801973355600001</v>
      </c>
      <c r="AG40">
        <f>SUMIFS(Annualized_Investments!AG$2:AG$9991,Annualized_Investments!$B$2:$B$9991,$A40)</f>
        <v>20.801973355600001</v>
      </c>
    </row>
    <row r="41" spans="1:33">
      <c r="A41" t="s">
        <v>134</v>
      </c>
      <c r="C41">
        <f>SUMIFS(Annualized_Investments!C$2:C$9991,Annualized_Investments!$B$2:$B$9991,$A41)</f>
        <v>0</v>
      </c>
      <c r="D41">
        <f>SUMIFS(Annualized_Investments!D$2:D$9991,Annualized_Investments!$B$2:$B$9991,$A41)</f>
        <v>0</v>
      </c>
      <c r="E41">
        <f>SUMIFS(Annualized_Investments!E$2:E$9991,Annualized_Investments!$B$2:$B$9991,$A41)</f>
        <v>0</v>
      </c>
      <c r="F41">
        <f>SUMIFS(Annualized_Investments!F$2:F$9991,Annualized_Investments!$B$2:$B$9991,$A41)</f>
        <v>0</v>
      </c>
      <c r="G41">
        <f>SUMIFS(Annualized_Investments!G$2:G$9991,Annualized_Investments!$B$2:$B$9991,$A41)</f>
        <v>0</v>
      </c>
      <c r="H41">
        <f>SUMIFS(Annualized_Investments!H$2:H$9991,Annualized_Investments!$B$2:$B$9991,$A41)</f>
        <v>0</v>
      </c>
      <c r="I41">
        <f>SUMIFS(Annualized_Investments!I$2:I$9991,Annualized_Investments!$B$2:$B$9991,$A41)</f>
        <v>0</v>
      </c>
      <c r="J41">
        <f>SUMIFS(Annualized_Investments!J$2:J$9991,Annualized_Investments!$B$2:$B$9991,$A41)</f>
        <v>0</v>
      </c>
      <c r="K41">
        <f>SUMIFS(Annualized_Investments!K$2:K$9991,Annualized_Investments!$B$2:$B$9991,$A41)</f>
        <v>0</v>
      </c>
      <c r="L41">
        <f>SUMIFS(Annualized_Investments!L$2:L$9991,Annualized_Investments!$B$2:$B$9991,$A41)</f>
        <v>0</v>
      </c>
      <c r="M41">
        <f>SUMIFS(Annualized_Investments!M$2:M$9991,Annualized_Investments!$B$2:$B$9991,$A41)</f>
        <v>0</v>
      </c>
      <c r="N41">
        <f>SUMIFS(Annualized_Investments!N$2:N$9991,Annualized_Investments!$B$2:$B$9991,$A41)</f>
        <v>0</v>
      </c>
      <c r="O41">
        <f>SUMIFS(Annualized_Investments!O$2:O$9991,Annualized_Investments!$B$2:$B$9991,$A41)</f>
        <v>0</v>
      </c>
      <c r="P41">
        <f>SUMIFS(Annualized_Investments!P$2:P$9991,Annualized_Investments!$B$2:$B$9991,$A41)</f>
        <v>0</v>
      </c>
      <c r="Q41">
        <f>SUMIFS(Annualized_Investments!Q$2:Q$9991,Annualized_Investments!$B$2:$B$9991,$A41)</f>
        <v>0</v>
      </c>
      <c r="R41">
        <f>SUMIFS(Annualized_Investments!R$2:R$9991,Annualized_Investments!$B$2:$B$9991,$A41)</f>
        <v>0</v>
      </c>
      <c r="S41">
        <f>SUMIFS(Annualized_Investments!S$2:S$9991,Annualized_Investments!$B$2:$B$9991,$A41)</f>
        <v>0</v>
      </c>
      <c r="T41">
        <f>SUMIFS(Annualized_Investments!T$2:T$9991,Annualized_Investments!$B$2:$B$9991,$A41)</f>
        <v>0</v>
      </c>
      <c r="U41">
        <f>SUMIFS(Annualized_Investments!U$2:U$9991,Annualized_Investments!$B$2:$B$9991,$A41)</f>
        <v>0</v>
      </c>
      <c r="V41">
        <f>SUMIFS(Annualized_Investments!V$2:V$9991,Annualized_Investments!$B$2:$B$9991,$A41)</f>
        <v>0</v>
      </c>
      <c r="W41">
        <f>SUMIFS(Annualized_Investments!W$2:W$9991,Annualized_Investments!$B$2:$B$9991,$A41)</f>
        <v>0</v>
      </c>
      <c r="X41">
        <f>SUMIFS(Annualized_Investments!X$2:X$9991,Annualized_Investments!$B$2:$B$9991,$A41)</f>
        <v>0</v>
      </c>
      <c r="Y41">
        <f>SUMIFS(Annualized_Investments!Y$2:Y$9991,Annualized_Investments!$B$2:$B$9991,$A41)</f>
        <v>0</v>
      </c>
      <c r="Z41">
        <f>SUMIFS(Annualized_Investments!Z$2:Z$9991,Annualized_Investments!$B$2:$B$9991,$A41)</f>
        <v>0</v>
      </c>
      <c r="AA41">
        <f>SUMIFS(Annualized_Investments!AA$2:AA$9991,Annualized_Investments!$B$2:$B$9991,$A41)</f>
        <v>0</v>
      </c>
      <c r="AB41">
        <f>SUMIFS(Annualized_Investments!AB$2:AB$9991,Annualized_Investments!$B$2:$B$9991,$A41)</f>
        <v>0</v>
      </c>
      <c r="AC41">
        <f>SUMIFS(Annualized_Investments!AC$2:AC$9991,Annualized_Investments!$B$2:$B$9991,$A41)</f>
        <v>0</v>
      </c>
      <c r="AD41">
        <f>SUMIFS(Annualized_Investments!AD$2:AD$9991,Annualized_Investments!$B$2:$B$9991,$A41)</f>
        <v>0</v>
      </c>
      <c r="AE41">
        <f>SUMIFS(Annualized_Investments!AE$2:AE$9991,Annualized_Investments!$B$2:$B$9991,$A41)</f>
        <v>0</v>
      </c>
      <c r="AF41">
        <f>SUMIFS(Annualized_Investments!AF$2:AF$9991,Annualized_Investments!$B$2:$B$9991,$A41)</f>
        <v>0</v>
      </c>
      <c r="AG41">
        <f>SUMIFS(Annualized_Investments!AG$2:AG$9991,Annualized_Investments!$B$2:$B$9991,$A41)</f>
        <v>0</v>
      </c>
    </row>
    <row r="42" spans="1:33">
      <c r="A42" s="43" t="s">
        <v>154</v>
      </c>
      <c r="C42">
        <f>SUMIFS(Annualized_Investments!C$2:C$9991,Annualized_Investments!$B$2:$B$9991,$A42)</f>
        <v>0</v>
      </c>
      <c r="D42">
        <f>SUMIFS(Annualized_Investments!D$2:D$9991,Annualized_Investments!$B$2:$B$9991,$A42)</f>
        <v>0</v>
      </c>
      <c r="E42">
        <f>SUMIFS(Annualized_Investments!E$2:E$9991,Annualized_Investments!$B$2:$B$9991,$A42)</f>
        <v>0</v>
      </c>
      <c r="F42">
        <f>SUMIFS(Annualized_Investments!F$2:F$9991,Annualized_Investments!$B$2:$B$9991,$A42)</f>
        <v>0</v>
      </c>
      <c r="G42">
        <f>SUMIFS(Annualized_Investments!G$2:G$9991,Annualized_Investments!$B$2:$B$9991,$A42)</f>
        <v>0</v>
      </c>
      <c r="H42">
        <f>SUMIFS(Annualized_Investments!H$2:H$9991,Annualized_Investments!$B$2:$B$9991,$A42)</f>
        <v>23.981630407600001</v>
      </c>
      <c r="I42">
        <f>SUMIFS(Annualized_Investments!I$2:I$9991,Annualized_Investments!$B$2:$B$9991,$A42)</f>
        <v>92.675423259300004</v>
      </c>
      <c r="J42">
        <f>SUMIFS(Annualized_Investments!J$2:J$9991,Annualized_Investments!$B$2:$B$9991,$A42)</f>
        <v>161.3692161111</v>
      </c>
      <c r="K42">
        <f>SUMIFS(Annualized_Investments!K$2:K$9991,Annualized_Investments!$B$2:$B$9991,$A42)</f>
        <v>230.0630089629</v>
      </c>
      <c r="L42">
        <f>SUMIFS(Annualized_Investments!L$2:L$9991,Annualized_Investments!$B$2:$B$9991,$A42)</f>
        <v>298.7568018147</v>
      </c>
      <c r="M42">
        <f>SUMIFS(Annualized_Investments!M$2:M$9991,Annualized_Investments!$B$2:$B$9991,$A42)</f>
        <v>367.45059466650002</v>
      </c>
      <c r="N42">
        <f>SUMIFS(Annualized_Investments!N$2:N$9991,Annualized_Investments!$B$2:$B$9991,$A42)</f>
        <v>449.53950606439997</v>
      </c>
      <c r="O42">
        <f>SUMIFS(Annualized_Investments!O$2:O$9991,Annualized_Investments!$B$2:$B$9991,$A42)</f>
        <v>531.62841746239997</v>
      </c>
      <c r="P42">
        <f>SUMIFS(Annualized_Investments!P$2:P$9991,Annualized_Investments!$B$2:$B$9991,$A42)</f>
        <v>616.15981306200001</v>
      </c>
      <c r="Q42">
        <f>SUMIFS(Annualized_Investments!Q$2:Q$9991,Annualized_Investments!$B$2:$B$9991,$A42)</f>
        <v>701.26251436220002</v>
      </c>
      <c r="R42">
        <f>SUMIFS(Annualized_Investments!R$2:R$9991,Annualized_Investments!$B$2:$B$9991,$A42)</f>
        <v>787.26528611260005</v>
      </c>
      <c r="S42">
        <f>SUMIFS(Annualized_Investments!S$2:S$9991,Annualized_Investments!$B$2:$B$9991,$A42)</f>
        <v>890.312720754</v>
      </c>
      <c r="T42">
        <f>SUMIFS(Annualized_Investments!T$2:T$9991,Annualized_Investments!$B$2:$B$9991,$A42)</f>
        <v>993.35979021720004</v>
      </c>
      <c r="U42">
        <f>SUMIFS(Annualized_Investments!U$2:U$9991,Annualized_Investments!$B$2:$B$9991,$A42)</f>
        <v>1090.6442323368999</v>
      </c>
      <c r="V42">
        <f>SUMIFS(Annualized_Investments!V$2:V$9991,Annualized_Investments!$B$2:$B$9991,$A42)</f>
        <v>1193.4141054342999</v>
      </c>
      <c r="W42">
        <f>SUMIFS(Annualized_Investments!W$2:W$9991,Annualized_Investments!$B$2:$B$9991,$A42)</f>
        <v>1276.3321070669001</v>
      </c>
      <c r="X42">
        <f>SUMIFS(Annualized_Investments!X$2:X$9991,Annualized_Investments!$B$2:$B$9991,$A42)</f>
        <v>1376.5677214550001</v>
      </c>
      <c r="Y42">
        <f>SUMIFS(Annualized_Investments!Y$2:Y$9991,Annualized_Investments!$B$2:$B$9991,$A42)</f>
        <v>1484.8452701015999</v>
      </c>
      <c r="Z42">
        <f>SUMIFS(Annualized_Investments!Z$2:Z$9991,Annualized_Investments!$B$2:$B$9991,$A42)</f>
        <v>1593.3638885526</v>
      </c>
      <c r="AA42">
        <f>SUMIFS(Annualized_Investments!AA$2:AA$9991,Annualized_Investments!$B$2:$B$9991,$A42)</f>
        <v>1702.1088757755999</v>
      </c>
      <c r="AB42">
        <f>SUMIFS(Annualized_Investments!AB$2:AB$9991,Annualized_Investments!$B$2:$B$9991,$A42)</f>
        <v>1811.0660628551</v>
      </c>
      <c r="AC42">
        <f>SUMIFS(Annualized_Investments!AC$2:AC$9991,Annualized_Investments!$B$2:$B$9991,$A42)</f>
        <v>1923.9257271597</v>
      </c>
      <c r="AD42">
        <f>SUMIFS(Annualized_Investments!AD$2:AD$9991,Annualized_Investments!$B$2:$B$9991,$A42)</f>
        <v>2036.9536760294</v>
      </c>
      <c r="AE42">
        <f>SUMIFS(Annualized_Investments!AE$2:AE$9991,Annualized_Investments!$B$2:$B$9991,$A42)</f>
        <v>2150.1401279042002</v>
      </c>
      <c r="AF42">
        <f>SUMIFS(Annualized_Investments!AF$2:AF$9991,Annualized_Investments!$B$2:$B$9991,$A42)</f>
        <v>2263.4755620658998</v>
      </c>
      <c r="AG42">
        <f>SUMIFS(Annualized_Investments!AG$2:AG$9991,Annualized_Investments!$B$2:$B$9991,$A42)</f>
        <v>2425.5664486249998</v>
      </c>
    </row>
    <row r="43" spans="1:33">
      <c r="A43" t="s">
        <v>269</v>
      </c>
      <c r="C43" s="27">
        <f>SUM(C25:C42)</f>
        <v>234.83856007739999</v>
      </c>
      <c r="D43" s="27">
        <f t="shared" ref="D43" si="1">SUM(D25:D42)</f>
        <v>756.46064974180001</v>
      </c>
      <c r="E43" s="27">
        <f t="shared" ref="E43" si="2">SUM(E25:E42)</f>
        <v>918.84101295929997</v>
      </c>
      <c r="F43" s="27">
        <f t="shared" ref="F43" si="3">SUM(F25:F42)</f>
        <v>1006.5689934077002</v>
      </c>
      <c r="G43" s="27">
        <f t="shared" ref="G43" si="4">SUM(G25:G42)</f>
        <v>1158.3121801707</v>
      </c>
      <c r="H43" s="27">
        <f t="shared" ref="H43" si="5">SUM(H25:H42)</f>
        <v>1276.2681208864001</v>
      </c>
      <c r="I43" s="27">
        <f t="shared" ref="I43" si="6">SUM(I25:I42)</f>
        <v>1551.5726645174</v>
      </c>
      <c r="J43" s="27">
        <f t="shared" ref="J43" si="7">SUM(J25:J42)</f>
        <v>1840.1869436697</v>
      </c>
      <c r="K43" s="27">
        <f t="shared" ref="K43" si="8">SUM(K25:K42)</f>
        <v>2127.9653015143999</v>
      </c>
      <c r="L43" s="27">
        <f t="shared" ref="L43" si="9">SUM(L25:L42)</f>
        <v>2414.7011988268996</v>
      </c>
      <c r="M43" s="27">
        <f t="shared" ref="M43" si="10">SUM(M25:M42)</f>
        <v>3511.5425211237998</v>
      </c>
      <c r="N43" s="27">
        <f t="shared" ref="N43" si="11">SUM(N25:N42)</f>
        <v>3593.6314325216999</v>
      </c>
      <c r="O43" s="27">
        <f t="shared" ref="O43" si="12">SUM(O25:O42)</f>
        <v>3675.7203439197001</v>
      </c>
      <c r="P43" s="27">
        <f t="shared" ref="P43" si="13">SUM(P25:P42)</f>
        <v>3760.2517395192999</v>
      </c>
      <c r="Q43" s="27">
        <f t="shared" ref="Q43" si="14">SUM(Q25:Q42)</f>
        <v>4157.5206728452004</v>
      </c>
      <c r="R43" s="27">
        <f t="shared" ref="R43" si="15">SUM(R25:R42)</f>
        <v>4692.0394493741005</v>
      </c>
      <c r="S43" s="27">
        <f t="shared" ref="S43" si="16">SUM(S25:S42)</f>
        <v>5110.557991121801</v>
      </c>
      <c r="T43" s="27">
        <f t="shared" ref="T43" si="17">SUM(T25:T42)</f>
        <v>5814.8797120074014</v>
      </c>
      <c r="U43" s="27">
        <f t="shared" ref="U43" si="18">SUM(U25:U42)</f>
        <v>6457.6504787857011</v>
      </c>
      <c r="V43" s="27">
        <f t="shared" ref="V43" si="19">SUM(V25:V42)</f>
        <v>7018.5743665789005</v>
      </c>
      <c r="W43" s="27">
        <f t="shared" ref="W43" si="20">SUM(W25:W42)</f>
        <v>7555.1620830571001</v>
      </c>
      <c r="X43" s="27">
        <f t="shared" ref="X43" si="21">SUM(X25:X42)</f>
        <v>7857.2343021017005</v>
      </c>
      <c r="Y43" s="27">
        <f t="shared" ref="Y43" si="22">SUM(Y25:Y42)</f>
        <v>8182.3335141837997</v>
      </c>
      <c r="Z43" s="27">
        <f t="shared" ref="Z43" si="23">SUM(Z25:Z42)</f>
        <v>8490.2444631406015</v>
      </c>
      <c r="AA43" s="27">
        <f t="shared" ref="AA43" si="24">SUM(AA25:AA42)</f>
        <v>8817.1005754234011</v>
      </c>
      <c r="AB43" s="27">
        <f t="shared" ref="AB43" si="25">SUM(AB25:AB42)</f>
        <v>9152.6519840628007</v>
      </c>
      <c r="AC43" s="27">
        <f t="shared" ref="AC43" si="26">SUM(AC25:AC42)</f>
        <v>9597.9072872010001</v>
      </c>
      <c r="AD43" s="27">
        <f t="shared" ref="AD43" si="27">SUM(AD25:AD42)</f>
        <v>10035.8608268606</v>
      </c>
      <c r="AE43" s="27">
        <f t="shared" ref="AE43" si="28">SUM(AE25:AE42)</f>
        <v>10489.625574009598</v>
      </c>
      <c r="AF43" s="27">
        <f t="shared" ref="AF43" si="29">SUM(AF25:AF42)</f>
        <v>10924.1261868532</v>
      </c>
      <c r="AG43" s="27">
        <f t="shared" ref="AG43" si="30">SUM(AG25:AG42)</f>
        <v>11615.939228947696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AF05-7354-495E-8462-4C63AADDA422}">
  <dimension ref="A1:AI30"/>
  <sheetViews>
    <sheetView tabSelected="1" workbookViewId="0">
      <selection activeCell="A10" sqref="A10"/>
    </sheetView>
  </sheetViews>
  <sheetFormatPr defaultRowHeight="14.4"/>
  <cols>
    <col min="1" max="1" width="41.109375" bestFit="1" customWidth="1"/>
  </cols>
  <sheetData>
    <row r="1" spans="1:35" s="33" customFormat="1">
      <c r="A1" s="33" t="s">
        <v>267</v>
      </c>
    </row>
    <row r="2" spans="1:35">
      <c r="A2" s="49" t="s">
        <v>273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</row>
    <row r="3" spans="1:35">
      <c r="A3" s="50" t="s">
        <v>274</v>
      </c>
      <c r="B3" s="50">
        <v>2020</v>
      </c>
      <c r="C3" s="50">
        <v>2021</v>
      </c>
      <c r="D3" s="50">
        <v>2022</v>
      </c>
      <c r="E3" s="50">
        <v>2023</v>
      </c>
      <c r="F3" s="50">
        <v>2024</v>
      </c>
      <c r="G3" s="50">
        <v>2025</v>
      </c>
      <c r="H3" s="50">
        <v>2026</v>
      </c>
      <c r="I3" s="50">
        <v>2027</v>
      </c>
      <c r="J3" s="50">
        <v>2028</v>
      </c>
      <c r="K3" s="50">
        <v>2029</v>
      </c>
      <c r="L3" s="50">
        <v>2030</v>
      </c>
      <c r="M3" s="50">
        <v>2031</v>
      </c>
      <c r="N3" s="50">
        <v>2032</v>
      </c>
      <c r="O3" s="50">
        <v>2033</v>
      </c>
      <c r="P3" s="50">
        <v>2034</v>
      </c>
      <c r="Q3" s="50">
        <v>2035</v>
      </c>
      <c r="R3" s="50">
        <v>2036</v>
      </c>
      <c r="S3" s="50">
        <v>2037</v>
      </c>
      <c r="T3" s="50">
        <v>2038</v>
      </c>
      <c r="U3" s="50">
        <v>2039</v>
      </c>
      <c r="V3" s="50">
        <v>2040</v>
      </c>
      <c r="W3" s="50">
        <v>2041</v>
      </c>
      <c r="X3" s="50">
        <v>2042</v>
      </c>
      <c r="Y3" s="50">
        <v>2043</v>
      </c>
      <c r="Z3" s="50">
        <v>2044</v>
      </c>
      <c r="AA3" s="50">
        <v>2045</v>
      </c>
      <c r="AB3" s="50">
        <v>2046</v>
      </c>
      <c r="AC3" s="50">
        <v>2047</v>
      </c>
      <c r="AD3" s="50">
        <v>2048</v>
      </c>
      <c r="AE3" s="50">
        <v>2049</v>
      </c>
      <c r="AF3" s="50">
        <v>2050</v>
      </c>
      <c r="AG3" s="50">
        <v>2051</v>
      </c>
      <c r="AH3" s="50">
        <v>2052</v>
      </c>
      <c r="AI3" s="50">
        <v>2053</v>
      </c>
    </row>
    <row r="4" spans="1:35">
      <c r="A4" s="51" t="s">
        <v>271</v>
      </c>
      <c r="B4" s="52">
        <v>97.236800000000002</v>
      </c>
      <c r="C4" s="52">
        <v>130.95579999999998</v>
      </c>
      <c r="D4" s="52">
        <v>138.0291</v>
      </c>
      <c r="E4" s="52">
        <v>144.65629999999999</v>
      </c>
      <c r="F4" s="52">
        <v>152.18830000000003</v>
      </c>
      <c r="G4" s="52">
        <v>152.97490000000002</v>
      </c>
      <c r="H4" s="52">
        <v>150.93510000000001</v>
      </c>
      <c r="I4" s="52">
        <v>156.3485</v>
      </c>
      <c r="J4" s="52">
        <v>161.74060000000003</v>
      </c>
      <c r="K4" s="52">
        <v>167.065</v>
      </c>
      <c r="L4" s="52">
        <v>160.7758</v>
      </c>
      <c r="M4" s="52">
        <v>170.85050000000001</v>
      </c>
      <c r="N4" s="52">
        <v>180.16040000000001</v>
      </c>
      <c r="O4" s="52">
        <v>190.02820000000003</v>
      </c>
      <c r="P4" s="52">
        <v>184.38069999999999</v>
      </c>
      <c r="Q4" s="52">
        <v>177.02340000000001</v>
      </c>
      <c r="R4" s="52">
        <v>170.25389999999999</v>
      </c>
      <c r="S4" s="52">
        <v>162.4349</v>
      </c>
      <c r="T4" s="52">
        <v>151.9248</v>
      </c>
      <c r="U4" s="52">
        <v>147.35480000000001</v>
      </c>
      <c r="V4" s="52">
        <v>144.58330000000001</v>
      </c>
      <c r="W4" s="52">
        <v>147.11840000000001</v>
      </c>
      <c r="X4" s="52">
        <v>149.751</v>
      </c>
      <c r="Y4" s="52">
        <v>153.12020000000001</v>
      </c>
      <c r="Z4" s="52">
        <v>155.73410000000001</v>
      </c>
      <c r="AA4" s="52">
        <v>157.4759</v>
      </c>
      <c r="AB4" s="52">
        <v>154.88830000000002</v>
      </c>
      <c r="AC4" s="52">
        <v>150.54159999999999</v>
      </c>
      <c r="AD4" s="52">
        <v>149.97190000000001</v>
      </c>
      <c r="AE4" s="52">
        <v>149.27549999999999</v>
      </c>
      <c r="AF4" s="52">
        <v>145.2971</v>
      </c>
      <c r="AG4" s="52">
        <v>145.6345</v>
      </c>
      <c r="AH4" s="52">
        <v>144.81470000000002</v>
      </c>
      <c r="AI4" s="52">
        <v>143.31119999999999</v>
      </c>
    </row>
    <row r="5" spans="1:35">
      <c r="A5" s="53" t="s">
        <v>131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53" t="s">
        <v>136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53" t="s">
        <v>141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s="53" t="s">
        <v>143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53" t="s">
        <v>147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53" t="s">
        <v>172</v>
      </c>
      <c r="B10">
        <v>70.546700000000001</v>
      </c>
      <c r="C10">
        <v>110.07989999999999</v>
      </c>
      <c r="D10">
        <v>118.0273</v>
      </c>
      <c r="E10">
        <v>126.249</v>
      </c>
      <c r="F10">
        <v>133.65350000000001</v>
      </c>
      <c r="G10">
        <v>141.67080000000001</v>
      </c>
      <c r="H10">
        <v>140.15129999999999</v>
      </c>
      <c r="I10">
        <v>145.8409</v>
      </c>
      <c r="J10">
        <v>151.47120000000001</v>
      </c>
      <c r="K10">
        <v>156.88800000000001</v>
      </c>
      <c r="L10">
        <v>150.7372</v>
      </c>
      <c r="M10">
        <v>160.74680000000001</v>
      </c>
      <c r="N10">
        <v>170.41050000000001</v>
      </c>
      <c r="O10">
        <v>181.07300000000001</v>
      </c>
      <c r="P10">
        <v>175.5778</v>
      </c>
      <c r="Q10">
        <v>168.35040000000001</v>
      </c>
      <c r="R10">
        <v>158.66329999999999</v>
      </c>
      <c r="S10">
        <v>150.88800000000001</v>
      </c>
      <c r="T10">
        <v>140.8871</v>
      </c>
      <c r="U10">
        <v>134.76740000000001</v>
      </c>
      <c r="V10">
        <v>130.12139999999999</v>
      </c>
      <c r="W10">
        <v>131.69</v>
      </c>
      <c r="X10">
        <v>133.3073</v>
      </c>
      <c r="Y10">
        <v>135.28450000000001</v>
      </c>
      <c r="Z10">
        <v>136.89410000000001</v>
      </c>
      <c r="AA10">
        <v>137.9203</v>
      </c>
      <c r="AB10">
        <v>134.67410000000001</v>
      </c>
      <c r="AC10">
        <v>129.9811</v>
      </c>
      <c r="AD10">
        <v>129.1131</v>
      </c>
      <c r="AE10">
        <v>128.0754</v>
      </c>
      <c r="AF10">
        <v>123.0745</v>
      </c>
      <c r="AG10">
        <v>122.9684</v>
      </c>
      <c r="AH10">
        <v>121.2248</v>
      </c>
      <c r="AI10">
        <v>114.9555</v>
      </c>
    </row>
    <row r="11" spans="1:35">
      <c r="A11" s="53" t="s">
        <v>173</v>
      </c>
      <c r="B11">
        <v>7.3094000000000001</v>
      </c>
      <c r="C11">
        <v>8.0314999999999994</v>
      </c>
      <c r="D11">
        <v>8.0245999999999995</v>
      </c>
      <c r="E11">
        <v>7.3978999999999999</v>
      </c>
      <c r="F11">
        <v>8.4052000000000007</v>
      </c>
      <c r="G11">
        <v>2.1297000000000001</v>
      </c>
      <c r="H11">
        <v>2.5266000000000002</v>
      </c>
      <c r="I11">
        <v>2.4565000000000001</v>
      </c>
      <c r="J11">
        <v>2.282</v>
      </c>
      <c r="K11">
        <v>2.8784999999999998</v>
      </c>
      <c r="L11">
        <v>2.9380999999999999</v>
      </c>
      <c r="M11">
        <v>3.0524</v>
      </c>
      <c r="N11">
        <v>4.4241000000000001</v>
      </c>
      <c r="O11">
        <v>7.1201999999999996</v>
      </c>
      <c r="P11">
        <v>7.8857999999999997</v>
      </c>
      <c r="Q11">
        <v>8.673</v>
      </c>
      <c r="R11">
        <v>11.5906</v>
      </c>
      <c r="S11">
        <v>11.546900000000001</v>
      </c>
      <c r="T11">
        <v>11.037699999999999</v>
      </c>
      <c r="U11">
        <v>12.587400000000001</v>
      </c>
      <c r="V11">
        <v>14.4619</v>
      </c>
      <c r="W11">
        <v>15.4284</v>
      </c>
      <c r="X11">
        <v>16.4437</v>
      </c>
      <c r="Y11">
        <v>17.835699999999999</v>
      </c>
      <c r="Z11">
        <v>18.84</v>
      </c>
      <c r="AA11">
        <v>19.555599999999998</v>
      </c>
      <c r="AB11">
        <v>20.214200000000002</v>
      </c>
      <c r="AC11">
        <v>20.560500000000001</v>
      </c>
      <c r="AD11">
        <v>20.858799999999999</v>
      </c>
      <c r="AE11">
        <v>21.200099999999999</v>
      </c>
      <c r="AF11">
        <v>22.2226</v>
      </c>
      <c r="AG11">
        <v>22.6661</v>
      </c>
      <c r="AH11">
        <v>23.5899</v>
      </c>
      <c r="AI11">
        <v>28.355699999999999</v>
      </c>
    </row>
    <row r="12" spans="1:35">
      <c r="A12" s="53" t="s">
        <v>174</v>
      </c>
      <c r="B12">
        <v>19.380700000000001</v>
      </c>
      <c r="C12">
        <v>12.8444</v>
      </c>
      <c r="D12">
        <v>11.9772</v>
      </c>
      <c r="E12">
        <v>11.009399999999999</v>
      </c>
      <c r="F12">
        <v>10.1296</v>
      </c>
      <c r="G12">
        <v>9.1744000000000003</v>
      </c>
      <c r="H12">
        <v>8.2571999999999992</v>
      </c>
      <c r="I12">
        <v>8.0510999999999999</v>
      </c>
      <c r="J12">
        <v>7.9874000000000001</v>
      </c>
      <c r="K12">
        <v>7.2984999999999998</v>
      </c>
      <c r="L12">
        <v>7.1005000000000003</v>
      </c>
      <c r="M12">
        <v>7.0513000000000003</v>
      </c>
      <c r="N12">
        <v>5.3258000000000001</v>
      </c>
      <c r="O12">
        <v>1.835</v>
      </c>
      <c r="P12">
        <v>0.91710000000000003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51" t="s">
        <v>272</v>
      </c>
      <c r="B13" s="52">
        <v>64.836500000000001</v>
      </c>
      <c r="C13" s="52">
        <v>67.094499999999996</v>
      </c>
      <c r="D13" s="52">
        <v>69.328199999999995</v>
      </c>
      <c r="E13" s="52">
        <v>71.561000000000007</v>
      </c>
      <c r="F13" s="52">
        <v>73.7941</v>
      </c>
      <c r="G13" s="52">
        <v>76.027300000000011</v>
      </c>
      <c r="H13" s="52">
        <v>76.411199999999994</v>
      </c>
      <c r="I13" s="52">
        <v>76.793199999999999</v>
      </c>
      <c r="J13" s="52">
        <v>77.177300000000002</v>
      </c>
      <c r="K13" s="52">
        <v>77.559000000000012</v>
      </c>
      <c r="L13" s="52">
        <v>77.940699999999993</v>
      </c>
      <c r="M13" s="52">
        <v>78.698700000000002</v>
      </c>
      <c r="N13" s="52">
        <v>79.456800000000015</v>
      </c>
      <c r="O13" s="52">
        <v>80.215199999999996</v>
      </c>
      <c r="P13" s="52">
        <v>80.973600000000005</v>
      </c>
      <c r="Q13" s="52">
        <v>81.731699999999989</v>
      </c>
      <c r="R13" s="52">
        <v>82.998000000000005</v>
      </c>
      <c r="S13" s="52">
        <v>84.263000000000005</v>
      </c>
      <c r="T13" s="52">
        <v>85.53</v>
      </c>
      <c r="U13" s="52">
        <v>86.795699999999997</v>
      </c>
      <c r="V13" s="52">
        <v>88.063000000000002</v>
      </c>
      <c r="W13" s="52">
        <v>91.402899999999988</v>
      </c>
      <c r="X13" s="52">
        <v>94.741199999999992</v>
      </c>
      <c r="Y13" s="52">
        <v>98.080799999999996</v>
      </c>
      <c r="Z13" s="52">
        <v>101.4212</v>
      </c>
      <c r="AA13" s="52">
        <v>104.7608</v>
      </c>
      <c r="AB13" s="52">
        <v>108.384</v>
      </c>
      <c r="AC13" s="52">
        <v>112.0074</v>
      </c>
      <c r="AD13" s="52">
        <v>115.633</v>
      </c>
      <c r="AE13" s="52">
        <v>119.25709999999999</v>
      </c>
      <c r="AF13" s="52">
        <v>123.2576</v>
      </c>
      <c r="AG13" s="52">
        <v>127.21120000000001</v>
      </c>
      <c r="AH13" s="52">
        <v>131.2236</v>
      </c>
      <c r="AI13" s="52">
        <v>136.04429999999999</v>
      </c>
    </row>
    <row r="14" spans="1:35">
      <c r="A14" s="53" t="s">
        <v>102</v>
      </c>
      <c r="B14">
        <v>2.5999999999999999E-3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>
      <c r="A15" s="53" t="s">
        <v>103</v>
      </c>
      <c r="B15">
        <v>0</v>
      </c>
      <c r="C15">
        <v>2.8400000000000002E-2</v>
      </c>
      <c r="D15">
        <v>2.8799999999999999E-2</v>
      </c>
      <c r="E15">
        <v>2.92E-2</v>
      </c>
      <c r="F15">
        <v>2.9700000000000001E-2</v>
      </c>
      <c r="G15">
        <v>3.0499999999999999E-2</v>
      </c>
      <c r="H15">
        <v>3.1899999999999998E-2</v>
      </c>
      <c r="I15">
        <v>3.2300000000000002E-2</v>
      </c>
      <c r="J15">
        <v>3.27E-2</v>
      </c>
      <c r="K15">
        <v>3.2899999999999999E-2</v>
      </c>
      <c r="L15">
        <v>3.2899999999999999E-2</v>
      </c>
      <c r="M15">
        <v>3.2899999999999999E-2</v>
      </c>
      <c r="N15">
        <v>3.32E-2</v>
      </c>
      <c r="O15">
        <v>3.3599999999999998E-2</v>
      </c>
      <c r="P15">
        <v>3.4700000000000002E-2</v>
      </c>
      <c r="Q15">
        <v>3.5400000000000001E-2</v>
      </c>
      <c r="R15">
        <v>3.5700000000000003E-2</v>
      </c>
      <c r="S15">
        <v>3.61E-2</v>
      </c>
      <c r="T15">
        <v>3.6400000000000002E-2</v>
      </c>
      <c r="U15">
        <v>3.6700000000000003E-2</v>
      </c>
      <c r="V15">
        <v>3.7100000000000001E-2</v>
      </c>
      <c r="W15">
        <v>3.7400000000000003E-2</v>
      </c>
      <c r="X15">
        <v>3.7699999999999997E-2</v>
      </c>
      <c r="Y15">
        <v>3.7999999999999999E-2</v>
      </c>
      <c r="Z15">
        <v>3.8300000000000001E-2</v>
      </c>
      <c r="AA15">
        <v>3.8600000000000002E-2</v>
      </c>
      <c r="AB15">
        <v>3.8800000000000001E-2</v>
      </c>
      <c r="AC15">
        <v>3.9100000000000003E-2</v>
      </c>
      <c r="AD15">
        <v>3.9399999999999998E-2</v>
      </c>
      <c r="AE15">
        <v>3.9600000000000003E-2</v>
      </c>
      <c r="AF15">
        <v>3.9899999999999998E-2</v>
      </c>
      <c r="AG15">
        <v>4.0099999999999997E-2</v>
      </c>
      <c r="AH15">
        <v>4.0300000000000002E-2</v>
      </c>
      <c r="AI15">
        <v>4.0500000000000001E-2</v>
      </c>
    </row>
    <row r="16" spans="1:35">
      <c r="A16" s="53" t="s">
        <v>106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s="53" t="s">
        <v>132</v>
      </c>
      <c r="B17">
        <v>4.0000000000000002E-4</v>
      </c>
      <c r="C17">
        <v>5.0000000000000001E-4</v>
      </c>
      <c r="D17">
        <v>5.0000000000000001E-4</v>
      </c>
      <c r="E17">
        <v>5.0000000000000001E-4</v>
      </c>
      <c r="F17">
        <v>5.0000000000000001E-4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>
      <c r="A18" s="53" t="s">
        <v>133</v>
      </c>
      <c r="B18">
        <v>2.3E-3</v>
      </c>
      <c r="C18">
        <v>2.5000000000000001E-3</v>
      </c>
      <c r="D18">
        <v>2.5999999999999999E-3</v>
      </c>
      <c r="E18">
        <v>2.8999999999999998E-3</v>
      </c>
      <c r="F18">
        <v>3.0999999999999999E-3</v>
      </c>
      <c r="G18">
        <v>2.8999999999999998E-3</v>
      </c>
      <c r="H18">
        <v>2.7000000000000001E-3</v>
      </c>
      <c r="I18">
        <v>2.5999999999999999E-3</v>
      </c>
      <c r="J18">
        <v>2.3999999999999998E-3</v>
      </c>
      <c r="K18">
        <v>2.2000000000000001E-3</v>
      </c>
      <c r="L18">
        <v>4.0000000000000002E-4</v>
      </c>
      <c r="M18">
        <v>5.9999999999999995E-4</v>
      </c>
      <c r="N18">
        <v>8.9999999999999998E-4</v>
      </c>
      <c r="O18">
        <v>1.2999999999999999E-3</v>
      </c>
      <c r="P18">
        <v>1.1999999999999999E-3</v>
      </c>
      <c r="Q18">
        <v>1E-3</v>
      </c>
      <c r="R18">
        <v>8.0000000000000004E-4</v>
      </c>
      <c r="S18">
        <v>5.9999999999999995E-4</v>
      </c>
      <c r="T18">
        <v>4.0000000000000002E-4</v>
      </c>
      <c r="U18">
        <v>2.0000000000000001E-4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s="53" t="s">
        <v>134</v>
      </c>
      <c r="B19">
        <v>1E-4</v>
      </c>
      <c r="C19">
        <v>1E-4</v>
      </c>
      <c r="D19">
        <v>1E-4</v>
      </c>
      <c r="E19">
        <v>1E-4</v>
      </c>
      <c r="F19">
        <v>1E-4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 s="53" t="s">
        <v>135</v>
      </c>
      <c r="B20">
        <v>5.0000000000000001E-4</v>
      </c>
      <c r="C20">
        <v>2.9999999999999997E-4</v>
      </c>
      <c r="D20">
        <v>5.0000000000000001E-4</v>
      </c>
      <c r="E20">
        <v>2.0000000000000001E-4</v>
      </c>
      <c r="F20">
        <v>2.9999999999999997E-4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>
      <c r="A21" s="53" t="s">
        <v>142</v>
      </c>
      <c r="B21">
        <v>0</v>
      </c>
      <c r="C21">
        <v>0</v>
      </c>
      <c r="D21">
        <v>0</v>
      </c>
      <c r="E21">
        <v>0</v>
      </c>
      <c r="F21">
        <v>0</v>
      </c>
      <c r="G21">
        <v>5.0000000000000001E-4</v>
      </c>
      <c r="H21">
        <v>5.0000000000000001E-4</v>
      </c>
      <c r="I21">
        <v>8.9999999999999998E-4</v>
      </c>
      <c r="J21">
        <v>1.2999999999999999E-3</v>
      </c>
      <c r="K21">
        <v>1.6000000000000001E-3</v>
      </c>
      <c r="L21">
        <v>3.2000000000000002E-3</v>
      </c>
      <c r="M21">
        <v>3.3E-3</v>
      </c>
      <c r="N21">
        <v>3.3E-3</v>
      </c>
      <c r="O21">
        <v>3.3E-3</v>
      </c>
      <c r="P21">
        <v>3.2000000000000002E-3</v>
      </c>
      <c r="Q21">
        <v>3.0000000000000001E-3</v>
      </c>
      <c r="R21">
        <v>2.8E-3</v>
      </c>
      <c r="S21">
        <v>2.7000000000000001E-3</v>
      </c>
      <c r="T21">
        <v>2.5000000000000001E-3</v>
      </c>
      <c r="U21">
        <v>2.3999999999999998E-3</v>
      </c>
      <c r="V21">
        <v>2.3999999999999998E-3</v>
      </c>
      <c r="W21">
        <v>2.5000000000000001E-3</v>
      </c>
      <c r="X21">
        <v>2.5000000000000001E-3</v>
      </c>
      <c r="Y21">
        <v>2.5000000000000001E-3</v>
      </c>
      <c r="Z21">
        <v>2.5000000000000001E-3</v>
      </c>
      <c r="AA21">
        <v>2.5000000000000001E-3</v>
      </c>
      <c r="AB21">
        <v>2.3999999999999998E-3</v>
      </c>
      <c r="AC21">
        <v>2.2000000000000001E-3</v>
      </c>
      <c r="AD21">
        <v>2.0999999999999999E-3</v>
      </c>
      <c r="AE21">
        <v>2E-3</v>
      </c>
      <c r="AF21">
        <v>1.8E-3</v>
      </c>
      <c r="AG21">
        <v>1.6999999999999999E-3</v>
      </c>
      <c r="AH21">
        <v>1.6000000000000001E-3</v>
      </c>
      <c r="AI21">
        <v>1.2999999999999999E-3</v>
      </c>
    </row>
    <row r="22" spans="1:35">
      <c r="A22" s="53" t="s">
        <v>146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1E-4</v>
      </c>
      <c r="Y22">
        <v>1E-4</v>
      </c>
      <c r="Z22">
        <v>1E-4</v>
      </c>
      <c r="AA22">
        <v>1E-4</v>
      </c>
      <c r="AB22">
        <v>1E-4</v>
      </c>
      <c r="AC22">
        <v>1E-4</v>
      </c>
      <c r="AD22">
        <v>1E-4</v>
      </c>
      <c r="AE22">
        <v>1E-4</v>
      </c>
      <c r="AF22">
        <v>1E-4</v>
      </c>
      <c r="AG22">
        <v>1E-4</v>
      </c>
      <c r="AH22">
        <v>1E-4</v>
      </c>
      <c r="AI22">
        <v>1E-4</v>
      </c>
    </row>
    <row r="23" spans="1:35">
      <c r="A23" s="53" t="s">
        <v>184</v>
      </c>
      <c r="B23">
        <v>32.250100000000003</v>
      </c>
      <c r="C23">
        <v>32.716200000000001</v>
      </c>
      <c r="D23">
        <v>33.182499999999997</v>
      </c>
      <c r="E23">
        <v>33.648600000000002</v>
      </c>
      <c r="F23">
        <v>34.114899999999999</v>
      </c>
      <c r="G23">
        <v>34.581099999999999</v>
      </c>
      <c r="H23">
        <v>32.807000000000002</v>
      </c>
      <c r="I23">
        <v>31.033100000000001</v>
      </c>
      <c r="J23">
        <v>29.259</v>
      </c>
      <c r="K23">
        <v>27.485099999999999</v>
      </c>
      <c r="L23">
        <v>25.710999999999999</v>
      </c>
      <c r="M23">
        <v>23.902899999999999</v>
      </c>
      <c r="N23">
        <v>22.0946</v>
      </c>
      <c r="O23">
        <v>20.2864</v>
      </c>
      <c r="P23">
        <v>18.478100000000001</v>
      </c>
      <c r="Q23">
        <v>16.670000000000002</v>
      </c>
      <c r="R23">
        <v>14.822900000000001</v>
      </c>
      <c r="S23">
        <v>12.9758</v>
      </c>
      <c r="T23">
        <v>11.1286</v>
      </c>
      <c r="U23">
        <v>9.2815999999999992</v>
      </c>
      <c r="V23">
        <v>7.4344999999999999</v>
      </c>
      <c r="W23">
        <v>7.1669999999999998</v>
      </c>
      <c r="X23">
        <v>6.8994999999999997</v>
      </c>
      <c r="Y23">
        <v>6.6318999999999999</v>
      </c>
      <c r="Z23">
        <v>6.3642000000000003</v>
      </c>
      <c r="AA23">
        <v>6.0968</v>
      </c>
      <c r="AB23">
        <v>5.8083999999999998</v>
      </c>
      <c r="AC23">
        <v>5.5201000000000002</v>
      </c>
      <c r="AD23">
        <v>5.2316000000000003</v>
      </c>
      <c r="AE23">
        <v>4.9432</v>
      </c>
      <c r="AF23">
        <v>5.0739000000000001</v>
      </c>
      <c r="AG23">
        <v>5.1158999999999999</v>
      </c>
      <c r="AH23">
        <v>5.2249999999999996</v>
      </c>
      <c r="AI23">
        <v>6.2323000000000004</v>
      </c>
    </row>
    <row r="24" spans="1:35">
      <c r="A24" s="53" t="s">
        <v>189</v>
      </c>
      <c r="B24">
        <v>2.9573999999999998</v>
      </c>
      <c r="C24">
        <v>3</v>
      </c>
      <c r="D24">
        <v>3.0426000000000002</v>
      </c>
      <c r="E24">
        <v>3.0853000000000002</v>
      </c>
      <c r="F24">
        <v>3.1278999999999999</v>
      </c>
      <c r="G24">
        <v>3.1713</v>
      </c>
      <c r="H24">
        <v>3.2115999999999998</v>
      </c>
      <c r="I24">
        <v>3.2519</v>
      </c>
      <c r="J24">
        <v>3.2930000000000001</v>
      </c>
      <c r="K24">
        <v>3.3332999999999999</v>
      </c>
      <c r="L24">
        <v>3.3744000000000001</v>
      </c>
      <c r="M24">
        <v>3.4116</v>
      </c>
      <c r="N24">
        <v>3.4495</v>
      </c>
      <c r="O24">
        <v>3.4866999999999999</v>
      </c>
      <c r="P24">
        <v>3.5238999999999998</v>
      </c>
      <c r="Q24">
        <v>3.5619000000000001</v>
      </c>
      <c r="R24">
        <v>3.5952000000000002</v>
      </c>
      <c r="S24">
        <v>3.6293000000000002</v>
      </c>
      <c r="T24">
        <v>3.6634000000000002</v>
      </c>
      <c r="U24">
        <v>3.6974999999999998</v>
      </c>
      <c r="V24">
        <v>3.7315999999999998</v>
      </c>
      <c r="W24">
        <v>3.7618</v>
      </c>
      <c r="X24">
        <v>3.7913000000000001</v>
      </c>
      <c r="Y24">
        <v>3.8214999999999999</v>
      </c>
      <c r="Z24">
        <v>3.8517999999999999</v>
      </c>
      <c r="AA24">
        <v>3.8820000000000001</v>
      </c>
      <c r="AB24">
        <v>3.9083000000000001</v>
      </c>
      <c r="AC24">
        <v>3.9339</v>
      </c>
      <c r="AD24">
        <v>3.9601999999999999</v>
      </c>
      <c r="AE24">
        <v>3.9866000000000001</v>
      </c>
      <c r="AF24">
        <v>4.0122</v>
      </c>
      <c r="AG24">
        <v>4.0354000000000001</v>
      </c>
      <c r="AH24">
        <v>4.0579000000000001</v>
      </c>
      <c r="AI24">
        <v>4.0804</v>
      </c>
    </row>
    <row r="25" spans="1:35">
      <c r="A25" s="53" t="s">
        <v>194</v>
      </c>
      <c r="B25">
        <v>0.65280000000000005</v>
      </c>
      <c r="C25">
        <v>0.68440000000000001</v>
      </c>
      <c r="D25">
        <v>0.71599999999999997</v>
      </c>
      <c r="E25">
        <v>0.74760000000000004</v>
      </c>
      <c r="F25">
        <v>0.7792</v>
      </c>
      <c r="G25">
        <v>0.81079999999999997</v>
      </c>
      <c r="H25">
        <v>0.84409999999999996</v>
      </c>
      <c r="I25">
        <v>0.87739999999999996</v>
      </c>
      <c r="J25">
        <v>0.91069999999999995</v>
      </c>
      <c r="K25">
        <v>0.94399999999999995</v>
      </c>
      <c r="L25">
        <v>0.97729999999999995</v>
      </c>
      <c r="M25">
        <v>1.0104</v>
      </c>
      <c r="N25">
        <v>1.0435000000000001</v>
      </c>
      <c r="O25">
        <v>1.0767</v>
      </c>
      <c r="P25">
        <v>1.1097999999999999</v>
      </c>
      <c r="Q25">
        <v>1.1429</v>
      </c>
      <c r="R25">
        <v>1.175</v>
      </c>
      <c r="S25">
        <v>1.2072000000000001</v>
      </c>
      <c r="T25">
        <v>1.2393000000000001</v>
      </c>
      <c r="U25">
        <v>1.2714000000000001</v>
      </c>
      <c r="V25">
        <v>1.3035000000000001</v>
      </c>
      <c r="W25">
        <v>1.3322000000000001</v>
      </c>
      <c r="X25">
        <v>1.3609</v>
      </c>
      <c r="Y25">
        <v>1.3895999999999999</v>
      </c>
      <c r="Z25">
        <v>1.4182999999999999</v>
      </c>
      <c r="AA25">
        <v>1.4469000000000001</v>
      </c>
      <c r="AB25">
        <v>1.4702999999999999</v>
      </c>
      <c r="AC25">
        <v>1.4937</v>
      </c>
      <c r="AD25">
        <v>1.5170999999999999</v>
      </c>
      <c r="AE25">
        <v>1.5405</v>
      </c>
      <c r="AF25">
        <v>1.522</v>
      </c>
      <c r="AG25">
        <v>1.5074000000000001</v>
      </c>
      <c r="AH25">
        <v>1.486</v>
      </c>
      <c r="AI25">
        <v>1.3748</v>
      </c>
    </row>
    <row r="26" spans="1:35">
      <c r="A26" s="53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1E-4</v>
      </c>
      <c r="Y26">
        <v>1E-4</v>
      </c>
      <c r="Z26">
        <v>1E-4</v>
      </c>
      <c r="AA26">
        <v>1E-4</v>
      </c>
      <c r="AB26">
        <v>1E-4</v>
      </c>
      <c r="AC26">
        <v>1E-4</v>
      </c>
      <c r="AD26">
        <v>1E-4</v>
      </c>
      <c r="AE26">
        <v>1E-4</v>
      </c>
      <c r="AF26">
        <v>1E-4</v>
      </c>
      <c r="AG26">
        <v>1E-4</v>
      </c>
      <c r="AH26">
        <v>1E-4</v>
      </c>
      <c r="AI26">
        <v>1E-4</v>
      </c>
    </row>
    <row r="27" spans="1:35">
      <c r="A27" s="53" t="s">
        <v>202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</row>
    <row r="28" spans="1:35">
      <c r="A28" s="53" t="s">
        <v>207</v>
      </c>
      <c r="B28">
        <v>5.8784000000000001</v>
      </c>
      <c r="C28">
        <v>6.2217000000000002</v>
      </c>
      <c r="D28">
        <v>6.5650000000000004</v>
      </c>
      <c r="E28">
        <v>6.9084000000000003</v>
      </c>
      <c r="F28">
        <v>7.2516999999999996</v>
      </c>
      <c r="G28">
        <v>7.5949999999999998</v>
      </c>
      <c r="H28">
        <v>8.0182000000000002</v>
      </c>
      <c r="I28">
        <v>8.4405000000000001</v>
      </c>
      <c r="J28">
        <v>8.8628999999999998</v>
      </c>
      <c r="K28">
        <v>9.2852999999999994</v>
      </c>
      <c r="L28">
        <v>9.7075999999999993</v>
      </c>
      <c r="M28">
        <v>10.214499999999999</v>
      </c>
      <c r="N28">
        <v>10.720599999999999</v>
      </c>
      <c r="O28">
        <v>11.226599999999999</v>
      </c>
      <c r="P28">
        <v>11.732699999999999</v>
      </c>
      <c r="Q28">
        <v>12.239599999999999</v>
      </c>
      <c r="R28">
        <v>12.858000000000001</v>
      </c>
      <c r="S28">
        <v>13.4757</v>
      </c>
      <c r="T28">
        <v>14.094200000000001</v>
      </c>
      <c r="U28">
        <v>14.7126</v>
      </c>
      <c r="V28">
        <v>15.331</v>
      </c>
      <c r="W28">
        <v>16.050999999999998</v>
      </c>
      <c r="X28">
        <v>16.771000000000001</v>
      </c>
      <c r="Y28">
        <v>17.491</v>
      </c>
      <c r="Z28">
        <v>18.210999999999999</v>
      </c>
      <c r="AA28">
        <v>18.930900000000001</v>
      </c>
      <c r="AB28">
        <v>19.714400000000001</v>
      </c>
      <c r="AC28">
        <v>20.498000000000001</v>
      </c>
      <c r="AD28">
        <v>21.282299999999999</v>
      </c>
      <c r="AE28">
        <v>22.065799999999999</v>
      </c>
      <c r="AF28">
        <v>22.850100000000001</v>
      </c>
      <c r="AG28">
        <v>23.641400000000001</v>
      </c>
      <c r="AH28">
        <v>24.433399999999999</v>
      </c>
      <c r="AI28">
        <v>25.2255</v>
      </c>
    </row>
    <row r="29" spans="1:35">
      <c r="A29" s="53" t="s">
        <v>212</v>
      </c>
      <c r="B29">
        <v>17.318899999999999</v>
      </c>
      <c r="C29">
        <v>18.330300000000001</v>
      </c>
      <c r="D29">
        <v>19.342400000000001</v>
      </c>
      <c r="E29">
        <v>20.3538</v>
      </c>
      <c r="F29">
        <v>21.365200000000002</v>
      </c>
      <c r="G29">
        <v>22.3766</v>
      </c>
      <c r="H29">
        <v>23.621200000000002</v>
      </c>
      <c r="I29">
        <v>24.8659</v>
      </c>
      <c r="J29">
        <v>26.1113</v>
      </c>
      <c r="K29">
        <v>27.356000000000002</v>
      </c>
      <c r="L29">
        <v>28.6006</v>
      </c>
      <c r="M29">
        <v>30.091699999999999</v>
      </c>
      <c r="N29">
        <v>31.583600000000001</v>
      </c>
      <c r="O29">
        <v>33.075400000000002</v>
      </c>
      <c r="P29">
        <v>34.567300000000003</v>
      </c>
      <c r="Q29">
        <v>36.058399999999999</v>
      </c>
      <c r="R29">
        <v>37.880499999999998</v>
      </c>
      <c r="S29">
        <v>39.701700000000002</v>
      </c>
      <c r="T29">
        <v>41.523699999999998</v>
      </c>
      <c r="U29">
        <v>43.344999999999999</v>
      </c>
      <c r="V29">
        <v>45.167000000000002</v>
      </c>
      <c r="W29">
        <v>47.288200000000003</v>
      </c>
      <c r="X29">
        <v>49.4086</v>
      </c>
      <c r="Y29">
        <v>51.529800000000002</v>
      </c>
      <c r="Z29">
        <v>53.6509</v>
      </c>
      <c r="AA29">
        <v>55.772100000000002</v>
      </c>
      <c r="AB29">
        <v>58.080800000000004</v>
      </c>
      <c r="AC29">
        <v>60.390300000000003</v>
      </c>
      <c r="AD29">
        <v>62.699800000000003</v>
      </c>
      <c r="AE29">
        <v>65.009299999999996</v>
      </c>
      <c r="AF29">
        <v>67.317999999999998</v>
      </c>
      <c r="AG29">
        <v>69.651600000000002</v>
      </c>
      <c r="AH29">
        <v>71.984300000000005</v>
      </c>
      <c r="AI29">
        <v>74.317099999999996</v>
      </c>
    </row>
    <row r="30" spans="1:35">
      <c r="A30" s="53" t="s">
        <v>217</v>
      </c>
      <c r="B30">
        <v>5.7729999999999997</v>
      </c>
      <c r="C30">
        <v>6.1101000000000001</v>
      </c>
      <c r="D30">
        <v>6.4471999999999996</v>
      </c>
      <c r="E30">
        <v>6.7843999999999998</v>
      </c>
      <c r="F30">
        <v>7.1215000000000002</v>
      </c>
      <c r="G30">
        <v>7.4585999999999997</v>
      </c>
      <c r="H30">
        <v>7.8739999999999997</v>
      </c>
      <c r="I30">
        <v>8.2886000000000006</v>
      </c>
      <c r="J30">
        <v>8.7040000000000006</v>
      </c>
      <c r="K30">
        <v>9.1186000000000007</v>
      </c>
      <c r="L30">
        <v>9.5333000000000006</v>
      </c>
      <c r="M30">
        <v>10.030799999999999</v>
      </c>
      <c r="N30">
        <v>10.5276</v>
      </c>
      <c r="O30">
        <v>11.0252</v>
      </c>
      <c r="P30">
        <v>11.5227</v>
      </c>
      <c r="Q30">
        <v>12.019500000000001</v>
      </c>
      <c r="R30">
        <v>12.6271</v>
      </c>
      <c r="S30">
        <v>13.2339</v>
      </c>
      <c r="T30">
        <v>13.8415</v>
      </c>
      <c r="U30">
        <v>14.4483</v>
      </c>
      <c r="V30">
        <v>15.055899999999999</v>
      </c>
      <c r="W30">
        <v>15.762700000000001</v>
      </c>
      <c r="X30">
        <v>16.4695</v>
      </c>
      <c r="Y30">
        <v>17.176300000000001</v>
      </c>
      <c r="Z30">
        <v>17.883900000000001</v>
      </c>
      <c r="AA30">
        <v>18.590699999999998</v>
      </c>
      <c r="AB30">
        <v>19.360299999999999</v>
      </c>
      <c r="AC30">
        <v>20.129799999999999</v>
      </c>
      <c r="AD30">
        <v>20.900200000000002</v>
      </c>
      <c r="AE30">
        <v>21.669799999999999</v>
      </c>
      <c r="AF30">
        <v>22.439399999999999</v>
      </c>
      <c r="AG30">
        <v>23.217400000000001</v>
      </c>
      <c r="AH30">
        <v>23.994800000000001</v>
      </c>
      <c r="AI30">
        <v>24.772099999999998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37"/>
  <sheetViews>
    <sheetView topLeftCell="A143" zoomScale="65" zoomScaleNormal="125" workbookViewId="0">
      <pane xSplit="1" topLeftCell="R1" activePane="topRight" state="frozen"/>
      <selection activeCell="B2" sqref="B2:AJ134"/>
      <selection pane="topRight" activeCell="AB179" sqref="AB179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10162.892500000002</v>
      </c>
      <c r="D4" s="39">
        <f t="shared" si="0"/>
        <v>6155.3582999999999</v>
      </c>
      <c r="E4" s="39">
        <f t="shared" si="0"/>
        <v>6401.8118000000004</v>
      </c>
      <c r="F4" s="39">
        <f t="shared" si="0"/>
        <v>6582.7586000000001</v>
      </c>
      <c r="G4" s="39">
        <f t="shared" si="0"/>
        <v>6991.1588999999994</v>
      </c>
      <c r="H4" s="39">
        <f t="shared" si="0"/>
        <v>5841.0002999999997</v>
      </c>
      <c r="I4" s="39">
        <f t="shared" si="0"/>
        <v>5978.6581000000006</v>
      </c>
      <c r="J4" s="39">
        <f t="shared" si="0"/>
        <v>6331.6684999999998</v>
      </c>
      <c r="K4" s="39">
        <f t="shared" si="0"/>
        <v>6715.5209999999988</v>
      </c>
      <c r="L4" s="39">
        <f t="shared" si="0"/>
        <v>7083.4495999999999</v>
      </c>
      <c r="M4" s="39">
        <f t="shared" si="0"/>
        <v>7383.8752999999997</v>
      </c>
      <c r="N4" s="39">
        <f t="shared" si="0"/>
        <v>7925.4976999999999</v>
      </c>
      <c r="O4" s="39">
        <f t="shared" si="0"/>
        <v>8332.1008999999995</v>
      </c>
      <c r="P4" s="39">
        <f t="shared" si="0"/>
        <v>8474.8616000000002</v>
      </c>
      <c r="Q4" s="39">
        <f t="shared" si="0"/>
        <v>3281.8289</v>
      </c>
      <c r="R4" s="39">
        <f t="shared" si="0"/>
        <v>3639.0070999999998</v>
      </c>
      <c r="S4" s="39">
        <f t="shared" si="0"/>
        <v>4299.0820999999996</v>
      </c>
      <c r="T4" s="39">
        <f t="shared" si="0"/>
        <v>4773.5758999999998</v>
      </c>
      <c r="U4" s="39">
        <f t="shared" si="0"/>
        <v>5230.7361999999994</v>
      </c>
      <c r="V4" s="39">
        <f t="shared" si="0"/>
        <v>5816.5680000000002</v>
      </c>
      <c r="W4" s="39">
        <f t="shared" si="0"/>
        <v>6435.6412</v>
      </c>
      <c r="X4" s="39">
        <f t="shared" si="0"/>
        <v>6789.5802999999996</v>
      </c>
      <c r="Y4" s="39">
        <f t="shared" si="0"/>
        <v>7165.4754000000003</v>
      </c>
      <c r="Z4" s="39">
        <f t="shared" si="0"/>
        <v>7563.1974000000009</v>
      </c>
      <c r="AA4" s="39">
        <f t="shared" si="0"/>
        <v>7939.6931000000004</v>
      </c>
      <c r="AB4" s="39">
        <f t="shared" si="0"/>
        <v>8300.6954999999998</v>
      </c>
      <c r="AC4" s="39">
        <f t="shared" si="0"/>
        <v>8782.5424999999996</v>
      </c>
      <c r="AD4" s="39">
        <f t="shared" si="0"/>
        <v>9273.7592000000004</v>
      </c>
      <c r="AE4" s="39">
        <f t="shared" si="0"/>
        <v>9647.2358000000004</v>
      </c>
      <c r="AF4" s="39">
        <f t="shared" si="0"/>
        <v>10108.6764</v>
      </c>
      <c r="AG4" s="39">
        <f t="shared" si="0"/>
        <v>10572.1958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SUMIFS(Variable!C$2:C$9992,Variable!$B$2:$B$9992,$A6)</f>
        <v>1261.3244999999999</v>
      </c>
      <c r="D6" s="41">
        <f>SUMIFS(Variable!D$2:D$9992,Variable!$B$2:$B$9992,$A6)</f>
        <v>1391.3286000000001</v>
      </c>
      <c r="E6" s="41">
        <f>SUMIFS(Variable!E$2:E$9992,Variable!$B$2:$B$9992,$A6)</f>
        <v>1395.6857</v>
      </c>
      <c r="F6" s="41">
        <f>SUMIFS(Variable!F$2:F$9992,Variable!$B$2:$B$9992,$A6)</f>
        <v>1291.8042</v>
      </c>
      <c r="G6" s="41">
        <f>SUMIFS(Variable!G$2:G$9992,Variable!$B$2:$B$9992,$A6)</f>
        <v>1473.5039999999999</v>
      </c>
      <c r="H6" s="41">
        <f>SUMIFS(Variable!H$2:H$9992,Variable!$B$2:$B$9992,$A6)</f>
        <v>374.83440000000002</v>
      </c>
      <c r="I6" s="41">
        <f>SUMIFS(Variable!I$2:I$9992,Variable!$B$2:$B$9992,$A6)</f>
        <v>446.43310000000002</v>
      </c>
      <c r="J6" s="41">
        <f>SUMIFS(Variable!J$2:J$9992,Variable!$B$2:$B$9992,$A6)</f>
        <v>435.70269999999999</v>
      </c>
      <c r="K6" s="41">
        <f>SUMIFS(Variable!K$2:K$9992,Variable!$B$2:$B$9992,$A6)</f>
        <v>406.32729999999998</v>
      </c>
      <c r="L6" s="41">
        <f>SUMIFS(Variable!L$2:L$9992,Variable!$B$2:$B$9992,$A6)</f>
        <v>514.52499999999998</v>
      </c>
      <c r="M6" s="41">
        <f>SUMIFS(Variable!M$2:M$9992,Variable!$B$2:$B$9992,$A6)</f>
        <v>527.21140000000003</v>
      </c>
      <c r="N6" s="41">
        <f>SUMIFS(Variable!N$2:N$9992,Variable!$B$2:$B$9992,$A6)</f>
        <v>549.53689999999995</v>
      </c>
      <c r="O6" s="41">
        <f>SUMIFS(Variable!O$2:O$9992,Variable!$B$2:$B$9992,$A6)</f>
        <v>799.13400000000001</v>
      </c>
      <c r="P6" s="41">
        <f>SUMIFS(Variable!P$2:P$9992,Variable!$B$2:$B$9992,$A6)</f>
        <v>1290.3773000000001</v>
      </c>
      <c r="Q6" s="41">
        <f>SUMIFS(Variable!Q$2:Q$9992,Variable!$B$2:$B$9992,$A6)</f>
        <v>1433.8114</v>
      </c>
      <c r="R6" s="41">
        <f>SUMIFS(Variable!R$2:R$9992,Variable!$B$2:$B$9992,$A6)</f>
        <v>1582.1139000000001</v>
      </c>
      <c r="S6" s="41">
        <f>SUMIFS(Variable!S$2:S$9992,Variable!$B$2:$B$9992,$A6)</f>
        <v>2121.2444999999998</v>
      </c>
      <c r="T6" s="41">
        <f>SUMIFS(Variable!T$2:T$9992,Variable!$B$2:$B$9992,$A6)</f>
        <v>2120.1219999999998</v>
      </c>
      <c r="U6" s="41">
        <f>SUMIFS(Variable!U$2:U$9992,Variable!$B$2:$B$9992,$A6)</f>
        <v>2033.19</v>
      </c>
      <c r="V6" s="41">
        <f>SUMIFS(Variable!V$2:V$9992,Variable!$B$2:$B$9992,$A6)</f>
        <v>2326.1617000000001</v>
      </c>
      <c r="W6" s="41">
        <f>SUMIFS(Variable!W$2:W$9992,Variable!$B$2:$B$9992,$A6)</f>
        <v>2681.1904</v>
      </c>
      <c r="X6" s="41">
        <f>SUMIFS(Variable!X$2:X$9992,Variable!$B$2:$B$9992,$A6)</f>
        <v>2861.2635</v>
      </c>
      <c r="Y6" s="41">
        <f>SUMIFS(Variable!Y$2:Y$9992,Variable!$B$2:$B$9992,$A6)</f>
        <v>3050.1794</v>
      </c>
      <c r="Z6" s="41">
        <f>SUMIFS(Variable!Z$2:Z$9992,Variable!$B$2:$B$9992,$A6)</f>
        <v>3309.4155999999998</v>
      </c>
      <c r="AA6" s="41">
        <f>SUMIFS(Variable!AA$2:AA$9992,Variable!$B$2:$B$9992,$A6)</f>
        <v>3496.4807999999998</v>
      </c>
      <c r="AB6" s="41">
        <f>SUMIFS(Variable!AB$2:AB$9992,Variable!$B$2:$B$9992,$A6)</f>
        <v>3630.0432999999998</v>
      </c>
      <c r="AC6" s="41">
        <f>SUMIFS(Variable!AC$2:AC$9992,Variable!$B$2:$B$9992,$A6)</f>
        <v>3753.4670000000001</v>
      </c>
      <c r="AD6" s="41">
        <f>SUMIFS(Variable!AD$2:AD$9992,Variable!$B$2:$B$9992,$A6)</f>
        <v>3818.5511999999999</v>
      </c>
      <c r="AE6" s="41">
        <f>SUMIFS(Variable!AE$2:AE$9992,Variable!$B$2:$B$9992,$A6)</f>
        <v>3874.7653</v>
      </c>
      <c r="AF6" s="41">
        <f>SUMIFS(Variable!AF$2:AF$9992,Variable!$B$2:$B$9992,$A6)</f>
        <v>3939.3730999999998</v>
      </c>
      <c r="AG6" s="41">
        <f>SUMIFS(Variable!AG$2:AG$9992,Variable!$B$2:$B$9992,$A6)</f>
        <v>4130.2354999999998</v>
      </c>
    </row>
    <row r="7" spans="1:58" s="37" customFormat="1">
      <c r="A7" s="41" t="s">
        <v>166</v>
      </c>
      <c r="B7" s="41"/>
      <c r="C7" s="41">
        <f>SUMIFS(Variable!C$2:C$9992,Variable!$B$2:$B$9992,$A7)</f>
        <v>955.77530000000002</v>
      </c>
      <c r="D7" s="41">
        <f>SUMIFS(Variable!D$2:D$9992,Variable!$B$2:$B$9992,$A7)</f>
        <v>0</v>
      </c>
      <c r="E7" s="41">
        <f>SUMIFS(Variable!E$2:E$9992,Variable!$B$2:$B$9992,$A7)</f>
        <v>8.9153000000000002</v>
      </c>
      <c r="F7" s="41">
        <f>SUMIFS(Variable!F$2:F$9992,Variable!$B$2:$B$9992,$A7)</f>
        <v>0</v>
      </c>
      <c r="G7" s="41">
        <f>SUMIFS(Variable!G$2:G$9992,Variable!$B$2:$B$9992,$A7)</f>
        <v>6.9055</v>
      </c>
      <c r="H7" s="41">
        <f>SUMIFS(Variable!H$2:H$9992,Variable!$B$2:$B$9992,$A7)</f>
        <v>0</v>
      </c>
      <c r="I7" s="41">
        <f>SUMIFS(Variable!I$2:I$9992,Variable!$B$2:$B$9992,$A7)</f>
        <v>0</v>
      </c>
      <c r="J7" s="41">
        <f>SUMIFS(Variable!J$2:J$9992,Variable!$B$2:$B$9992,$A7)</f>
        <v>135.26400000000001</v>
      </c>
      <c r="K7" s="41">
        <f>SUMIFS(Variable!K$2:K$9992,Variable!$B$2:$B$9992,$A7)</f>
        <v>301.92469999999997</v>
      </c>
      <c r="L7" s="41">
        <f>SUMIFS(Variable!L$2:L$9992,Variable!$B$2:$B$9992,$A7)</f>
        <v>351.21319999999997</v>
      </c>
      <c r="M7" s="41">
        <f>SUMIFS(Variable!M$2:M$9992,Variable!$B$2:$B$9992,$A7)</f>
        <v>499.1481</v>
      </c>
      <c r="N7" s="41">
        <f>SUMIFS(Variable!N$2:N$9992,Variable!$B$2:$B$9992,$A7)</f>
        <v>686.14319999999998</v>
      </c>
      <c r="O7" s="41">
        <f>SUMIFS(Variable!O$2:O$9992,Variable!$B$2:$B$9992,$A7)</f>
        <v>533.38400000000001</v>
      </c>
      <c r="P7" s="41">
        <f>SUMIFS(Variable!P$2:P$9992,Variable!$B$2:$B$9992,$A7)</f>
        <v>0</v>
      </c>
      <c r="Q7" s="41">
        <f>SUMIFS(Variable!Q$2:Q$9992,Variable!$B$2:$B$9992,$A7)</f>
        <v>0</v>
      </c>
      <c r="R7" s="41">
        <f>SUMIFS(Variable!R$2:R$9992,Variable!$B$2:$B$9992,$A7)</f>
        <v>0</v>
      </c>
      <c r="S7" s="41">
        <f>SUMIFS(Variable!S$2:S$9992,Variable!$B$2:$B$9992,$A7)</f>
        <v>0</v>
      </c>
      <c r="T7" s="41">
        <f>SUMIFS(Variable!T$2:T$9992,Variable!$B$2:$B$9992,$A7)</f>
        <v>0</v>
      </c>
      <c r="U7" s="41">
        <f>SUMIFS(Variable!U$2:U$9992,Variable!$B$2:$B$9992,$A7)</f>
        <v>0</v>
      </c>
      <c r="V7" s="41">
        <f>SUMIFS(Variable!V$2:V$9992,Variable!$B$2:$B$9992,$A7)</f>
        <v>0</v>
      </c>
      <c r="W7" s="41">
        <f>SUMIFS(Variable!W$2:W$9992,Variable!$B$2:$B$9992,$A7)</f>
        <v>0</v>
      </c>
      <c r="X7" s="41">
        <f>SUMIFS(Variable!X$2:X$9992,Variable!$B$2:$B$9992,$A7)</f>
        <v>0</v>
      </c>
      <c r="Y7" s="41">
        <f>SUMIFS(Variable!Y$2:Y$9992,Variable!$B$2:$B$9992,$A7)</f>
        <v>0</v>
      </c>
      <c r="Z7" s="41">
        <f>SUMIFS(Variable!Z$2:Z$9992,Variable!$B$2:$B$9992,$A7)</f>
        <v>0</v>
      </c>
      <c r="AA7" s="41">
        <f>SUMIFS(Variable!AA$2:AA$9992,Variable!$B$2:$B$9992,$A7)</f>
        <v>0</v>
      </c>
      <c r="AB7" s="41">
        <f>SUMIFS(Variable!AB$2:AB$9992,Variable!$B$2:$B$9992,$A7)</f>
        <v>0</v>
      </c>
      <c r="AC7" s="41">
        <f>SUMIFS(Variable!AC$2:AC$9992,Variable!$B$2:$B$9992,$A7)</f>
        <v>0</v>
      </c>
      <c r="AD7" s="41">
        <f>SUMIFS(Variable!AD$2:AD$9992,Variable!$B$2:$B$9992,$A7)</f>
        <v>0</v>
      </c>
      <c r="AE7" s="41">
        <f>SUMIFS(Variable!AE$2:AE$9992,Variable!$B$2:$B$9992,$A7)</f>
        <v>0</v>
      </c>
      <c r="AF7" s="41">
        <f>SUMIFS(Variable!AF$2:AF$9992,Variable!$B$2:$B$9992,$A7)</f>
        <v>0</v>
      </c>
      <c r="AG7" s="41">
        <f>SUMIFS(Variable!AG$2:AG$9992,Variable!$B$2:$B$9992,$A7)</f>
        <v>0</v>
      </c>
    </row>
    <row r="8" spans="1:58" s="37" customFormat="1">
      <c r="A8" s="41" t="s">
        <v>164</v>
      </c>
      <c r="B8" s="41"/>
      <c r="C8" s="41">
        <f>SUMIFS(Variable!C$2:C$9992,Variable!$B$2:$B$9992,$A8)</f>
        <v>2023.5934</v>
      </c>
      <c r="D8" s="41">
        <f>SUMIFS(Variable!D$2:D$9992,Variable!$B$2:$B$9992,$A8)</f>
        <v>3168.6587</v>
      </c>
      <c r="E8" s="41">
        <f>SUMIFS(Variable!E$2:E$9992,Variable!$B$2:$B$9992,$A8)</f>
        <v>3409.3049999999998</v>
      </c>
      <c r="F8" s="41">
        <f>SUMIFS(Variable!F$2:F$9992,Variable!$B$2:$B$9992,$A8)</f>
        <v>3659.5005000000001</v>
      </c>
      <c r="G8" s="41">
        <f>SUMIFS(Variable!G$2:G$9992,Variable!$B$2:$B$9992,$A8)</f>
        <v>3887.5841999999998</v>
      </c>
      <c r="H8" s="41">
        <f>SUMIFS(Variable!H$2:H$9992,Variable!$B$2:$B$9992,$A8)</f>
        <v>4135.0403999999999</v>
      </c>
      <c r="I8" s="41">
        <f>SUMIFS(Variable!I$2:I$9992,Variable!$B$2:$B$9992,$A8)</f>
        <v>4104.7955000000002</v>
      </c>
      <c r="J8" s="41">
        <f>SUMIFS(Variable!J$2:J$9992,Variable!$B$2:$B$9992,$A8)</f>
        <v>4286.1148999999996</v>
      </c>
      <c r="K8" s="41">
        <f>SUMIFS(Variable!K$2:K$9992,Variable!$B$2:$B$9992,$A8)</f>
        <v>4466.8288000000002</v>
      </c>
      <c r="L8" s="41">
        <f>SUMIFS(Variable!L$2:L$9992,Variable!$B$2:$B$9992,$A8)</f>
        <v>4642.3577999999998</v>
      </c>
      <c r="M8" s="41">
        <f>SUMIFS(Variable!M$2:M$9992,Variable!$B$2:$B$9992,$A8)</f>
        <v>4475.5243</v>
      </c>
      <c r="N8" s="41">
        <f>SUMIFS(Variable!N$2:N$9992,Variable!$B$2:$B$9992,$A8)</f>
        <v>4833.3894</v>
      </c>
      <c r="O8" s="41">
        <f>SUMIFS(Variable!O$2:O$9992,Variable!$B$2:$B$9992,$A8)</f>
        <v>5188.2773999999999</v>
      </c>
      <c r="P8" s="41">
        <f>SUMIFS(Variable!P$2:P$9992,Variable!$B$2:$B$9992,$A8)</f>
        <v>5390.3792999999996</v>
      </c>
      <c r="Q8" s="41">
        <f>SUMIFS(Variable!Q$2:Q$9992,Variable!$B$2:$B$9992,$A8)</f>
        <v>0</v>
      </c>
      <c r="R8" s="41">
        <f>SUMIFS(Variable!R$2:R$9992,Variable!$B$2:$B$9992,$A8)</f>
        <v>0</v>
      </c>
      <c r="S8" s="41">
        <f>SUMIFS(Variable!S$2:S$9992,Variable!$B$2:$B$9992,$A8)</f>
        <v>0</v>
      </c>
      <c r="T8" s="41">
        <f>SUMIFS(Variable!T$2:T$9992,Variable!$B$2:$B$9992,$A8)</f>
        <v>0</v>
      </c>
      <c r="U8" s="41">
        <f>SUMIFS(Variable!U$2:U$9992,Variable!$B$2:$B$9992,$A8)</f>
        <v>0</v>
      </c>
      <c r="V8" s="41">
        <f>SUMIFS(Variable!V$2:V$9992,Variable!$B$2:$B$9992,$A8)</f>
        <v>0</v>
      </c>
      <c r="W8" s="41">
        <f>SUMIFS(Variable!W$2:W$9992,Variable!$B$2:$B$9992,$A8)</f>
        <v>0</v>
      </c>
      <c r="X8" s="41">
        <f>SUMIFS(Variable!X$2:X$9992,Variable!$B$2:$B$9992,$A8)</f>
        <v>0</v>
      </c>
      <c r="Y8" s="41">
        <f>SUMIFS(Variable!Y$2:Y$9992,Variable!$B$2:$B$9992,$A8)</f>
        <v>0</v>
      </c>
      <c r="Z8" s="41">
        <f>SUMIFS(Variable!Z$2:Z$9992,Variable!$B$2:$B$9992,$A8)</f>
        <v>0</v>
      </c>
      <c r="AA8" s="41">
        <f>SUMIFS(Variable!AA$2:AA$9992,Variable!$B$2:$B$9992,$A8)</f>
        <v>0</v>
      </c>
      <c r="AB8" s="41">
        <f>SUMIFS(Variable!AB$2:AB$9992,Variable!$B$2:$B$9992,$A8)</f>
        <v>0</v>
      </c>
      <c r="AC8" s="41">
        <f>SUMIFS(Variable!AC$2:AC$9992,Variable!$B$2:$B$9992,$A8)</f>
        <v>0</v>
      </c>
      <c r="AD8" s="41">
        <f>SUMIFS(Variable!AD$2:AD$9992,Variable!$B$2:$B$9992,$A8)</f>
        <v>0</v>
      </c>
      <c r="AE8" s="41">
        <f>SUMIFS(Variable!AE$2:AE$9992,Variable!$B$2:$B$9992,$A8)</f>
        <v>0</v>
      </c>
      <c r="AF8" s="41">
        <f>SUMIFS(Variable!AF$2:AF$9992,Variable!$B$2:$B$9992,$A8)</f>
        <v>0</v>
      </c>
      <c r="AG8" s="41">
        <f>SUMIFS(Variable!AG$2:AG$9992,Variable!$B$2:$B$9992,$A8)</f>
        <v>0</v>
      </c>
    </row>
    <row r="9" spans="1:58" s="37" customFormat="1">
      <c r="A9" s="41" t="s">
        <v>171</v>
      </c>
      <c r="B9" s="41"/>
      <c r="C9" s="41">
        <f>SUMIFS(Variable!C$2:C$9992,Variable!$B$2:$B$9992,$A9)</f>
        <v>4868.8589000000002</v>
      </c>
      <c r="D9" s="41">
        <f>SUMIFS(Variable!D$2:D$9992,Variable!$B$2:$B$9992,$A9)</f>
        <v>399.97879999999998</v>
      </c>
      <c r="E9" s="41">
        <f>SUMIFS(Variable!E$2:E$9992,Variable!$B$2:$B$9992,$A9)</f>
        <v>344.0609</v>
      </c>
      <c r="F9" s="41">
        <f>SUMIFS(Variable!F$2:F$9992,Variable!$B$2:$B$9992,$A9)</f>
        <v>387.32220000000001</v>
      </c>
      <c r="G9" s="41">
        <f>SUMIFS(Variable!G$2:G$9992,Variable!$B$2:$B$9992,$A9)</f>
        <v>364.68819999999999</v>
      </c>
      <c r="H9" s="41">
        <f>SUMIFS(Variable!H$2:H$9992,Variable!$B$2:$B$9992,$A9)</f>
        <v>47.725900000000003</v>
      </c>
      <c r="I9" s="41">
        <f>SUMIFS(Variable!I$2:I$9992,Variable!$B$2:$B$9992,$A9)</f>
        <v>48.123199999999997</v>
      </c>
      <c r="J9" s="41">
        <f>SUMIFS(Variable!J$2:J$9992,Variable!$B$2:$B$9992,$A9)</f>
        <v>29.5016</v>
      </c>
      <c r="K9" s="41">
        <f>SUMIFS(Variable!K$2:K$9992,Variable!$B$2:$B$9992,$A9)</f>
        <v>29.755700000000001</v>
      </c>
      <c r="L9" s="41">
        <f>SUMIFS(Variable!L$2:L$9992,Variable!$B$2:$B$9992,$A9)</f>
        <v>0</v>
      </c>
      <c r="M9" s="41">
        <f>SUMIFS(Variable!M$2:M$9992,Variable!$B$2:$B$9992,$A9)</f>
        <v>0</v>
      </c>
      <c r="N9" s="41">
        <f>SUMIFS(Variable!N$2:N$9992,Variable!$B$2:$B$9992,$A9)</f>
        <v>0</v>
      </c>
      <c r="O9" s="41">
        <f>SUMIFS(Variable!O$2:O$9992,Variable!$B$2:$B$9992,$A9)</f>
        <v>0</v>
      </c>
      <c r="P9" s="41">
        <f>SUMIFS(Variable!P$2:P$9992,Variable!$B$2:$B$9992,$A9)</f>
        <v>0</v>
      </c>
      <c r="Q9" s="41">
        <f>SUMIFS(Variable!Q$2:Q$9992,Variable!$B$2:$B$9992,$A9)</f>
        <v>0</v>
      </c>
      <c r="R9" s="41">
        <f>SUMIFS(Variable!R$2:R$9992,Variable!$B$2:$B$9992,$A9)</f>
        <v>0</v>
      </c>
      <c r="S9" s="41">
        <f>SUMIFS(Variable!S$2:S$9992,Variable!$B$2:$B$9992,$A9)</f>
        <v>0</v>
      </c>
      <c r="T9" s="41">
        <f>SUMIFS(Variable!T$2:T$9992,Variable!$B$2:$B$9992,$A9)</f>
        <v>0</v>
      </c>
      <c r="U9" s="41">
        <f>SUMIFS(Variable!U$2:U$9992,Variable!$B$2:$B$9992,$A9)</f>
        <v>0</v>
      </c>
      <c r="V9" s="41">
        <f>SUMIFS(Variable!V$2:V$9992,Variable!$B$2:$B$9992,$A9)</f>
        <v>0</v>
      </c>
      <c r="W9" s="41">
        <f>SUMIFS(Variable!W$2:W$9992,Variable!$B$2:$B$9992,$A9)</f>
        <v>0.15579999999999999</v>
      </c>
      <c r="X9" s="41">
        <f>SUMIFS(Variable!X$2:X$9992,Variable!$B$2:$B$9992,$A9)</f>
        <v>0</v>
      </c>
      <c r="Y9" s="41">
        <f>SUMIFS(Variable!Y$2:Y$9992,Variable!$B$2:$B$9992,$A9)</f>
        <v>0</v>
      </c>
      <c r="Z9" s="41">
        <f>SUMIFS(Variable!Z$2:Z$9992,Variable!$B$2:$B$9992,$A9)</f>
        <v>0</v>
      </c>
      <c r="AA9" s="41">
        <f>SUMIFS(Variable!AA$2:AA$9992,Variable!$B$2:$B$9992,$A9)</f>
        <v>0</v>
      </c>
      <c r="AB9" s="41">
        <f>SUMIFS(Variable!AB$2:AB$9992,Variable!$B$2:$B$9992,$A9)</f>
        <v>0</v>
      </c>
      <c r="AC9" s="41">
        <f>SUMIFS(Variable!AC$2:AC$9992,Variable!$B$2:$B$9992,$A9)</f>
        <v>0</v>
      </c>
      <c r="AD9" s="41">
        <f>SUMIFS(Variable!AD$2:AD$9992,Variable!$B$2:$B$9992,$A9)</f>
        <v>0</v>
      </c>
      <c r="AE9" s="41">
        <f>SUMIFS(Variable!AE$2:AE$9992,Variable!$B$2:$B$9992,$A9)</f>
        <v>0</v>
      </c>
      <c r="AF9" s="41">
        <f>SUMIFS(Variable!AF$2:AF$9992,Variable!$B$2:$B$9992,$A9)</f>
        <v>0</v>
      </c>
      <c r="AG9" s="41">
        <f>SUMIFS(Variable!AG$2:AG$9992,Variable!$B$2:$B$9992,$A9)</f>
        <v>0</v>
      </c>
    </row>
    <row r="10" spans="1:58" s="37" customFormat="1">
      <c r="A10" t="s">
        <v>132</v>
      </c>
      <c r="C10" s="37">
        <f>SUMIFS(Variable!C$2:C$9992,Variable!$B$2:$B$9992,$A10)</f>
        <v>4.0000000000000002E-4</v>
      </c>
      <c r="D10" s="37">
        <f>SUMIFS(Variable!D$2:D$9992,Variable!$B$2:$B$9992,$A10)</f>
        <v>5.0000000000000001E-4</v>
      </c>
      <c r="E10" s="37">
        <f>SUMIFS(Variable!E$2:E$9992,Variable!$B$2:$B$9992,$A10)</f>
        <v>5.0000000000000001E-4</v>
      </c>
      <c r="F10" s="37">
        <f>SUMIFS(Variable!F$2:F$9992,Variable!$B$2:$B$9992,$A10)</f>
        <v>5.0000000000000001E-4</v>
      </c>
      <c r="G10" s="37">
        <f>SUMIFS(Variable!G$2:G$9992,Variable!$B$2:$B$9992,$A10)</f>
        <v>5.0000000000000001E-4</v>
      </c>
      <c r="H10" s="37">
        <f>SUMIFS(Variable!H$2:H$9992,Variable!$B$2:$B$9992,$A10)</f>
        <v>0</v>
      </c>
      <c r="I10" s="37">
        <f>SUMIFS(Variable!I$2:I$9992,Variable!$B$2:$B$9992,$A10)</f>
        <v>0</v>
      </c>
      <c r="J10" s="37">
        <f>SUMIFS(Variable!J$2:J$9992,Variable!$B$2:$B$9992,$A10)</f>
        <v>0</v>
      </c>
      <c r="K10" s="37">
        <f>SUMIFS(Variable!K$2:K$9992,Variable!$B$2:$B$9992,$A10)</f>
        <v>0</v>
      </c>
      <c r="L10" s="37">
        <f>SUMIFS(Variable!L$2:L$9992,Variable!$B$2:$B$9992,$A10)</f>
        <v>0</v>
      </c>
      <c r="M10" s="37">
        <f>SUMIFS(Variable!M$2:M$9992,Variable!$B$2:$B$9992,$A10)</f>
        <v>0</v>
      </c>
      <c r="N10" s="37">
        <f>SUMIFS(Variable!N$2:N$9992,Variable!$B$2:$B$9992,$A10)</f>
        <v>0</v>
      </c>
      <c r="O10" s="37">
        <f>SUMIFS(Variable!O$2:O$9992,Variable!$B$2:$B$9992,$A10)</f>
        <v>0</v>
      </c>
      <c r="P10" s="37">
        <f>SUMIFS(Variable!P$2:P$9992,Variable!$B$2:$B$9992,$A10)</f>
        <v>0</v>
      </c>
      <c r="Q10" s="37">
        <f>SUMIFS(Variable!Q$2:Q$9992,Variable!$B$2:$B$9992,$A10)</f>
        <v>0</v>
      </c>
      <c r="R10" s="37">
        <f>SUMIFS(Variable!R$2:R$9992,Variable!$B$2:$B$9992,$A10)</f>
        <v>0</v>
      </c>
      <c r="S10" s="37">
        <f>SUMIFS(Variable!S$2:S$9992,Variable!$B$2:$B$9992,$A10)</f>
        <v>0</v>
      </c>
      <c r="T10" s="37">
        <f>SUMIFS(Variable!T$2:T$9992,Variable!$B$2:$B$9992,$A10)</f>
        <v>0</v>
      </c>
      <c r="U10" s="37">
        <f>SUMIFS(Variable!U$2:U$9992,Variable!$B$2:$B$9992,$A10)</f>
        <v>0</v>
      </c>
      <c r="V10" s="37">
        <f>SUMIFS(Variable!V$2:V$9992,Variable!$B$2:$B$9992,$A10)</f>
        <v>0</v>
      </c>
      <c r="W10" s="37">
        <f>SUMIFS(Variable!W$2:W$9992,Variable!$B$2:$B$9992,$A10)</f>
        <v>0</v>
      </c>
      <c r="X10" s="37">
        <f>SUMIFS(Variable!X$2:X$9992,Variable!$B$2:$B$9992,$A10)</f>
        <v>0</v>
      </c>
      <c r="Y10" s="37">
        <f>SUMIFS(Variable!Y$2:Y$9992,Variable!$B$2:$B$9992,$A10)</f>
        <v>0</v>
      </c>
      <c r="Z10" s="37">
        <f>SUMIFS(Variable!Z$2:Z$9992,Variable!$B$2:$B$9992,$A10)</f>
        <v>0</v>
      </c>
      <c r="AA10" s="37">
        <f>SUMIFS(Variable!AA$2:AA$9992,Variable!$B$2:$B$9992,$A10)</f>
        <v>0</v>
      </c>
      <c r="AB10" s="37">
        <f>SUMIFS(Variable!AB$2:AB$9992,Variable!$B$2:$B$9992,$A10)</f>
        <v>0</v>
      </c>
      <c r="AC10" s="37">
        <f>SUMIFS(Variable!AC$2:AC$9992,Variable!$B$2:$B$9992,$A10)</f>
        <v>0</v>
      </c>
      <c r="AD10" s="37">
        <f>SUMIFS(Variable!AD$2:AD$9992,Variable!$B$2:$B$9992,$A10)</f>
        <v>0</v>
      </c>
      <c r="AE10" s="37">
        <f>SUMIFS(Variable!AE$2:AE$9992,Variable!$B$2:$B$9992,$A10)</f>
        <v>0</v>
      </c>
      <c r="AF10" s="37">
        <f>SUMIFS(Variable!AF$2:AF$9992,Variable!$B$2:$B$9992,$A10)</f>
        <v>0</v>
      </c>
      <c r="AG10" s="37">
        <f>SUMIFS(Variable!AG$2:AG$9992,Variable!$B$2:$B$9992,$A10)</f>
        <v>0</v>
      </c>
    </row>
    <row r="11" spans="1:58" s="37" customFormat="1">
      <c r="A11" t="s">
        <v>133</v>
      </c>
      <c r="C11" s="37">
        <f>SUMIFS(Variable!C$2:C$9992,Variable!$B$2:$B$9992,$A11)</f>
        <v>2.0899999999999998E-2</v>
      </c>
      <c r="D11" s="37">
        <f>SUMIFS(Variable!D$2:D$9992,Variable!$B$2:$B$9992,$A11)</f>
        <v>2.23E-2</v>
      </c>
      <c r="E11" s="37">
        <f>SUMIFS(Variable!E$2:E$9992,Variable!$B$2:$B$9992,$A11)</f>
        <v>2.3900000000000001E-2</v>
      </c>
      <c r="F11" s="37">
        <f>SUMIFS(Variable!F$2:F$9992,Variable!$B$2:$B$9992,$A11)</f>
        <v>2.6599999999999999E-2</v>
      </c>
      <c r="G11" s="37">
        <f>SUMIFS(Variable!G$2:G$9992,Variable!$B$2:$B$9992,$A11)</f>
        <v>2.86E-2</v>
      </c>
      <c r="H11" s="37">
        <f>SUMIFS(Variable!H$2:H$9992,Variable!$B$2:$B$9992,$A11)</f>
        <v>2.6200000000000001E-2</v>
      </c>
      <c r="I11" s="37">
        <f>SUMIFS(Variable!I$2:I$9992,Variable!$B$2:$B$9992,$A11)</f>
        <v>2.5000000000000001E-2</v>
      </c>
      <c r="J11" s="37">
        <f>SUMIFS(Variable!J$2:J$9992,Variable!$B$2:$B$9992,$A11)</f>
        <v>2.3199999999999998E-2</v>
      </c>
      <c r="K11" s="37">
        <f>SUMIFS(Variable!K$2:K$9992,Variable!$B$2:$B$9992,$A11)</f>
        <v>2.1399999999999999E-2</v>
      </c>
      <c r="L11" s="37">
        <f>SUMIFS(Variable!L$2:L$9992,Variable!$B$2:$B$9992,$A11)</f>
        <v>1.9599999999999999E-2</v>
      </c>
      <c r="M11" s="37">
        <f>SUMIFS(Variable!M$2:M$9992,Variable!$B$2:$B$9992,$A11)</f>
        <v>3.3E-3</v>
      </c>
      <c r="N11" s="37">
        <f>SUMIFS(Variable!N$2:N$9992,Variable!$B$2:$B$9992,$A11)</f>
        <v>5.8999999999999999E-3</v>
      </c>
      <c r="O11" s="37">
        <f>SUMIFS(Variable!O$2:O$9992,Variable!$B$2:$B$9992,$A11)</f>
        <v>8.5000000000000006E-3</v>
      </c>
      <c r="P11" s="37">
        <f>SUMIFS(Variable!P$2:P$9992,Variable!$B$2:$B$9992,$A11)</f>
        <v>1.14E-2</v>
      </c>
      <c r="Q11" s="37">
        <f>SUMIFS(Variable!Q$2:Q$9992,Variable!$B$2:$B$9992,$A11)</f>
        <v>1.0699999999999999E-2</v>
      </c>
      <c r="R11" s="37">
        <f>SUMIFS(Variable!R$2:R$9992,Variable!$B$2:$B$9992,$A11)</f>
        <v>8.8999999999999999E-3</v>
      </c>
      <c r="S11" s="37">
        <f>SUMIFS(Variable!S$2:S$9992,Variable!$B$2:$B$9992,$A11)</f>
        <v>7.1000000000000004E-3</v>
      </c>
      <c r="T11" s="37">
        <f>SUMIFS(Variable!T$2:T$9992,Variable!$B$2:$B$9992,$A11)</f>
        <v>5.4000000000000003E-3</v>
      </c>
      <c r="U11" s="37">
        <f>SUMIFS(Variable!U$2:U$9992,Variable!$B$2:$B$9992,$A11)</f>
        <v>3.5999999999999999E-3</v>
      </c>
      <c r="V11" s="37">
        <f>SUMIFS(Variable!V$2:V$9992,Variable!$B$2:$B$9992,$A11)</f>
        <v>1.8E-3</v>
      </c>
      <c r="W11" s="37">
        <f>SUMIFS(Variable!W$2:W$9992,Variable!$B$2:$B$9992,$A11)</f>
        <v>0</v>
      </c>
      <c r="X11" s="37">
        <f>SUMIFS(Variable!X$2:X$9992,Variable!$B$2:$B$9992,$A11)</f>
        <v>0</v>
      </c>
      <c r="Y11" s="37">
        <f>SUMIFS(Variable!Y$2:Y$9992,Variable!$B$2:$B$9992,$A11)</f>
        <v>0</v>
      </c>
      <c r="Z11" s="37">
        <f>SUMIFS(Variable!Z$2:Z$9992,Variable!$B$2:$B$9992,$A11)</f>
        <v>0</v>
      </c>
      <c r="AA11" s="37">
        <f>SUMIFS(Variable!AA$2:AA$9992,Variable!$B$2:$B$9992,$A11)</f>
        <v>0</v>
      </c>
      <c r="AB11" s="37">
        <f>SUMIFS(Variable!AB$2:AB$9992,Variable!$B$2:$B$9992,$A11)</f>
        <v>0</v>
      </c>
      <c r="AC11" s="37">
        <f>SUMIFS(Variable!AC$2:AC$9992,Variable!$B$2:$B$9992,$A11)</f>
        <v>0</v>
      </c>
      <c r="AD11" s="37">
        <f>SUMIFS(Variable!AD$2:AD$9992,Variable!$B$2:$B$9992,$A11)</f>
        <v>0</v>
      </c>
      <c r="AE11" s="37">
        <f>SUMIFS(Variable!AE$2:AE$9992,Variable!$B$2:$B$9992,$A11)</f>
        <v>0</v>
      </c>
      <c r="AF11" s="37">
        <f>SUMIFS(Variable!AF$2:AF$9992,Variable!$B$2:$B$9992,$A11)</f>
        <v>0</v>
      </c>
      <c r="AG11" s="37">
        <f>SUMIFS(Variable!AG$2:AG$9992,Variable!$B$2:$B$9992,$A11)</f>
        <v>0</v>
      </c>
    </row>
    <row r="12" spans="1:58" s="37" customFormat="1">
      <c r="A12" t="s">
        <v>138</v>
      </c>
      <c r="C12" s="37">
        <f>SUMIFS(Variable!C$2:C$9992,Variable!$B$2:$B$9992,$A12)</f>
        <v>3.8999999999999998E-3</v>
      </c>
      <c r="D12" s="37">
        <f>SUMIFS(Variable!D$2:D$9992,Variable!$B$2:$B$9992,$A12)</f>
        <v>3.5999999999999999E-3</v>
      </c>
      <c r="E12" s="37">
        <f>SUMIFS(Variable!E$2:E$9992,Variable!$B$2:$B$9992,$A12)</f>
        <v>3.8E-3</v>
      </c>
      <c r="F12" s="37">
        <f>SUMIFS(Variable!F$2:F$9992,Variable!$B$2:$B$9992,$A12)</f>
        <v>3.8999999999999998E-3</v>
      </c>
      <c r="G12" s="37">
        <f>SUMIFS(Variable!G$2:G$9992,Variable!$B$2:$B$9992,$A12)</f>
        <v>3.8999999999999998E-3</v>
      </c>
      <c r="H12" s="37">
        <f>SUMIFS(Variable!H$2:H$9992,Variable!$B$2:$B$9992,$A12)</f>
        <v>4.0000000000000001E-3</v>
      </c>
      <c r="I12" s="37">
        <f>SUMIFS(Variable!I$2:I$9992,Variable!$B$2:$B$9992,$A12)</f>
        <v>6.7000000000000002E-3</v>
      </c>
      <c r="J12" s="37">
        <f>SUMIFS(Variable!J$2:J$9992,Variable!$B$2:$B$9992,$A12)</f>
        <v>6.7000000000000002E-3</v>
      </c>
      <c r="K12" s="37">
        <f>SUMIFS(Variable!K$2:K$9992,Variable!$B$2:$B$9992,$A12)</f>
        <v>6.7000000000000002E-3</v>
      </c>
      <c r="L12" s="37">
        <f>SUMIFS(Variable!L$2:L$9992,Variable!$B$2:$B$9992,$A12)</f>
        <v>6.7000000000000002E-3</v>
      </c>
      <c r="M12" s="37">
        <f>SUMIFS(Variable!M$2:M$9992,Variable!$B$2:$B$9992,$A12)</f>
        <v>6.7000000000000002E-3</v>
      </c>
      <c r="N12" s="37">
        <f>SUMIFS(Variable!N$2:N$9992,Variable!$B$2:$B$9992,$A12)</f>
        <v>6.7000000000000002E-3</v>
      </c>
      <c r="O12" s="37">
        <f>SUMIFS(Variable!O$2:O$9992,Variable!$B$2:$B$9992,$A12)</f>
        <v>6.7000000000000002E-3</v>
      </c>
      <c r="P12" s="37">
        <f>SUMIFS(Variable!P$2:P$9992,Variable!$B$2:$B$9992,$A12)</f>
        <v>6.1999999999999998E-3</v>
      </c>
      <c r="Q12" s="37">
        <f>SUMIFS(Variable!Q$2:Q$9992,Variable!$B$2:$B$9992,$A12)</f>
        <v>6.7999999999999996E-3</v>
      </c>
      <c r="R12" s="37">
        <f>SUMIFS(Variable!R$2:R$9992,Variable!$B$2:$B$9992,$A12)</f>
        <v>1.26E-2</v>
      </c>
      <c r="S12" s="37">
        <f>SUMIFS(Variable!S$2:S$9992,Variable!$B$2:$B$9992,$A12)</f>
        <v>1.26E-2</v>
      </c>
      <c r="T12" s="37">
        <f>SUMIFS(Variable!T$2:T$9992,Variable!$B$2:$B$9992,$A12)</f>
        <v>1.26E-2</v>
      </c>
      <c r="U12" s="37">
        <f>SUMIFS(Variable!U$2:U$9992,Variable!$B$2:$B$9992,$A12)</f>
        <v>1.26E-2</v>
      </c>
      <c r="V12" s="37">
        <f>SUMIFS(Variable!V$2:V$9992,Variable!$B$2:$B$9992,$A12)</f>
        <v>1.26E-2</v>
      </c>
      <c r="W12" s="37">
        <f>SUMIFS(Variable!W$2:W$9992,Variable!$B$2:$B$9992,$A12)</f>
        <v>1.26E-2</v>
      </c>
      <c r="X12" s="37">
        <f>SUMIFS(Variable!X$2:X$9992,Variable!$B$2:$B$9992,$A12)</f>
        <v>1.26E-2</v>
      </c>
      <c r="Y12" s="37">
        <f>SUMIFS(Variable!Y$2:Y$9992,Variable!$B$2:$B$9992,$A12)</f>
        <v>1.26E-2</v>
      </c>
      <c r="Z12" s="37">
        <f>SUMIFS(Variable!Z$2:Z$9992,Variable!$B$2:$B$9992,$A12)</f>
        <v>1.26E-2</v>
      </c>
      <c r="AA12" s="37">
        <f>SUMIFS(Variable!AA$2:AA$9992,Variable!$B$2:$B$9992,$A12)</f>
        <v>1.26E-2</v>
      </c>
      <c r="AB12" s="37">
        <f>SUMIFS(Variable!AB$2:AB$9992,Variable!$B$2:$B$9992,$A12)</f>
        <v>1.26E-2</v>
      </c>
      <c r="AC12" s="37">
        <f>SUMIFS(Variable!AC$2:AC$9992,Variable!$B$2:$B$9992,$A12)</f>
        <v>1.26E-2</v>
      </c>
      <c r="AD12" s="37">
        <f>SUMIFS(Variable!AD$2:AD$9992,Variable!$B$2:$B$9992,$A12)</f>
        <v>1.1900000000000001E-2</v>
      </c>
      <c r="AE12" s="37">
        <f>SUMIFS(Variable!AE$2:AE$9992,Variable!$B$2:$B$9992,$A12)</f>
        <v>1.09E-2</v>
      </c>
      <c r="AF12" s="37">
        <f>SUMIFS(Variable!AF$2:AF$9992,Variable!$B$2:$B$9992,$A12)</f>
        <v>9.5999999999999992E-3</v>
      </c>
      <c r="AG12" s="37">
        <f>SUMIFS(Variable!AG$2:AG$9992,Variable!$B$2:$B$9992,$A12)</f>
        <v>9.7000000000000003E-3</v>
      </c>
    </row>
    <row r="13" spans="1:58" s="37" customFormat="1">
      <c r="A13" t="s">
        <v>141</v>
      </c>
      <c r="C13" s="37">
        <f>SUMIFS(Variable!C$2:C$9992,Variable!$B$2:$B$9992,$A13)</f>
        <v>0</v>
      </c>
      <c r="D13" s="37">
        <f>SUMIFS(Variable!D$2:D$9992,Variable!$B$2:$B$9992,$A13)</f>
        <v>0</v>
      </c>
      <c r="E13" s="37">
        <f>SUMIFS(Variable!E$2:E$9992,Variable!$B$2:$B$9992,$A13)</f>
        <v>0</v>
      </c>
      <c r="F13" s="37">
        <f>SUMIFS(Variable!F$2:F$9992,Variable!$B$2:$B$9992,$A13)</f>
        <v>0</v>
      </c>
      <c r="G13" s="37">
        <f>SUMIFS(Variable!G$2:G$9992,Variable!$B$2:$B$9992,$A13)</f>
        <v>0</v>
      </c>
      <c r="H13" s="37">
        <f>SUMIFS(Variable!H$2:H$9992,Variable!$B$2:$B$9992,$A13)</f>
        <v>0</v>
      </c>
      <c r="I13" s="37">
        <f>SUMIFS(Variable!I$2:I$9992,Variable!$B$2:$B$9992,$A13)</f>
        <v>0</v>
      </c>
      <c r="J13" s="37">
        <f>SUMIFS(Variable!J$2:J$9992,Variable!$B$2:$B$9992,$A13)</f>
        <v>0</v>
      </c>
      <c r="K13" s="37">
        <f>SUMIFS(Variable!K$2:K$9992,Variable!$B$2:$B$9992,$A13)</f>
        <v>0</v>
      </c>
      <c r="L13" s="37">
        <f>SUMIFS(Variable!L$2:L$9992,Variable!$B$2:$B$9992,$A13)</f>
        <v>0</v>
      </c>
      <c r="M13" s="37">
        <f>SUMIFS(Variable!M$2:M$9992,Variable!$B$2:$B$9992,$A13)</f>
        <v>0</v>
      </c>
      <c r="N13" s="37">
        <f>SUMIFS(Variable!N$2:N$9992,Variable!$B$2:$B$9992,$A13)</f>
        <v>0</v>
      </c>
      <c r="O13" s="37">
        <f>SUMIFS(Variable!O$2:O$9992,Variable!$B$2:$B$9992,$A13)</f>
        <v>0</v>
      </c>
      <c r="P13" s="37">
        <f>SUMIFS(Variable!P$2:P$9992,Variable!$B$2:$B$9992,$A13)</f>
        <v>0</v>
      </c>
      <c r="Q13" s="37">
        <f>SUMIFS(Variable!Q$2:Q$9992,Variable!$B$2:$B$9992,$A13)</f>
        <v>0</v>
      </c>
      <c r="R13" s="37">
        <f>SUMIFS(Variable!R$2:R$9992,Variable!$B$2:$B$9992,$A13)</f>
        <v>0</v>
      </c>
      <c r="S13" s="37">
        <f>SUMIFS(Variable!S$2:S$9992,Variable!$B$2:$B$9992,$A13)</f>
        <v>0</v>
      </c>
      <c r="T13" s="37">
        <f>SUMIFS(Variable!T$2:T$9992,Variable!$B$2:$B$9992,$A13)</f>
        <v>0</v>
      </c>
      <c r="U13" s="37">
        <f>SUMIFS(Variable!U$2:U$9992,Variable!$B$2:$B$9992,$A13)</f>
        <v>0</v>
      </c>
      <c r="V13" s="37">
        <f>SUMIFS(Variable!V$2:V$9992,Variable!$B$2:$B$9992,$A13)</f>
        <v>0</v>
      </c>
      <c r="W13" s="37">
        <f>SUMIFS(Variable!W$2:W$9992,Variable!$B$2:$B$9992,$A13)</f>
        <v>0</v>
      </c>
      <c r="X13" s="37">
        <f>SUMIFS(Variable!X$2:X$9992,Variable!$B$2:$B$9992,$A13)</f>
        <v>0</v>
      </c>
      <c r="Y13" s="37">
        <f>SUMIFS(Variable!Y$2:Y$9992,Variable!$B$2:$B$9992,$A13)</f>
        <v>0</v>
      </c>
      <c r="Z13" s="37">
        <f>SUMIFS(Variable!Z$2:Z$9992,Variable!$B$2:$B$9992,$A13)</f>
        <v>0</v>
      </c>
      <c r="AA13" s="37">
        <f>SUMIFS(Variable!AA$2:AA$9992,Variable!$B$2:$B$9992,$A13)</f>
        <v>0</v>
      </c>
      <c r="AB13" s="37">
        <f>SUMIFS(Variable!AB$2:AB$9992,Variable!$B$2:$B$9992,$A13)</f>
        <v>0</v>
      </c>
      <c r="AC13" s="37">
        <f>SUMIFS(Variable!AC$2:AC$9992,Variable!$B$2:$B$9992,$A13)</f>
        <v>0</v>
      </c>
      <c r="AD13" s="37">
        <f>SUMIFS(Variable!AD$2:AD$9992,Variable!$B$2:$B$9992,$A13)</f>
        <v>0</v>
      </c>
      <c r="AE13" s="37">
        <f>SUMIFS(Variable!AE$2:AE$9992,Variable!$B$2:$B$9992,$A13)</f>
        <v>0</v>
      </c>
      <c r="AF13" s="37">
        <f>SUMIFS(Variable!AF$2:AF$9992,Variable!$B$2:$B$9992,$A13)</f>
        <v>0</v>
      </c>
      <c r="AG13" s="37">
        <f>SUMIFS(Variable!AG$2:AG$9992,Variable!$B$2:$B$9992,$A13)</f>
        <v>0</v>
      </c>
    </row>
    <row r="14" spans="1:58" s="37" customFormat="1">
      <c r="A14" t="s">
        <v>142</v>
      </c>
      <c r="C14" s="37">
        <f>SUMIFS(Variable!C$2:C$9992,Variable!$B$2:$B$9992,$A14)</f>
        <v>0</v>
      </c>
      <c r="D14" s="37">
        <f>SUMIFS(Variable!D$2:D$9992,Variable!$B$2:$B$9992,$A14)</f>
        <v>0</v>
      </c>
      <c r="E14" s="37">
        <f>SUMIFS(Variable!E$2:E$9992,Variable!$B$2:$B$9992,$A14)</f>
        <v>0</v>
      </c>
      <c r="F14" s="37">
        <f>SUMIFS(Variable!F$2:F$9992,Variable!$B$2:$B$9992,$A14)</f>
        <v>0</v>
      </c>
      <c r="G14" s="37">
        <f>SUMIFS(Variable!G$2:G$9992,Variable!$B$2:$B$9992,$A14)</f>
        <v>0</v>
      </c>
      <c r="H14" s="37">
        <f>SUMIFS(Variable!H$2:H$9992,Variable!$B$2:$B$9992,$A14)</f>
        <v>6.6E-3</v>
      </c>
      <c r="I14" s="37">
        <f>SUMIFS(Variable!I$2:I$9992,Variable!$B$2:$B$9992,$A14)</f>
        <v>6.6E-3</v>
      </c>
      <c r="J14" s="37">
        <f>SUMIFS(Variable!J$2:J$9992,Variable!$B$2:$B$9992,$A14)</f>
        <v>1.1299999999999999E-2</v>
      </c>
      <c r="K14" s="37">
        <f>SUMIFS(Variable!K$2:K$9992,Variable!$B$2:$B$9992,$A14)</f>
        <v>1.5900000000000001E-2</v>
      </c>
      <c r="L14" s="37">
        <f>SUMIFS(Variable!L$2:L$9992,Variable!$B$2:$B$9992,$A14)</f>
        <v>2.0500000000000001E-2</v>
      </c>
      <c r="M14" s="37">
        <f>SUMIFS(Variable!M$2:M$9992,Variable!$B$2:$B$9992,$A14)</f>
        <v>3.9800000000000002E-2</v>
      </c>
      <c r="N14" s="37">
        <f>SUMIFS(Variable!N$2:N$9992,Variable!$B$2:$B$9992,$A14)</f>
        <v>4.0599999999999997E-2</v>
      </c>
      <c r="O14" s="37">
        <f>SUMIFS(Variable!O$2:O$9992,Variable!$B$2:$B$9992,$A14)</f>
        <v>4.1099999999999998E-2</v>
      </c>
      <c r="P14" s="37">
        <f>SUMIFS(Variable!P$2:P$9992,Variable!$B$2:$B$9992,$A14)</f>
        <v>4.1599999999999998E-2</v>
      </c>
      <c r="Q14" s="37">
        <f>SUMIFS(Variable!Q$2:Q$9992,Variable!$B$2:$B$9992,$A14)</f>
        <v>3.9399999999999998E-2</v>
      </c>
      <c r="R14" s="37">
        <f>SUMIFS(Variable!R$2:R$9992,Variable!$B$2:$B$9992,$A14)</f>
        <v>3.7999999999999999E-2</v>
      </c>
      <c r="S14" s="37">
        <f>SUMIFS(Variable!S$2:S$9992,Variable!$B$2:$B$9992,$A14)</f>
        <v>3.5499999999999997E-2</v>
      </c>
      <c r="T14" s="37">
        <f>SUMIFS(Variable!T$2:T$9992,Variable!$B$2:$B$9992,$A14)</f>
        <v>3.4000000000000002E-2</v>
      </c>
      <c r="U14" s="37">
        <f>SUMIFS(Variable!U$2:U$9992,Variable!$B$2:$B$9992,$A14)</f>
        <v>3.1399999999999997E-2</v>
      </c>
      <c r="V14" s="37">
        <f>SUMIFS(Variable!V$2:V$9992,Variable!$B$2:$B$9992,$A14)</f>
        <v>3.0599999999999999E-2</v>
      </c>
      <c r="W14" s="37">
        <f>SUMIFS(Variable!W$2:W$9992,Variable!$B$2:$B$9992,$A14)</f>
        <v>3.0499999999999999E-2</v>
      </c>
      <c r="X14" s="37">
        <f>SUMIFS(Variable!X$2:X$9992,Variable!$B$2:$B$9992,$A14)</f>
        <v>3.0700000000000002E-2</v>
      </c>
      <c r="Y14" s="37">
        <f>SUMIFS(Variable!Y$2:Y$9992,Variable!$B$2:$B$9992,$A14)</f>
        <v>3.1E-2</v>
      </c>
      <c r="Z14" s="37">
        <f>SUMIFS(Variable!Z$2:Z$9992,Variable!$B$2:$B$9992,$A14)</f>
        <v>3.1399999999999997E-2</v>
      </c>
      <c r="AA14" s="37">
        <f>SUMIFS(Variable!AA$2:AA$9992,Variable!$B$2:$B$9992,$A14)</f>
        <v>3.1699999999999999E-2</v>
      </c>
      <c r="AB14" s="37">
        <f>SUMIFS(Variable!AB$2:AB$9992,Variable!$B$2:$B$9992,$A14)</f>
        <v>3.1699999999999999E-2</v>
      </c>
      <c r="AC14" s="37">
        <f>SUMIFS(Variable!AC$2:AC$9992,Variable!$B$2:$B$9992,$A14)</f>
        <v>2.9600000000000001E-2</v>
      </c>
      <c r="AD14" s="37">
        <f>SUMIFS(Variable!AD$2:AD$9992,Variable!$B$2:$B$9992,$A14)</f>
        <v>2.7E-2</v>
      </c>
      <c r="AE14" s="37">
        <f>SUMIFS(Variable!AE$2:AE$9992,Variable!$B$2:$B$9992,$A14)</f>
        <v>2.5999999999999999E-2</v>
      </c>
      <c r="AF14" s="37">
        <f>SUMIFS(Variable!AF$2:AF$9992,Variable!$B$2:$B$9992,$A14)</f>
        <v>2.5000000000000001E-2</v>
      </c>
      <c r="AG14" s="37">
        <f>SUMIFS(Variable!AG$2:AG$9992,Variable!$B$2:$B$9992,$A14)</f>
        <v>2.23E-2</v>
      </c>
    </row>
    <row r="15" spans="1:58" s="37" customFormat="1">
      <c r="A15" t="s">
        <v>143</v>
      </c>
      <c r="C15" s="37">
        <f>SUMIFS(Variable!C$2:C$9992,Variable!$B$2:$B$9992,$A15)</f>
        <v>0</v>
      </c>
      <c r="D15" s="37">
        <f>SUMIFS(Variable!D$2:D$9992,Variable!$B$2:$B$9992,$A15)</f>
        <v>0</v>
      </c>
      <c r="E15" s="37">
        <f>SUMIFS(Variable!E$2:E$9992,Variable!$B$2:$B$9992,$A15)</f>
        <v>0</v>
      </c>
      <c r="F15" s="37">
        <f>SUMIFS(Variable!F$2:F$9992,Variable!$B$2:$B$9992,$A15)</f>
        <v>0</v>
      </c>
      <c r="G15" s="37">
        <f>SUMIFS(Variable!G$2:G$9992,Variable!$B$2:$B$9992,$A15)</f>
        <v>0</v>
      </c>
      <c r="H15" s="37">
        <f>SUMIFS(Variable!H$2:H$9992,Variable!$B$2:$B$9992,$A15)</f>
        <v>0</v>
      </c>
      <c r="I15" s="37">
        <f>SUMIFS(Variable!I$2:I$9992,Variable!$B$2:$B$9992,$A15)</f>
        <v>0</v>
      </c>
      <c r="J15" s="37">
        <f>SUMIFS(Variable!J$2:J$9992,Variable!$B$2:$B$9992,$A15)</f>
        <v>0</v>
      </c>
      <c r="K15" s="37">
        <f>SUMIFS(Variable!K$2:K$9992,Variable!$B$2:$B$9992,$A15)</f>
        <v>0</v>
      </c>
      <c r="L15" s="37">
        <f>SUMIFS(Variable!L$2:L$9992,Variable!$B$2:$B$9992,$A15)</f>
        <v>0</v>
      </c>
      <c r="M15" s="37">
        <f>SUMIFS(Variable!M$2:M$9992,Variable!$B$2:$B$9992,$A15)</f>
        <v>0</v>
      </c>
      <c r="N15" s="37">
        <f>SUMIFS(Variable!N$2:N$9992,Variable!$B$2:$B$9992,$A15)</f>
        <v>0</v>
      </c>
      <c r="O15" s="37">
        <f>SUMIFS(Variable!O$2:O$9992,Variable!$B$2:$B$9992,$A15)</f>
        <v>0</v>
      </c>
      <c r="P15" s="37">
        <f>SUMIFS(Variable!P$2:P$9992,Variable!$B$2:$B$9992,$A15)</f>
        <v>0</v>
      </c>
      <c r="Q15" s="37">
        <f>SUMIFS(Variable!Q$2:Q$9992,Variable!$B$2:$B$9992,$A15)</f>
        <v>0</v>
      </c>
      <c r="R15" s="37">
        <f>SUMIFS(Variable!R$2:R$9992,Variable!$B$2:$B$9992,$A15)</f>
        <v>0</v>
      </c>
      <c r="S15" s="37">
        <f>SUMIFS(Variable!S$2:S$9992,Variable!$B$2:$B$9992,$A15)</f>
        <v>0</v>
      </c>
      <c r="T15" s="37">
        <f>SUMIFS(Variable!T$2:T$9992,Variable!$B$2:$B$9992,$A15)</f>
        <v>0</v>
      </c>
      <c r="U15" s="37">
        <f>SUMIFS(Variable!U$2:U$9992,Variable!$B$2:$B$9992,$A15)</f>
        <v>0</v>
      </c>
      <c r="V15" s="37">
        <f>SUMIFS(Variable!V$2:V$9992,Variable!$B$2:$B$9992,$A15)</f>
        <v>0</v>
      </c>
      <c r="W15" s="37">
        <f>SUMIFS(Variable!W$2:W$9992,Variable!$B$2:$B$9992,$A15)</f>
        <v>0</v>
      </c>
      <c r="X15" s="37">
        <f>SUMIFS(Variable!X$2:X$9992,Variable!$B$2:$B$9992,$A15)</f>
        <v>0</v>
      </c>
      <c r="Y15" s="37">
        <f>SUMIFS(Variable!Y$2:Y$9992,Variable!$B$2:$B$9992,$A15)</f>
        <v>0</v>
      </c>
      <c r="Z15" s="37">
        <f>SUMIFS(Variable!Z$2:Z$9992,Variable!$B$2:$B$9992,$A15)</f>
        <v>0</v>
      </c>
      <c r="AA15" s="37">
        <f>SUMIFS(Variable!AA$2:AA$9992,Variable!$B$2:$B$9992,$A15)</f>
        <v>0</v>
      </c>
      <c r="AB15" s="37">
        <f>SUMIFS(Variable!AB$2:AB$9992,Variable!$B$2:$B$9992,$A15)</f>
        <v>0</v>
      </c>
      <c r="AC15" s="37">
        <f>SUMIFS(Variable!AC$2:AC$9992,Variable!$B$2:$B$9992,$A15)</f>
        <v>0</v>
      </c>
      <c r="AD15" s="37">
        <f>SUMIFS(Variable!AD$2:AD$9992,Variable!$B$2:$B$9992,$A15)</f>
        <v>0</v>
      </c>
      <c r="AE15" s="37">
        <f>SUMIFS(Variable!AE$2:AE$9992,Variable!$B$2:$B$9992,$A15)</f>
        <v>0</v>
      </c>
      <c r="AF15" s="37">
        <f>SUMIFS(Variable!AF$2:AF$9992,Variable!$B$2:$B$9992,$A15)</f>
        <v>0</v>
      </c>
      <c r="AG15" s="37">
        <f>SUMIFS(Variable!AG$2:AG$9992,Variable!$B$2:$B$9992,$A15)</f>
        <v>0</v>
      </c>
    </row>
    <row r="16" spans="1:58" s="37" customFormat="1">
      <c r="A16" t="s">
        <v>144</v>
      </c>
      <c r="C16" s="37">
        <f>SUMIFS(Variable!C$2:C$9992,Variable!$B$2:$B$9992,$A16)</f>
        <v>0</v>
      </c>
      <c r="D16" s="37">
        <f>SUMIFS(Variable!D$2:D$9992,Variable!$B$2:$B$9992,$A16)</f>
        <v>0</v>
      </c>
      <c r="E16" s="37">
        <f>SUMIFS(Variable!E$2:E$9992,Variable!$B$2:$B$9992,$A16)</f>
        <v>0</v>
      </c>
      <c r="F16" s="37">
        <f>SUMIFS(Variable!F$2:F$9992,Variable!$B$2:$B$9992,$A16)</f>
        <v>0</v>
      </c>
      <c r="G16" s="37">
        <f>SUMIFS(Variable!G$2:G$9992,Variable!$B$2:$B$9992,$A16)</f>
        <v>0</v>
      </c>
      <c r="H16" s="37">
        <f>SUMIFS(Variable!H$2:H$9992,Variable!$B$2:$B$9992,$A16)</f>
        <v>0</v>
      </c>
      <c r="I16" s="37">
        <f>SUMIFS(Variable!I$2:I$9992,Variable!$B$2:$B$9992,$A16)</f>
        <v>0</v>
      </c>
      <c r="J16" s="37">
        <f>SUMIFS(Variable!J$2:J$9992,Variable!$B$2:$B$9992,$A16)</f>
        <v>0</v>
      </c>
      <c r="K16" s="37">
        <f>SUMIFS(Variable!K$2:K$9992,Variable!$B$2:$B$9992,$A16)</f>
        <v>0</v>
      </c>
      <c r="L16" s="37">
        <f>SUMIFS(Variable!L$2:L$9992,Variable!$B$2:$B$9992,$A16)</f>
        <v>0</v>
      </c>
      <c r="M16" s="37">
        <f>SUMIFS(Variable!M$2:M$9992,Variable!$B$2:$B$9992,$A16)</f>
        <v>0</v>
      </c>
      <c r="N16" s="37">
        <f>SUMIFS(Variable!N$2:N$9992,Variable!$B$2:$B$9992,$A16)</f>
        <v>0</v>
      </c>
      <c r="O16" s="37">
        <f>SUMIFS(Variable!O$2:O$9992,Variable!$B$2:$B$9992,$A16)</f>
        <v>0</v>
      </c>
      <c r="P16" s="37">
        <f>SUMIFS(Variable!P$2:P$9992,Variable!$B$2:$B$9992,$A16)</f>
        <v>0</v>
      </c>
      <c r="Q16" s="37">
        <f>SUMIFS(Variable!Q$2:Q$9992,Variable!$B$2:$B$9992,$A16)</f>
        <v>0</v>
      </c>
      <c r="R16" s="37">
        <f>SUMIFS(Variable!R$2:R$9992,Variable!$B$2:$B$9992,$A16)</f>
        <v>0</v>
      </c>
      <c r="S16" s="37">
        <f>SUMIFS(Variable!S$2:S$9992,Variable!$B$2:$B$9992,$A16)</f>
        <v>0</v>
      </c>
      <c r="T16" s="37">
        <f>SUMIFS(Variable!T$2:T$9992,Variable!$B$2:$B$9992,$A16)</f>
        <v>0</v>
      </c>
      <c r="U16" s="37">
        <f>SUMIFS(Variable!U$2:U$9992,Variable!$B$2:$B$9992,$A16)</f>
        <v>0</v>
      </c>
      <c r="V16" s="37">
        <f>SUMIFS(Variable!V$2:V$9992,Variable!$B$2:$B$9992,$A16)</f>
        <v>0</v>
      </c>
      <c r="W16" s="37">
        <f>SUMIFS(Variable!W$2:W$9992,Variable!$B$2:$B$9992,$A16)</f>
        <v>0</v>
      </c>
      <c r="X16" s="37">
        <f>SUMIFS(Variable!X$2:X$9992,Variable!$B$2:$B$9992,$A16)</f>
        <v>0</v>
      </c>
      <c r="Y16" s="37">
        <f>SUMIFS(Variable!Y$2:Y$9992,Variable!$B$2:$B$9992,$A16)</f>
        <v>0</v>
      </c>
      <c r="Z16" s="37">
        <f>SUMIFS(Variable!Z$2:Z$9992,Variable!$B$2:$B$9992,$A16)</f>
        <v>0</v>
      </c>
      <c r="AA16" s="37">
        <f>SUMIFS(Variable!AA$2:AA$9992,Variable!$B$2:$B$9992,$A16)</f>
        <v>0</v>
      </c>
      <c r="AB16" s="37">
        <f>SUMIFS(Variable!AB$2:AB$9992,Variable!$B$2:$B$9992,$A16)</f>
        <v>0</v>
      </c>
      <c r="AC16" s="37">
        <f>SUMIFS(Variable!AC$2:AC$9992,Variable!$B$2:$B$9992,$A16)</f>
        <v>0</v>
      </c>
      <c r="AD16" s="37">
        <f>SUMIFS(Variable!AD$2:AD$9992,Variable!$B$2:$B$9992,$A16)</f>
        <v>0</v>
      </c>
      <c r="AE16" s="37">
        <f>SUMIFS(Variable!AE$2:AE$9992,Variable!$B$2:$B$9992,$A16)</f>
        <v>0</v>
      </c>
      <c r="AF16" s="37">
        <f>SUMIFS(Variable!AF$2:AF$9992,Variable!$B$2:$B$9992,$A16)</f>
        <v>0</v>
      </c>
      <c r="AG16" s="37">
        <f>SUMIFS(Variable!AG$2:AG$9992,Variable!$B$2:$B$9992,$A16)</f>
        <v>0</v>
      </c>
    </row>
    <row r="17" spans="1:33" s="37" customFormat="1">
      <c r="A17" t="s">
        <v>145</v>
      </c>
      <c r="C17" s="37">
        <f>SUMIFS(Variable!C$2:C$9992,Variable!$B$2:$B$9992,$A17)</f>
        <v>2.5999999999999999E-3</v>
      </c>
      <c r="D17" s="37">
        <f>SUMIFS(Variable!D$2:D$9992,Variable!$B$2:$B$9992,$A17)</f>
        <v>3.3E-3</v>
      </c>
      <c r="E17" s="37">
        <f>SUMIFS(Variable!E$2:E$9992,Variable!$B$2:$B$9992,$A17)</f>
        <v>3.5999999999999999E-3</v>
      </c>
      <c r="F17" s="37">
        <f>SUMIFS(Variable!F$2:F$9992,Variable!$B$2:$B$9992,$A17)</f>
        <v>3.7000000000000002E-3</v>
      </c>
      <c r="G17" s="37">
        <f>SUMIFS(Variable!G$2:G$9992,Variable!$B$2:$B$9992,$A17)</f>
        <v>3.8999999999999998E-3</v>
      </c>
      <c r="H17" s="37">
        <f>SUMIFS(Variable!H$2:H$9992,Variable!$B$2:$B$9992,$A17)</f>
        <v>3.8999999999999998E-3</v>
      </c>
      <c r="I17" s="37">
        <f>SUMIFS(Variable!I$2:I$9992,Variable!$B$2:$B$9992,$A17)</f>
        <v>3.8999999999999998E-3</v>
      </c>
      <c r="J17" s="37">
        <f>SUMIFS(Variable!J$2:J$9992,Variable!$B$2:$B$9992,$A17)</f>
        <v>3.8999999999999998E-3</v>
      </c>
      <c r="K17" s="37">
        <f>SUMIFS(Variable!K$2:K$9992,Variable!$B$2:$B$9992,$A17)</f>
        <v>3.8999999999999998E-3</v>
      </c>
      <c r="L17" s="37">
        <f>SUMIFS(Variable!L$2:L$9992,Variable!$B$2:$B$9992,$A17)</f>
        <v>3.8999999999999998E-3</v>
      </c>
      <c r="M17" s="37">
        <f>SUMIFS(Variable!M$2:M$9992,Variable!$B$2:$B$9992,$A17)</f>
        <v>3.8999999999999998E-3</v>
      </c>
      <c r="N17" s="37">
        <f>SUMIFS(Variable!N$2:N$9992,Variable!$B$2:$B$9992,$A17)</f>
        <v>3.8999999999999998E-3</v>
      </c>
      <c r="O17" s="37">
        <f>SUMIFS(Variable!O$2:O$9992,Variable!$B$2:$B$9992,$A17)</f>
        <v>3.8999999999999998E-3</v>
      </c>
      <c r="P17" s="37">
        <f>SUMIFS(Variable!P$2:P$9992,Variable!$B$2:$B$9992,$A17)</f>
        <v>3.8999999999999998E-3</v>
      </c>
      <c r="Q17" s="37">
        <f>SUMIFS(Variable!Q$2:Q$9992,Variable!$B$2:$B$9992,$A17)</f>
        <v>3.8999999999999998E-3</v>
      </c>
      <c r="R17" s="37">
        <f>SUMIFS(Variable!R$2:R$9992,Variable!$B$2:$B$9992,$A17)</f>
        <v>3.8999999999999998E-3</v>
      </c>
      <c r="S17" s="37">
        <f>SUMIFS(Variable!S$2:S$9992,Variable!$B$2:$B$9992,$A17)</f>
        <v>3.8999999999999998E-3</v>
      </c>
      <c r="T17" s="37">
        <f>SUMIFS(Variable!T$2:T$9992,Variable!$B$2:$B$9992,$A17)</f>
        <v>3.8999999999999998E-3</v>
      </c>
      <c r="U17" s="37">
        <f>SUMIFS(Variable!U$2:U$9992,Variable!$B$2:$B$9992,$A17)</f>
        <v>3.8999999999999998E-3</v>
      </c>
      <c r="V17" s="37">
        <f>SUMIFS(Variable!V$2:V$9992,Variable!$B$2:$B$9992,$A17)</f>
        <v>3.8999999999999998E-3</v>
      </c>
      <c r="W17" s="37">
        <f>SUMIFS(Variable!W$2:W$9992,Variable!$B$2:$B$9992,$A17)</f>
        <v>3.8999999999999998E-3</v>
      </c>
      <c r="X17" s="37">
        <f>SUMIFS(Variable!X$2:X$9992,Variable!$B$2:$B$9992,$A17)</f>
        <v>3.8999999999999998E-3</v>
      </c>
      <c r="Y17" s="37">
        <f>SUMIFS(Variable!Y$2:Y$9992,Variable!$B$2:$B$9992,$A17)</f>
        <v>3.8999999999999998E-3</v>
      </c>
      <c r="Z17" s="37">
        <f>SUMIFS(Variable!Z$2:Z$9992,Variable!$B$2:$B$9992,$A17)</f>
        <v>3.8999999999999998E-3</v>
      </c>
      <c r="AA17" s="37">
        <f>SUMIFS(Variable!AA$2:AA$9992,Variable!$B$2:$B$9992,$A17)</f>
        <v>3.8999999999999998E-3</v>
      </c>
      <c r="AB17" s="37">
        <f>SUMIFS(Variable!AB$2:AB$9992,Variable!$B$2:$B$9992,$A17)</f>
        <v>3.8999999999999998E-3</v>
      </c>
      <c r="AC17" s="37">
        <f>SUMIFS(Variable!AC$2:AC$9992,Variable!$B$2:$B$9992,$A17)</f>
        <v>3.8999999999999998E-3</v>
      </c>
      <c r="AD17" s="37">
        <f>SUMIFS(Variable!AD$2:AD$9992,Variable!$B$2:$B$9992,$A17)</f>
        <v>3.8999999999999998E-3</v>
      </c>
      <c r="AE17" s="37">
        <f>SUMIFS(Variable!AE$2:AE$9992,Variable!$B$2:$B$9992,$A17)</f>
        <v>3.8999999999999998E-3</v>
      </c>
      <c r="AF17" s="37">
        <f>SUMIFS(Variable!AF$2:AF$9992,Variable!$B$2:$B$9992,$A17)</f>
        <v>3.5000000000000001E-3</v>
      </c>
      <c r="AG17" s="37">
        <f>SUMIFS(Variable!AG$2:AG$9992,Variable!$B$2:$B$9992,$A17)</f>
        <v>3.2000000000000002E-3</v>
      </c>
    </row>
    <row r="18" spans="1:33" s="37" customFormat="1">
      <c r="A18" t="s">
        <v>146</v>
      </c>
      <c r="C18" s="37">
        <f>SUMIFS(Variable!C$2:C$9992,Variable!$B$2:$B$9992,$A18)</f>
        <v>0</v>
      </c>
      <c r="D18" s="37">
        <f>SUMIFS(Variable!D$2:D$9992,Variable!$B$2:$B$9992,$A18)</f>
        <v>0</v>
      </c>
      <c r="E18" s="37">
        <f>SUMIFS(Variable!E$2:E$9992,Variable!$B$2:$B$9992,$A18)</f>
        <v>0</v>
      </c>
      <c r="F18" s="37">
        <f>SUMIFS(Variable!F$2:F$9992,Variable!$B$2:$B$9992,$A18)</f>
        <v>0</v>
      </c>
      <c r="G18" s="37">
        <f>SUMIFS(Variable!G$2:G$9992,Variable!$B$2:$B$9992,$A18)</f>
        <v>0</v>
      </c>
      <c r="H18" s="37">
        <f>SUMIFS(Variable!H$2:H$9992,Variable!$B$2:$B$9992,$A18)</f>
        <v>5.9999999999999995E-4</v>
      </c>
      <c r="I18" s="37">
        <f>SUMIFS(Variable!I$2:I$9992,Variable!$B$2:$B$9992,$A18)</f>
        <v>5.9999999999999995E-4</v>
      </c>
      <c r="J18" s="37">
        <f>SUMIFS(Variable!J$2:J$9992,Variable!$B$2:$B$9992,$A18)</f>
        <v>4.0000000000000002E-4</v>
      </c>
      <c r="K18" s="37">
        <f>SUMIFS(Variable!K$2:K$9992,Variable!$B$2:$B$9992,$A18)</f>
        <v>1E-4</v>
      </c>
      <c r="L18" s="37">
        <f>SUMIFS(Variable!L$2:L$9992,Variable!$B$2:$B$9992,$A18)</f>
        <v>0</v>
      </c>
      <c r="M18" s="37">
        <f>SUMIFS(Variable!M$2:M$9992,Variable!$B$2:$B$9992,$A18)</f>
        <v>0</v>
      </c>
      <c r="N18" s="37">
        <f>SUMIFS(Variable!N$2:N$9992,Variable!$B$2:$B$9992,$A18)</f>
        <v>0</v>
      </c>
      <c r="O18" s="37">
        <f>SUMIFS(Variable!O$2:O$9992,Variable!$B$2:$B$9992,$A18)</f>
        <v>0</v>
      </c>
      <c r="P18" s="37">
        <f>SUMIFS(Variable!P$2:P$9992,Variable!$B$2:$B$9992,$A18)</f>
        <v>0</v>
      </c>
      <c r="Q18" s="37">
        <f>SUMIFS(Variable!Q$2:Q$9992,Variable!$B$2:$B$9992,$A18)</f>
        <v>0</v>
      </c>
      <c r="R18" s="37">
        <f>SUMIFS(Variable!R$2:R$9992,Variable!$B$2:$B$9992,$A18)</f>
        <v>0</v>
      </c>
      <c r="S18" s="37">
        <f>SUMIFS(Variable!S$2:S$9992,Variable!$B$2:$B$9992,$A18)</f>
        <v>1.8E-3</v>
      </c>
      <c r="T18" s="37">
        <f>SUMIFS(Variable!T$2:T$9992,Variable!$B$2:$B$9992,$A18)</f>
        <v>1.6000000000000001E-3</v>
      </c>
      <c r="U18" s="37">
        <f>SUMIFS(Variable!U$2:U$9992,Variable!$B$2:$B$9992,$A18)</f>
        <v>1.1999999999999999E-3</v>
      </c>
      <c r="V18" s="37">
        <f>SUMIFS(Variable!V$2:V$9992,Variable!$B$2:$B$9992,$A18)</f>
        <v>2.5999999999999999E-3</v>
      </c>
      <c r="W18" s="37">
        <f>SUMIFS(Variable!W$2:W$9992,Variable!$B$2:$B$9992,$A18)</f>
        <v>4.7000000000000002E-3</v>
      </c>
      <c r="X18" s="37">
        <f>SUMIFS(Variable!X$2:X$9992,Variable!$B$2:$B$9992,$A18)</f>
        <v>5.1999999999999998E-3</v>
      </c>
      <c r="Y18" s="37">
        <f>SUMIFS(Variable!Y$2:Y$9992,Variable!$B$2:$B$9992,$A18)</f>
        <v>5.8999999999999999E-3</v>
      </c>
      <c r="Z18" s="37">
        <f>SUMIFS(Variable!Z$2:Z$9992,Variable!$B$2:$B$9992,$A18)</f>
        <v>6.8999999999999999E-3</v>
      </c>
      <c r="AA18" s="37">
        <f>SUMIFS(Variable!AA$2:AA$9992,Variable!$B$2:$B$9992,$A18)</f>
        <v>7.4999999999999997E-3</v>
      </c>
      <c r="AB18" s="37">
        <f>SUMIFS(Variable!AB$2:AB$9992,Variable!$B$2:$B$9992,$A18)</f>
        <v>7.7999999999999996E-3</v>
      </c>
      <c r="AC18" s="37">
        <f>SUMIFS(Variable!AC$2:AC$9992,Variable!$B$2:$B$9992,$A18)</f>
        <v>8.2000000000000007E-3</v>
      </c>
      <c r="AD18" s="37">
        <f>SUMIFS(Variable!AD$2:AD$9992,Variable!$B$2:$B$9992,$A18)</f>
        <v>8.0000000000000002E-3</v>
      </c>
      <c r="AE18" s="37">
        <f>SUMIFS(Variable!AE$2:AE$9992,Variable!$B$2:$B$9992,$A18)</f>
        <v>7.7000000000000002E-3</v>
      </c>
      <c r="AF18" s="37">
        <f>SUMIFS(Variable!AF$2:AF$9992,Variable!$B$2:$B$9992,$A18)</f>
        <v>7.4999999999999997E-3</v>
      </c>
      <c r="AG18" s="37">
        <f>SUMIFS(Variable!AG$2:AG$9992,Variable!$B$2:$B$9992,$A18)</f>
        <v>8.0999999999999996E-3</v>
      </c>
    </row>
    <row r="19" spans="1:33" s="37" customFormat="1">
      <c r="A19" t="s">
        <v>147</v>
      </c>
      <c r="C19" s="37">
        <f>SUMIFS(Variable!C$2:C$9992,Variable!$B$2:$B$9992,$A19)</f>
        <v>0</v>
      </c>
      <c r="D19" s="37">
        <f>SUMIFS(Variable!D$2:D$9992,Variable!$B$2:$B$9992,$A19)</f>
        <v>0</v>
      </c>
      <c r="E19" s="37">
        <f>SUMIFS(Variable!E$2:E$9992,Variable!$B$2:$B$9992,$A19)</f>
        <v>0</v>
      </c>
      <c r="F19" s="37">
        <f>SUMIFS(Variable!F$2:F$9992,Variable!$B$2:$B$9992,$A19)</f>
        <v>0</v>
      </c>
      <c r="G19" s="37">
        <f>SUMIFS(Variable!G$2:G$9992,Variable!$B$2:$B$9992,$A19)</f>
        <v>0</v>
      </c>
      <c r="H19" s="37">
        <f>SUMIFS(Variable!H$2:H$9992,Variable!$B$2:$B$9992,$A19)</f>
        <v>0</v>
      </c>
      <c r="I19" s="37">
        <f>SUMIFS(Variable!I$2:I$9992,Variable!$B$2:$B$9992,$A19)</f>
        <v>0</v>
      </c>
      <c r="J19" s="37">
        <f>SUMIFS(Variable!J$2:J$9992,Variable!$B$2:$B$9992,$A19)</f>
        <v>0</v>
      </c>
      <c r="K19" s="37">
        <f>SUMIFS(Variable!K$2:K$9992,Variable!$B$2:$B$9992,$A19)</f>
        <v>0</v>
      </c>
      <c r="L19" s="37">
        <f>SUMIFS(Variable!L$2:L$9992,Variable!$B$2:$B$9992,$A19)</f>
        <v>0</v>
      </c>
      <c r="M19" s="37">
        <f>SUMIFS(Variable!M$2:M$9992,Variable!$B$2:$B$9992,$A19)</f>
        <v>0</v>
      </c>
      <c r="N19" s="37">
        <f>SUMIFS(Variable!N$2:N$9992,Variable!$B$2:$B$9992,$A19)</f>
        <v>0</v>
      </c>
      <c r="O19" s="37">
        <f>SUMIFS(Variable!O$2:O$9992,Variable!$B$2:$B$9992,$A19)</f>
        <v>0</v>
      </c>
      <c r="P19" s="37">
        <f>SUMIFS(Variable!P$2:P$9992,Variable!$B$2:$B$9992,$A19)</f>
        <v>0</v>
      </c>
      <c r="Q19" s="37">
        <f>SUMIFS(Variable!Q$2:Q$9992,Variable!$B$2:$B$9992,$A19)</f>
        <v>0</v>
      </c>
      <c r="R19" s="37">
        <f>SUMIFS(Variable!R$2:R$9992,Variable!$B$2:$B$9992,$A19)</f>
        <v>0</v>
      </c>
      <c r="S19" s="37">
        <f>SUMIFS(Variable!S$2:S$9992,Variable!$B$2:$B$9992,$A19)</f>
        <v>0</v>
      </c>
      <c r="T19" s="37">
        <f>SUMIFS(Variable!T$2:T$9992,Variable!$B$2:$B$9992,$A19)</f>
        <v>0</v>
      </c>
      <c r="U19" s="37">
        <f>SUMIFS(Variable!U$2:U$9992,Variable!$B$2:$B$9992,$A19)</f>
        <v>0</v>
      </c>
      <c r="V19" s="37">
        <f>SUMIFS(Variable!V$2:V$9992,Variable!$B$2:$B$9992,$A19)</f>
        <v>0</v>
      </c>
      <c r="W19" s="37">
        <f>SUMIFS(Variable!W$2:W$9992,Variable!$B$2:$B$9992,$A19)</f>
        <v>0</v>
      </c>
      <c r="X19" s="37">
        <f>SUMIFS(Variable!X$2:X$9992,Variable!$B$2:$B$9992,$A19)</f>
        <v>0</v>
      </c>
      <c r="Y19" s="37">
        <f>SUMIFS(Variable!Y$2:Y$9992,Variable!$B$2:$B$9992,$A19)</f>
        <v>0</v>
      </c>
      <c r="Z19" s="37">
        <f>SUMIFS(Variable!Z$2:Z$9992,Variable!$B$2:$B$9992,$A19)</f>
        <v>0</v>
      </c>
      <c r="AA19" s="37">
        <f>SUMIFS(Variable!AA$2:AA$9992,Variable!$B$2:$B$9992,$A19)</f>
        <v>0</v>
      </c>
      <c r="AB19" s="37">
        <f>SUMIFS(Variable!AB$2:AB$9992,Variable!$B$2:$B$9992,$A19)</f>
        <v>0</v>
      </c>
      <c r="AC19" s="37">
        <f>SUMIFS(Variable!AC$2:AC$9992,Variable!$B$2:$B$9992,$A19)</f>
        <v>0</v>
      </c>
      <c r="AD19" s="37">
        <f>SUMIFS(Variable!AD$2:AD$9992,Variable!$B$2:$B$9992,$A19)</f>
        <v>0</v>
      </c>
      <c r="AE19" s="37">
        <f>SUMIFS(Variable!AE$2:AE$9992,Variable!$B$2:$B$9992,$A19)</f>
        <v>0</v>
      </c>
      <c r="AF19" s="37">
        <f>SUMIFS(Variable!AF$2:AF$9992,Variable!$B$2:$B$9992,$A19)</f>
        <v>0</v>
      </c>
      <c r="AG19" s="37">
        <f>SUMIFS(Variable!AG$2:AG$9992,Variable!$B$2:$B$9992,$A19)</f>
        <v>0</v>
      </c>
    </row>
    <row r="20" spans="1:33" s="37" customFormat="1">
      <c r="A20" t="s">
        <v>148</v>
      </c>
      <c r="C20" s="37">
        <f>SUMIFS(Variable!C$2:C$9992,Variable!$B$2:$B$9992,$A20)</f>
        <v>0</v>
      </c>
      <c r="D20" s="37">
        <f>SUMIFS(Variable!D$2:D$9992,Variable!$B$2:$B$9992,$A20)</f>
        <v>0</v>
      </c>
      <c r="E20" s="37">
        <f>SUMIFS(Variable!E$2:E$9992,Variable!$B$2:$B$9992,$A20)</f>
        <v>0</v>
      </c>
      <c r="F20" s="37">
        <f>SUMIFS(Variable!F$2:F$9992,Variable!$B$2:$B$9992,$A20)</f>
        <v>0</v>
      </c>
      <c r="G20" s="37">
        <f>SUMIFS(Variable!G$2:G$9992,Variable!$B$2:$B$9992,$A20)</f>
        <v>0</v>
      </c>
      <c r="H20" s="37">
        <f>SUMIFS(Variable!H$2:H$9992,Variable!$B$2:$B$9992,$A20)</f>
        <v>0</v>
      </c>
      <c r="I20" s="37">
        <f>SUMIFS(Variable!I$2:I$9992,Variable!$B$2:$B$9992,$A20)</f>
        <v>0</v>
      </c>
      <c r="J20" s="37">
        <f>SUMIFS(Variable!J$2:J$9992,Variable!$B$2:$B$9992,$A20)</f>
        <v>0</v>
      </c>
      <c r="K20" s="37">
        <f>SUMIFS(Variable!K$2:K$9992,Variable!$B$2:$B$9992,$A20)</f>
        <v>0</v>
      </c>
      <c r="L20" s="37">
        <f>SUMIFS(Variable!L$2:L$9992,Variable!$B$2:$B$9992,$A20)</f>
        <v>0</v>
      </c>
      <c r="M20" s="37">
        <f>SUMIFS(Variable!M$2:M$9992,Variable!$B$2:$B$9992,$A20)</f>
        <v>0</v>
      </c>
      <c r="N20" s="37">
        <f>SUMIFS(Variable!N$2:N$9992,Variable!$B$2:$B$9992,$A20)</f>
        <v>0</v>
      </c>
      <c r="O20" s="37">
        <f>SUMIFS(Variable!O$2:O$9992,Variable!$B$2:$B$9992,$A20)</f>
        <v>0</v>
      </c>
      <c r="P20" s="37">
        <f>SUMIFS(Variable!P$2:P$9992,Variable!$B$2:$B$9992,$A20)</f>
        <v>0</v>
      </c>
      <c r="Q20" s="37">
        <f>SUMIFS(Variable!Q$2:Q$9992,Variable!$B$2:$B$9992,$A20)</f>
        <v>0</v>
      </c>
      <c r="R20" s="37">
        <f>SUMIFS(Variable!R$2:R$9992,Variable!$B$2:$B$9992,$A20)</f>
        <v>0</v>
      </c>
      <c r="S20" s="37">
        <f>SUMIFS(Variable!S$2:S$9992,Variable!$B$2:$B$9992,$A20)</f>
        <v>0</v>
      </c>
      <c r="T20" s="37">
        <f>SUMIFS(Variable!T$2:T$9992,Variable!$B$2:$B$9992,$A20)</f>
        <v>0</v>
      </c>
      <c r="U20" s="37">
        <f>SUMIFS(Variable!U$2:U$9992,Variable!$B$2:$B$9992,$A20)</f>
        <v>0</v>
      </c>
      <c r="V20" s="37">
        <f>SUMIFS(Variable!V$2:V$9992,Variable!$B$2:$B$9992,$A20)</f>
        <v>0</v>
      </c>
      <c r="W20" s="37">
        <f>SUMIFS(Variable!W$2:W$9992,Variable!$B$2:$B$9992,$A20)</f>
        <v>0</v>
      </c>
      <c r="X20" s="37">
        <f>SUMIFS(Variable!X$2:X$9992,Variable!$B$2:$B$9992,$A20)</f>
        <v>0</v>
      </c>
      <c r="Y20" s="37">
        <f>SUMIFS(Variable!Y$2:Y$9992,Variable!$B$2:$B$9992,$A20)</f>
        <v>0</v>
      </c>
      <c r="Z20" s="37">
        <f>SUMIFS(Variable!Z$2:Z$9992,Variable!$B$2:$B$9992,$A20)</f>
        <v>0</v>
      </c>
      <c r="AA20" s="37">
        <f>SUMIFS(Variable!AA$2:AA$9992,Variable!$B$2:$B$9992,$A20)</f>
        <v>0</v>
      </c>
      <c r="AB20" s="37">
        <f>SUMIFS(Variable!AB$2:AB$9992,Variable!$B$2:$B$9992,$A20)</f>
        <v>0</v>
      </c>
      <c r="AC20" s="37">
        <f>SUMIFS(Variable!AC$2:AC$9992,Variable!$B$2:$B$9992,$A20)</f>
        <v>0</v>
      </c>
      <c r="AD20" s="37">
        <f>SUMIFS(Variable!AD$2:AD$9992,Variable!$B$2:$B$9992,$A20)</f>
        <v>0</v>
      </c>
      <c r="AE20" s="37">
        <f>SUMIFS(Variable!AE$2:AE$9992,Variable!$B$2:$B$9992,$A20)</f>
        <v>0</v>
      </c>
      <c r="AF20" s="37">
        <f>SUMIFS(Variable!AF$2:AF$9992,Variable!$B$2:$B$9992,$A20)</f>
        <v>0</v>
      </c>
      <c r="AG20" s="37">
        <f>SUMIFS(Variable!AG$2:AG$9992,Variable!$B$2:$B$9992,$A20)</f>
        <v>0</v>
      </c>
    </row>
    <row r="21" spans="1:33" s="37" customFormat="1">
      <c r="A21" t="s">
        <v>149</v>
      </c>
      <c r="C21" s="37">
        <f>SUMIFS(Variable!C$2:C$9992,Variable!$B$2:$B$9992,$A21)</f>
        <v>0</v>
      </c>
      <c r="D21" s="37">
        <f>SUMIFS(Variable!D$2:D$9992,Variable!$B$2:$B$9992,$A21)</f>
        <v>0</v>
      </c>
      <c r="E21" s="37">
        <f>SUMIFS(Variable!E$2:E$9992,Variable!$B$2:$B$9992,$A21)</f>
        <v>0</v>
      </c>
      <c r="F21" s="37">
        <f>SUMIFS(Variable!F$2:F$9992,Variable!$B$2:$B$9992,$A21)</f>
        <v>0</v>
      </c>
      <c r="G21" s="37">
        <f>SUMIFS(Variable!G$2:G$9992,Variable!$B$2:$B$9992,$A21)</f>
        <v>0</v>
      </c>
      <c r="H21" s="37">
        <f>SUMIFS(Variable!H$2:H$9992,Variable!$B$2:$B$9992,$A21)</f>
        <v>0</v>
      </c>
      <c r="I21" s="37">
        <f>SUMIFS(Variable!I$2:I$9992,Variable!$B$2:$B$9992,$A21)</f>
        <v>0</v>
      </c>
      <c r="J21" s="37">
        <f>SUMIFS(Variable!J$2:J$9992,Variable!$B$2:$B$9992,$A21)</f>
        <v>0</v>
      </c>
      <c r="K21" s="37">
        <f>SUMIFS(Variable!K$2:K$9992,Variable!$B$2:$B$9992,$A21)</f>
        <v>0</v>
      </c>
      <c r="L21" s="37">
        <f>SUMIFS(Variable!L$2:L$9992,Variable!$B$2:$B$9992,$A21)</f>
        <v>0</v>
      </c>
      <c r="M21" s="37">
        <f>SUMIFS(Variable!M$2:M$9992,Variable!$B$2:$B$9992,$A21)</f>
        <v>0</v>
      </c>
      <c r="N21" s="37">
        <f>SUMIFS(Variable!N$2:N$9992,Variable!$B$2:$B$9992,$A21)</f>
        <v>0</v>
      </c>
      <c r="O21" s="37">
        <f>SUMIFS(Variable!O$2:O$9992,Variable!$B$2:$B$9992,$A21)</f>
        <v>0</v>
      </c>
      <c r="P21" s="37">
        <f>SUMIFS(Variable!P$2:P$9992,Variable!$B$2:$B$9992,$A21)</f>
        <v>0</v>
      </c>
      <c r="Q21" s="37">
        <f>SUMIFS(Variable!Q$2:Q$9992,Variable!$B$2:$B$9992,$A21)</f>
        <v>0</v>
      </c>
      <c r="R21" s="37">
        <f>SUMIFS(Variable!R$2:R$9992,Variable!$B$2:$B$9992,$A21)</f>
        <v>0</v>
      </c>
      <c r="S21" s="37">
        <f>SUMIFS(Variable!S$2:S$9992,Variable!$B$2:$B$9992,$A21)</f>
        <v>1.6999999999999999E-3</v>
      </c>
      <c r="T21" s="37">
        <f>SUMIFS(Variable!T$2:T$9992,Variable!$B$2:$B$9992,$A21)</f>
        <v>8.8999999999999999E-3</v>
      </c>
      <c r="U21" s="37">
        <f>SUMIFS(Variable!U$2:U$9992,Variable!$B$2:$B$9992,$A21)</f>
        <v>1.77E-2</v>
      </c>
      <c r="V21" s="37">
        <f>SUMIFS(Variable!V$2:V$9992,Variable!$B$2:$B$9992,$A21)</f>
        <v>2.2599999999999999E-2</v>
      </c>
      <c r="W21" s="37">
        <f>SUMIFS(Variable!W$2:W$9992,Variable!$B$2:$B$9992,$A21)</f>
        <v>2.63E-2</v>
      </c>
      <c r="X21" s="37">
        <f>SUMIFS(Variable!X$2:X$9992,Variable!$B$2:$B$9992,$A21)</f>
        <v>2.8899999999999999E-2</v>
      </c>
      <c r="Y21" s="37">
        <f>SUMIFS(Variable!Y$2:Y$9992,Variable!$B$2:$B$9992,$A21)</f>
        <v>3.1600000000000003E-2</v>
      </c>
      <c r="Z21" s="37">
        <f>SUMIFS(Variable!Z$2:Z$9992,Variable!$B$2:$B$9992,$A21)</f>
        <v>3.3500000000000002E-2</v>
      </c>
      <c r="AA21" s="37">
        <f>SUMIFS(Variable!AA$2:AA$9992,Variable!$B$2:$B$9992,$A21)</f>
        <v>3.6299999999999999E-2</v>
      </c>
      <c r="AB21" s="37">
        <f>SUMIFS(Variable!AB$2:AB$9992,Variable!$B$2:$B$9992,$A21)</f>
        <v>3.9899999999999998E-2</v>
      </c>
      <c r="AC21" s="37">
        <f>SUMIFS(Variable!AC$2:AC$9992,Variable!$B$2:$B$9992,$A21)</f>
        <v>4.5999999999999999E-2</v>
      </c>
      <c r="AD21" s="37">
        <f>SUMIFS(Variable!AD$2:AD$9992,Variable!$B$2:$B$9992,$A21)</f>
        <v>5.3499999999999999E-2</v>
      </c>
      <c r="AE21" s="37">
        <f>SUMIFS(Variable!AE$2:AE$9992,Variable!$B$2:$B$9992,$A21)</f>
        <v>5.8299999999999998E-2</v>
      </c>
      <c r="AF21" s="37">
        <f>SUMIFS(Variable!AF$2:AF$9992,Variable!$B$2:$B$9992,$A21)</f>
        <v>6.5000000000000002E-2</v>
      </c>
      <c r="AG21" s="37">
        <f>SUMIFS(Variable!AG$2:AG$9992,Variable!$B$2:$B$9992,$A21)</f>
        <v>6.7000000000000004E-2</v>
      </c>
    </row>
    <row r="22" spans="1:33" s="37" customFormat="1">
      <c r="A22" t="s">
        <v>150</v>
      </c>
      <c r="C22" s="37">
        <f>SUMIFS(Variable!C$2:C$9992,Variable!$B$2:$B$9992,$A22)</f>
        <v>5.0000000000000001E-4</v>
      </c>
      <c r="D22" s="37">
        <f>SUMIFS(Variable!D$2:D$9992,Variable!$B$2:$B$9992,$A22)</f>
        <v>5.0000000000000001E-4</v>
      </c>
      <c r="E22" s="37">
        <f>SUMIFS(Variable!E$2:E$9992,Variable!$B$2:$B$9992,$A22)</f>
        <v>6.9999999999999999E-4</v>
      </c>
      <c r="F22" s="37">
        <f>SUMIFS(Variable!F$2:F$9992,Variable!$B$2:$B$9992,$A22)</f>
        <v>8.9999999999999998E-4</v>
      </c>
      <c r="G22" s="37">
        <f>SUMIFS(Variable!G$2:G$9992,Variable!$B$2:$B$9992,$A22)</f>
        <v>1.4E-3</v>
      </c>
      <c r="H22" s="37">
        <f>SUMIFS(Variable!H$2:H$9992,Variable!$B$2:$B$9992,$A22)</f>
        <v>1.6999999999999999E-3</v>
      </c>
      <c r="I22" s="37">
        <f>SUMIFS(Variable!I$2:I$9992,Variable!$B$2:$B$9992,$A22)</f>
        <v>1.6999999999999999E-3</v>
      </c>
      <c r="J22" s="37">
        <f>SUMIFS(Variable!J$2:J$9992,Variable!$B$2:$B$9992,$A22)</f>
        <v>1.6999999999999999E-3</v>
      </c>
      <c r="K22" s="37">
        <f>SUMIFS(Variable!K$2:K$9992,Variable!$B$2:$B$9992,$A22)</f>
        <v>1.6999999999999999E-3</v>
      </c>
      <c r="L22" s="37">
        <f>SUMIFS(Variable!L$2:L$9992,Variable!$B$2:$B$9992,$A22)</f>
        <v>1.6999999999999999E-3</v>
      </c>
      <c r="M22" s="37">
        <f>SUMIFS(Variable!M$2:M$9992,Variable!$B$2:$B$9992,$A22)</f>
        <v>1.6999999999999999E-3</v>
      </c>
      <c r="N22" s="37">
        <f>SUMIFS(Variable!N$2:N$9992,Variable!$B$2:$B$9992,$A22)</f>
        <v>1.6999999999999999E-3</v>
      </c>
      <c r="O22" s="37">
        <f>SUMIFS(Variable!O$2:O$9992,Variable!$B$2:$B$9992,$A22)</f>
        <v>1.6999999999999999E-3</v>
      </c>
      <c r="P22" s="37">
        <f>SUMIFS(Variable!P$2:P$9992,Variable!$B$2:$B$9992,$A22)</f>
        <v>1.6999999999999999E-3</v>
      </c>
      <c r="Q22" s="37">
        <f>SUMIFS(Variable!Q$2:Q$9992,Variable!$B$2:$B$9992,$A22)</f>
        <v>6.3E-3</v>
      </c>
      <c r="R22" s="37">
        <f>SUMIFS(Variable!R$2:R$9992,Variable!$B$2:$B$9992,$A22)</f>
        <v>6.3E-3</v>
      </c>
      <c r="S22" s="37">
        <f>SUMIFS(Variable!S$2:S$9992,Variable!$B$2:$B$9992,$A22)</f>
        <v>9.5999999999999992E-3</v>
      </c>
      <c r="T22" s="37">
        <f>SUMIFS(Variable!T$2:T$9992,Variable!$B$2:$B$9992,$A22)</f>
        <v>9.5999999999999992E-3</v>
      </c>
      <c r="U22" s="37">
        <f>SUMIFS(Variable!U$2:U$9992,Variable!$B$2:$B$9992,$A22)</f>
        <v>9.5999999999999992E-3</v>
      </c>
      <c r="V22" s="37">
        <f>SUMIFS(Variable!V$2:V$9992,Variable!$B$2:$B$9992,$A22)</f>
        <v>9.5999999999999992E-3</v>
      </c>
      <c r="W22" s="37">
        <f>SUMIFS(Variable!W$2:W$9992,Variable!$B$2:$B$9992,$A22)</f>
        <v>9.5999999999999992E-3</v>
      </c>
      <c r="X22" s="37">
        <f>SUMIFS(Variable!X$2:X$9992,Variable!$B$2:$B$9992,$A22)</f>
        <v>9.5999999999999992E-3</v>
      </c>
      <c r="Y22" s="37">
        <f>SUMIFS(Variable!Y$2:Y$9992,Variable!$B$2:$B$9992,$A22)</f>
        <v>9.5999999999999992E-3</v>
      </c>
      <c r="Z22" s="37">
        <f>SUMIFS(Variable!Z$2:Z$9992,Variable!$B$2:$B$9992,$A22)</f>
        <v>9.9000000000000008E-3</v>
      </c>
      <c r="AA22" s="37">
        <f>SUMIFS(Variable!AA$2:AA$9992,Variable!$B$2:$B$9992,$A22)</f>
        <v>9.9000000000000008E-3</v>
      </c>
      <c r="AB22" s="37">
        <f>SUMIFS(Variable!AB$2:AB$9992,Variable!$B$2:$B$9992,$A22)</f>
        <v>9.9000000000000008E-3</v>
      </c>
      <c r="AC22" s="37">
        <f>SUMIFS(Variable!AC$2:AC$9992,Variable!$B$2:$B$9992,$A22)</f>
        <v>9.4999999999999998E-3</v>
      </c>
      <c r="AD22" s="37">
        <f>SUMIFS(Variable!AD$2:AD$9992,Variable!$B$2:$B$9992,$A22)</f>
        <v>9.4999999999999998E-3</v>
      </c>
      <c r="AE22" s="37">
        <f>SUMIFS(Variable!AE$2:AE$9992,Variable!$B$2:$B$9992,$A22)</f>
        <v>1.0699999999999999E-2</v>
      </c>
      <c r="AF22" s="37">
        <f>SUMIFS(Variable!AF$2:AF$9992,Variable!$B$2:$B$9992,$A22)</f>
        <v>1.0800000000000001E-2</v>
      </c>
      <c r="AG22" s="37">
        <f>SUMIFS(Variable!AG$2:AG$9992,Variable!$B$2:$B$9992,$A22)</f>
        <v>1.66E-2</v>
      </c>
    </row>
    <row r="23" spans="1:33" s="37" customFormat="1">
      <c r="A23" t="s">
        <v>151</v>
      </c>
      <c r="C23" s="37">
        <f>SUMIFS(Variable!C$2:C$9992,Variable!$B$2:$B$9992,$A23)</f>
        <v>0</v>
      </c>
      <c r="D23" s="37">
        <f>SUMIFS(Variable!D$2:D$9992,Variable!$B$2:$B$9992,$A23)</f>
        <v>0</v>
      </c>
      <c r="E23" s="37">
        <f>SUMIFS(Variable!E$2:E$9992,Variable!$B$2:$B$9992,$A23)</f>
        <v>0</v>
      </c>
      <c r="F23" s="37">
        <f>SUMIFS(Variable!F$2:F$9992,Variable!$B$2:$B$9992,$A23)</f>
        <v>0</v>
      </c>
      <c r="G23" s="37">
        <f>SUMIFS(Variable!G$2:G$9992,Variable!$B$2:$B$9992,$A23)</f>
        <v>0</v>
      </c>
      <c r="H23" s="37">
        <f>SUMIFS(Variable!H$2:H$9992,Variable!$B$2:$B$9992,$A23)</f>
        <v>0</v>
      </c>
      <c r="I23" s="37">
        <f>SUMIFS(Variable!I$2:I$9992,Variable!$B$2:$B$9992,$A23)</f>
        <v>0</v>
      </c>
      <c r="J23" s="37">
        <f>SUMIFS(Variable!J$2:J$9992,Variable!$B$2:$B$9992,$A23)</f>
        <v>0</v>
      </c>
      <c r="K23" s="37">
        <f>SUMIFS(Variable!K$2:K$9992,Variable!$B$2:$B$9992,$A23)</f>
        <v>0</v>
      </c>
      <c r="L23" s="37">
        <f>SUMIFS(Variable!L$2:L$9992,Variable!$B$2:$B$9992,$A23)</f>
        <v>0</v>
      </c>
      <c r="M23" s="37">
        <f>SUMIFS(Variable!M$2:M$9992,Variable!$B$2:$B$9992,$A23)</f>
        <v>0</v>
      </c>
      <c r="N23" s="37">
        <f>SUMIFS(Variable!N$2:N$9992,Variable!$B$2:$B$9992,$A23)</f>
        <v>0</v>
      </c>
      <c r="O23" s="37">
        <f>SUMIFS(Variable!O$2:O$9992,Variable!$B$2:$B$9992,$A23)</f>
        <v>0</v>
      </c>
      <c r="P23" s="37">
        <f>SUMIFS(Variable!P$2:P$9992,Variable!$B$2:$B$9992,$A23)</f>
        <v>0</v>
      </c>
      <c r="Q23" s="37">
        <f>SUMIFS(Variable!Q$2:Q$9992,Variable!$B$2:$B$9992,$A23)</f>
        <v>0</v>
      </c>
      <c r="R23" s="37">
        <f>SUMIFS(Variable!R$2:R$9992,Variable!$B$2:$B$9992,$A23)</f>
        <v>0</v>
      </c>
      <c r="S23" s="37">
        <f>SUMIFS(Variable!S$2:S$9992,Variable!$B$2:$B$9992,$A23)</f>
        <v>0</v>
      </c>
      <c r="T23" s="37">
        <f>SUMIFS(Variable!T$2:T$9992,Variable!$B$2:$B$9992,$A23)</f>
        <v>0</v>
      </c>
      <c r="U23" s="37">
        <f>SUMIFS(Variable!U$2:U$9992,Variable!$B$2:$B$9992,$A23)</f>
        <v>0</v>
      </c>
      <c r="V23" s="37">
        <f>SUMIFS(Variable!V$2:V$9992,Variable!$B$2:$B$9992,$A23)</f>
        <v>0</v>
      </c>
      <c r="W23" s="37">
        <f>SUMIFS(Variable!W$2:W$9992,Variable!$B$2:$B$9992,$A23)</f>
        <v>0</v>
      </c>
      <c r="X23" s="37">
        <f>SUMIFS(Variable!X$2:X$9992,Variable!$B$2:$B$9992,$A23)</f>
        <v>0</v>
      </c>
      <c r="Y23" s="37">
        <f>SUMIFS(Variable!Y$2:Y$9992,Variable!$B$2:$B$9992,$A23)</f>
        <v>0</v>
      </c>
      <c r="Z23" s="37">
        <f>SUMIFS(Variable!Z$2:Z$9992,Variable!$B$2:$B$9992,$A23)</f>
        <v>0</v>
      </c>
      <c r="AA23" s="37">
        <f>SUMIFS(Variable!AA$2:AA$9992,Variable!$B$2:$B$9992,$A23)</f>
        <v>0</v>
      </c>
      <c r="AB23" s="37">
        <f>SUMIFS(Variable!AB$2:AB$9992,Variable!$B$2:$B$9992,$A23)</f>
        <v>0</v>
      </c>
      <c r="AC23" s="37">
        <f>SUMIFS(Variable!AC$2:AC$9992,Variable!$B$2:$B$9992,$A23)</f>
        <v>0</v>
      </c>
      <c r="AD23" s="37">
        <f>SUMIFS(Variable!AD$2:AD$9992,Variable!$B$2:$B$9992,$A23)</f>
        <v>0</v>
      </c>
      <c r="AE23" s="37">
        <f>SUMIFS(Variable!AE$2:AE$9992,Variable!$B$2:$B$9992,$A23)</f>
        <v>0</v>
      </c>
      <c r="AF23" s="37">
        <f>SUMIFS(Variable!AF$2:AF$9992,Variable!$B$2:$B$9992,$A23)</f>
        <v>0</v>
      </c>
      <c r="AG23" s="37">
        <f>SUMIFS(Variable!AG$2:AG$9992,Variable!$B$2:$B$9992,$A23)</f>
        <v>0</v>
      </c>
    </row>
    <row r="24" spans="1:33" s="37" customFormat="1">
      <c r="A24" t="s">
        <v>152</v>
      </c>
      <c r="C24" s="37">
        <f>SUMIFS(Variable!C$2:C$9992,Variable!$B$2:$B$9992,$A24)</f>
        <v>4.0000000000000002E-4</v>
      </c>
      <c r="D24" s="37">
        <f>SUMIFS(Variable!D$2:D$9992,Variable!$B$2:$B$9992,$A24)</f>
        <v>5.0000000000000001E-4</v>
      </c>
      <c r="E24" s="37">
        <f>SUMIFS(Variable!E$2:E$9992,Variable!$B$2:$B$9992,$A24)</f>
        <v>4.0000000000000002E-4</v>
      </c>
      <c r="F24" s="37">
        <f>SUMIFS(Variable!F$2:F$9992,Variable!$B$2:$B$9992,$A24)</f>
        <v>5.0000000000000001E-4</v>
      </c>
      <c r="G24" s="37">
        <f>SUMIFS(Variable!G$2:G$9992,Variable!$B$2:$B$9992,$A24)</f>
        <v>4.0000000000000002E-4</v>
      </c>
      <c r="H24" s="37">
        <f>SUMIFS(Variable!H$2:H$9992,Variable!$B$2:$B$9992,$A24)</f>
        <v>5.0000000000000001E-4</v>
      </c>
      <c r="I24" s="37">
        <f>SUMIFS(Variable!I$2:I$9992,Variable!$B$2:$B$9992,$A24)</f>
        <v>5.0000000000000001E-4</v>
      </c>
      <c r="J24" s="37">
        <f>SUMIFS(Variable!J$2:J$9992,Variable!$B$2:$B$9992,$A24)</f>
        <v>5.0000000000000001E-4</v>
      </c>
      <c r="K24" s="37">
        <f>SUMIFS(Variable!K$2:K$9992,Variable!$B$2:$B$9992,$A24)</f>
        <v>5.0000000000000001E-4</v>
      </c>
      <c r="L24" s="37">
        <f>SUMIFS(Variable!L$2:L$9992,Variable!$B$2:$B$9992,$A24)</f>
        <v>5.0000000000000001E-4</v>
      </c>
      <c r="M24" s="37">
        <f>SUMIFS(Variable!M$2:M$9992,Variable!$B$2:$B$9992,$A24)</f>
        <v>5.0000000000000001E-4</v>
      </c>
      <c r="N24" s="37">
        <f>SUMIFS(Variable!N$2:N$9992,Variable!$B$2:$B$9992,$A24)</f>
        <v>5.0000000000000001E-4</v>
      </c>
      <c r="O24" s="37">
        <f>SUMIFS(Variable!O$2:O$9992,Variable!$B$2:$B$9992,$A24)</f>
        <v>5.0000000000000001E-4</v>
      </c>
      <c r="P24" s="37">
        <f>SUMIFS(Variable!P$2:P$9992,Variable!$B$2:$B$9992,$A24)</f>
        <v>5.0000000000000001E-4</v>
      </c>
      <c r="Q24" s="37">
        <f>SUMIFS(Variable!Q$2:Q$9992,Variable!$B$2:$B$9992,$A24)</f>
        <v>5.0000000000000001E-4</v>
      </c>
      <c r="R24" s="37">
        <f>SUMIFS(Variable!R$2:R$9992,Variable!$B$2:$B$9992,$A24)</f>
        <v>5.0000000000000001E-4</v>
      </c>
      <c r="S24" s="37">
        <f>SUMIFS(Variable!S$2:S$9992,Variable!$B$2:$B$9992,$A24)</f>
        <v>5.0000000000000001E-4</v>
      </c>
      <c r="T24" s="37">
        <f>SUMIFS(Variable!T$2:T$9992,Variable!$B$2:$B$9992,$A24)</f>
        <v>5.0000000000000001E-4</v>
      </c>
      <c r="U24" s="37">
        <f>SUMIFS(Variable!U$2:U$9992,Variable!$B$2:$B$9992,$A24)</f>
        <v>5.0000000000000001E-4</v>
      </c>
      <c r="V24" s="37">
        <f>SUMIFS(Variable!V$2:V$9992,Variable!$B$2:$B$9992,$A24)</f>
        <v>2.9999999999999997E-4</v>
      </c>
      <c r="W24" s="37">
        <f>SUMIFS(Variable!W$2:W$9992,Variable!$B$2:$B$9992,$A24)</f>
        <v>2.0000000000000001E-4</v>
      </c>
      <c r="X24" s="37">
        <f>SUMIFS(Variable!X$2:X$9992,Variable!$B$2:$B$9992,$A24)</f>
        <v>2.0000000000000001E-4</v>
      </c>
      <c r="Y24" s="37">
        <f>SUMIFS(Variable!Y$2:Y$9992,Variable!$B$2:$B$9992,$A24)</f>
        <v>2.0000000000000001E-4</v>
      </c>
      <c r="Z24" s="37">
        <f>SUMIFS(Variable!Z$2:Z$9992,Variable!$B$2:$B$9992,$A24)</f>
        <v>2.0000000000000001E-4</v>
      </c>
      <c r="AA24" s="37">
        <f>SUMIFS(Variable!AA$2:AA$9992,Variable!$B$2:$B$9992,$A24)</f>
        <v>2.0000000000000001E-4</v>
      </c>
      <c r="AB24" s="37">
        <f>SUMIFS(Variable!AB$2:AB$9992,Variable!$B$2:$B$9992,$A24)</f>
        <v>1E-4</v>
      </c>
      <c r="AC24" s="37">
        <f>SUMIFS(Variable!AC$2:AC$9992,Variable!$B$2:$B$9992,$A24)</f>
        <v>0</v>
      </c>
      <c r="AD24" s="37">
        <f>SUMIFS(Variable!AD$2:AD$9992,Variable!$B$2:$B$9992,$A24)</f>
        <v>0</v>
      </c>
      <c r="AE24" s="37">
        <f>SUMIFS(Variable!AE$2:AE$9992,Variable!$B$2:$B$9992,$A24)</f>
        <v>0</v>
      </c>
      <c r="AF24" s="37">
        <f>SUMIFS(Variable!AF$2:AF$9992,Variable!$B$2:$B$9992,$A24)</f>
        <v>0</v>
      </c>
      <c r="AG24" s="37">
        <f>SUMIFS(Variable!AG$2:AG$9992,Variable!$B$2:$B$9992,$A24)</f>
        <v>0</v>
      </c>
    </row>
    <row r="25" spans="1:33" s="37" customFormat="1">
      <c r="A25" t="s">
        <v>135</v>
      </c>
      <c r="C25" s="37">
        <f>SUMIFS(Variable!C$2:C$9992,Variable!$B$2:$B$9992,$A25)</f>
        <v>8.9999999999999998E-4</v>
      </c>
      <c r="D25" s="37">
        <f>SUMIFS(Variable!D$2:D$9992,Variable!$B$2:$B$9992,$A25)</f>
        <v>5.9999999999999995E-4</v>
      </c>
      <c r="E25" s="37">
        <f>SUMIFS(Variable!E$2:E$9992,Variable!$B$2:$B$9992,$A25)</f>
        <v>8.9999999999999998E-4</v>
      </c>
      <c r="F25" s="37">
        <f>SUMIFS(Variable!F$2:F$9992,Variable!$B$2:$B$9992,$A25)</f>
        <v>5.0000000000000001E-4</v>
      </c>
      <c r="G25" s="37">
        <f>SUMIFS(Variable!G$2:G$9992,Variable!$B$2:$B$9992,$A25)</f>
        <v>5.0000000000000001E-4</v>
      </c>
      <c r="H25" s="37">
        <f>SUMIFS(Variable!H$2:H$9992,Variable!$B$2:$B$9992,$A25)</f>
        <v>0</v>
      </c>
      <c r="I25" s="37">
        <f>SUMIFS(Variable!I$2:I$9992,Variable!$B$2:$B$9992,$A25)</f>
        <v>0</v>
      </c>
      <c r="J25" s="37">
        <f>SUMIFS(Variable!J$2:J$9992,Variable!$B$2:$B$9992,$A25)</f>
        <v>0</v>
      </c>
      <c r="K25" s="37">
        <f>SUMIFS(Variable!K$2:K$9992,Variable!$B$2:$B$9992,$A25)</f>
        <v>0</v>
      </c>
      <c r="L25" s="37">
        <f>SUMIFS(Variable!L$2:L$9992,Variable!$B$2:$B$9992,$A25)</f>
        <v>0</v>
      </c>
      <c r="M25" s="37">
        <f>SUMIFS(Variable!M$2:M$9992,Variable!$B$2:$B$9992,$A25)</f>
        <v>0</v>
      </c>
      <c r="N25" s="37">
        <f>SUMIFS(Variable!N$2:N$9992,Variable!$B$2:$B$9992,$A25)</f>
        <v>0</v>
      </c>
      <c r="O25" s="37">
        <f>SUMIFS(Variable!O$2:O$9992,Variable!$B$2:$B$9992,$A25)</f>
        <v>0</v>
      </c>
      <c r="P25" s="37">
        <f>SUMIFS(Variable!P$2:P$9992,Variable!$B$2:$B$9992,$A25)</f>
        <v>0</v>
      </c>
      <c r="Q25" s="37">
        <f>SUMIFS(Variable!Q$2:Q$9992,Variable!$B$2:$B$9992,$A25)</f>
        <v>0</v>
      </c>
      <c r="R25" s="37">
        <f>SUMIFS(Variable!R$2:R$9992,Variable!$B$2:$B$9992,$A25)</f>
        <v>0</v>
      </c>
      <c r="S25" s="37">
        <f>SUMIFS(Variable!S$2:S$9992,Variable!$B$2:$B$9992,$A25)</f>
        <v>0</v>
      </c>
      <c r="T25" s="37">
        <f>SUMIFS(Variable!T$2:T$9992,Variable!$B$2:$B$9992,$A25)</f>
        <v>0</v>
      </c>
      <c r="U25" s="37">
        <f>SUMIFS(Variable!U$2:U$9992,Variable!$B$2:$B$9992,$A25)</f>
        <v>0</v>
      </c>
      <c r="V25" s="37">
        <f>SUMIFS(Variable!V$2:V$9992,Variable!$B$2:$B$9992,$A25)</f>
        <v>0</v>
      </c>
      <c r="W25" s="37">
        <f>SUMIFS(Variable!W$2:W$9992,Variable!$B$2:$B$9992,$A25)</f>
        <v>0</v>
      </c>
      <c r="X25" s="37">
        <f>SUMIFS(Variable!X$2:X$9992,Variable!$B$2:$B$9992,$A25)</f>
        <v>0</v>
      </c>
      <c r="Y25" s="37">
        <f>SUMIFS(Variable!Y$2:Y$9992,Variable!$B$2:$B$9992,$A25)</f>
        <v>0</v>
      </c>
      <c r="Z25" s="37">
        <f>SUMIFS(Variable!Z$2:Z$9992,Variable!$B$2:$B$9992,$A25)</f>
        <v>0</v>
      </c>
      <c r="AA25" s="37">
        <f>SUMIFS(Variable!AA$2:AA$9992,Variable!$B$2:$B$9992,$A25)</f>
        <v>0</v>
      </c>
      <c r="AB25" s="37">
        <f>SUMIFS(Variable!AB$2:AB$9992,Variable!$B$2:$B$9992,$A25)</f>
        <v>0</v>
      </c>
      <c r="AC25" s="37">
        <f>SUMIFS(Variable!AC$2:AC$9992,Variable!$B$2:$B$9992,$A25)</f>
        <v>0</v>
      </c>
      <c r="AD25" s="37">
        <f>SUMIFS(Variable!AD$2:AD$9992,Variable!$B$2:$B$9992,$A25)</f>
        <v>0</v>
      </c>
      <c r="AE25" s="37">
        <f>SUMIFS(Variable!AE$2:AE$9992,Variable!$B$2:$B$9992,$A25)</f>
        <v>0</v>
      </c>
      <c r="AF25" s="37">
        <f>SUMIFS(Variable!AF$2:AF$9992,Variable!$B$2:$B$9992,$A25)</f>
        <v>0</v>
      </c>
      <c r="AG25" s="37">
        <f>SUMIFS(Variable!AG$2:AG$9992,Variable!$B$2:$B$9992,$A25)</f>
        <v>0</v>
      </c>
    </row>
    <row r="26" spans="1:33" s="37" customFormat="1">
      <c r="A26" t="s">
        <v>134</v>
      </c>
      <c r="C26" s="37">
        <f>SUMIFS(Variable!C$2:C$9992,Variable!$B$2:$B$9992,$A26)</f>
        <v>7.0000000000000001E-3</v>
      </c>
      <c r="D26" s="37">
        <f>SUMIFS(Variable!D$2:D$9992,Variable!$B$2:$B$9992,$A26)</f>
        <v>6.8999999999999999E-3</v>
      </c>
      <c r="E26" s="37">
        <f>SUMIFS(Variable!E$2:E$9992,Variable!$B$2:$B$9992,$A26)</f>
        <v>6.4000000000000003E-3</v>
      </c>
      <c r="F26" s="37">
        <f>SUMIFS(Variable!F$2:F$9992,Variable!$B$2:$B$9992,$A26)</f>
        <v>6.0000000000000001E-3</v>
      </c>
      <c r="G26" s="37">
        <f>SUMIFS(Variable!G$2:G$9992,Variable!$B$2:$B$9992,$A26)</f>
        <v>6.4999999999999997E-3</v>
      </c>
      <c r="H26" s="37">
        <f>SUMIFS(Variable!H$2:H$9992,Variable!$B$2:$B$9992,$A26)</f>
        <v>1E-4</v>
      </c>
      <c r="I26" s="37">
        <f>SUMIFS(Variable!I$2:I$9992,Variable!$B$2:$B$9992,$A26)</f>
        <v>2.0000000000000001E-4</v>
      </c>
      <c r="J26" s="37">
        <f>SUMIFS(Variable!J$2:J$9992,Variable!$B$2:$B$9992,$A26)</f>
        <v>0</v>
      </c>
      <c r="K26" s="37">
        <f>SUMIFS(Variable!K$2:K$9992,Variable!$B$2:$B$9992,$A26)</f>
        <v>0</v>
      </c>
      <c r="L26" s="37">
        <f>SUMIFS(Variable!L$2:L$9992,Variable!$B$2:$B$9992,$A26)</f>
        <v>0</v>
      </c>
      <c r="M26" s="37">
        <f>SUMIFS(Variable!M$2:M$9992,Variable!$B$2:$B$9992,$A26)</f>
        <v>0</v>
      </c>
      <c r="N26" s="37">
        <f>SUMIFS(Variable!N$2:N$9992,Variable!$B$2:$B$9992,$A26)</f>
        <v>0</v>
      </c>
      <c r="O26" s="37">
        <f>SUMIFS(Variable!O$2:O$9992,Variable!$B$2:$B$9992,$A26)</f>
        <v>0</v>
      </c>
      <c r="P26" s="37">
        <f>SUMIFS(Variable!P$2:P$9992,Variable!$B$2:$B$9992,$A26)</f>
        <v>0</v>
      </c>
      <c r="Q26" s="37">
        <f>SUMIFS(Variable!Q$2:Q$9992,Variable!$B$2:$B$9992,$A26)</f>
        <v>0</v>
      </c>
      <c r="R26" s="37">
        <f>SUMIFS(Variable!R$2:R$9992,Variable!$B$2:$B$9992,$A26)</f>
        <v>0</v>
      </c>
      <c r="S26" s="37">
        <f>SUMIFS(Variable!S$2:S$9992,Variable!$B$2:$B$9992,$A26)</f>
        <v>1E-3</v>
      </c>
      <c r="T26" s="37">
        <f>SUMIFS(Variable!T$2:T$9992,Variable!$B$2:$B$9992,$A26)</f>
        <v>8.9999999999999998E-4</v>
      </c>
      <c r="U26" s="37">
        <f>SUMIFS(Variable!U$2:U$9992,Variable!$B$2:$B$9992,$A26)</f>
        <v>5.0000000000000001E-4</v>
      </c>
      <c r="V26" s="37">
        <f>SUMIFS(Variable!V$2:V$9992,Variable!$B$2:$B$9992,$A26)</f>
        <v>5.0000000000000001E-4</v>
      </c>
      <c r="W26" s="37">
        <f>SUMIFS(Variable!W$2:W$9992,Variable!$B$2:$B$9992,$A26)</f>
        <v>2.9999999999999997E-4</v>
      </c>
      <c r="X26" s="37">
        <f>SUMIFS(Variable!X$2:X$9992,Variable!$B$2:$B$9992,$A26)</f>
        <v>2.9999999999999997E-4</v>
      </c>
      <c r="Y26" s="37">
        <f>SUMIFS(Variable!Y$2:Y$9992,Variable!$B$2:$B$9992,$A26)</f>
        <v>2.9999999999999997E-4</v>
      </c>
      <c r="Z26" s="37">
        <f>SUMIFS(Variable!Z$2:Z$9992,Variable!$B$2:$B$9992,$A26)</f>
        <v>2.9999999999999997E-4</v>
      </c>
      <c r="AA26" s="37">
        <f>SUMIFS(Variable!AA$2:AA$9992,Variable!$B$2:$B$9992,$A26)</f>
        <v>2.9999999999999997E-4</v>
      </c>
      <c r="AB26" s="37">
        <f>SUMIFS(Variable!AB$2:AB$9992,Variable!$B$2:$B$9992,$A26)</f>
        <v>2.9999999999999997E-4</v>
      </c>
      <c r="AC26" s="37">
        <f>SUMIFS(Variable!AC$2:AC$9992,Variable!$B$2:$B$9992,$A26)</f>
        <v>0</v>
      </c>
      <c r="AD26" s="37">
        <f>SUMIFS(Variable!AD$2:AD$9992,Variable!$B$2:$B$9992,$A26)</f>
        <v>0</v>
      </c>
      <c r="AE26" s="37">
        <f>SUMIFS(Variable!AE$2:AE$9992,Variable!$B$2:$B$9992,$A26)</f>
        <v>0</v>
      </c>
      <c r="AF26" s="37">
        <f>SUMIFS(Variable!AF$2:AF$9992,Variable!$B$2:$B$9992,$A26)</f>
        <v>0</v>
      </c>
      <c r="AG26" s="37">
        <f>SUMIFS(Variable!AG$2:AG$9992,Variable!$B$2:$B$9992,$A26)</f>
        <v>0</v>
      </c>
    </row>
    <row r="27" spans="1:33">
      <c r="A27" t="s">
        <v>154</v>
      </c>
      <c r="C27" s="37">
        <f>SUMIFS(Variable!C$2:C$9992,Variable!$B$2:$B$9992,$A27)</f>
        <v>0.03</v>
      </c>
      <c r="D27" s="37">
        <f>SUMIFS(Variable!D$2:D$9992,Variable!$B$2:$B$9992,$A27)</f>
        <v>0.03</v>
      </c>
      <c r="E27" s="37">
        <f>SUMIFS(Variable!E$2:E$9992,Variable!$B$2:$B$9992,$A27)</f>
        <v>3.15E-2</v>
      </c>
      <c r="F27" s="37">
        <f>SUMIFS(Variable!F$2:F$9992,Variable!$B$2:$B$9992,$A27)</f>
        <v>3.3000000000000002E-2</v>
      </c>
      <c r="G27" s="37">
        <f>SUMIFS(Variable!G$2:G$9992,Variable!$B$2:$B$9992,$A27)</f>
        <v>3.4500000000000003E-2</v>
      </c>
      <c r="H27" s="37">
        <f>SUMIFS(Variable!H$2:H$9992,Variable!$B$2:$B$9992,$A27)</f>
        <v>3.5700000000000003E-2</v>
      </c>
      <c r="I27" s="37">
        <f>SUMIFS(Variable!I$2:I$9992,Variable!$B$2:$B$9992,$A27)</f>
        <v>3.6900000000000002E-2</v>
      </c>
      <c r="J27" s="37">
        <f>SUMIFS(Variable!J$2:J$9992,Variable!$B$2:$B$9992,$A27)</f>
        <v>3.9E-2</v>
      </c>
      <c r="K27" s="37">
        <f>SUMIFS(Variable!K$2:K$9992,Variable!$B$2:$B$9992,$A27)</f>
        <v>4.1099999999999998E-2</v>
      </c>
      <c r="L27" s="37">
        <f>SUMIFS(Variable!L$2:L$9992,Variable!$B$2:$B$9992,$A27)</f>
        <v>4.3299999999999998E-2</v>
      </c>
      <c r="M27" s="37">
        <f>SUMIFS(Variable!M$2:M$9992,Variable!$B$2:$B$9992,$A27)</f>
        <v>4.58E-2</v>
      </c>
      <c r="N27" s="37">
        <f>SUMIFS(Variable!N$2:N$9992,Variable!$B$2:$B$9992,$A27)</f>
        <v>4.8500000000000001E-2</v>
      </c>
      <c r="O27" s="37">
        <f>SUMIFS(Variable!O$2:O$9992,Variable!$B$2:$B$9992,$A27)</f>
        <v>5.0999999999999997E-2</v>
      </c>
      <c r="P27" s="37">
        <f>SUMIFS(Variable!P$2:P$9992,Variable!$B$2:$B$9992,$A27)</f>
        <v>5.3499999999999999E-2</v>
      </c>
      <c r="Q27" s="37">
        <f>SUMIFS(Variable!Q$2:Q$9992,Variable!$B$2:$B$9992,$A27)</f>
        <v>5.5300000000000002E-2</v>
      </c>
      <c r="R27" s="37">
        <f>SUMIFS(Variable!R$2:R$9992,Variable!$B$2:$B$9992,$A27)</f>
        <v>5.7500000000000002E-2</v>
      </c>
      <c r="S27" s="37">
        <f>SUMIFS(Variable!S$2:S$9992,Variable!$B$2:$B$9992,$A27)</f>
        <v>6.0400000000000002E-2</v>
      </c>
      <c r="T27" s="37">
        <f>SUMIFS(Variable!T$2:T$9992,Variable!$B$2:$B$9992,$A27)</f>
        <v>6.3299999999999995E-2</v>
      </c>
      <c r="U27" s="37">
        <f>SUMIFS(Variable!U$2:U$9992,Variable!$B$2:$B$9992,$A27)</f>
        <v>6.6199999999999995E-2</v>
      </c>
      <c r="V27" s="37">
        <f>SUMIFS(Variable!V$2:V$9992,Variable!$B$2:$B$9992,$A27)</f>
        <v>6.9099999999999995E-2</v>
      </c>
      <c r="W27" s="37">
        <f>SUMIFS(Variable!W$2:W$9992,Variable!$B$2:$B$9992,$A27)</f>
        <v>7.1999999999999995E-2</v>
      </c>
      <c r="X27" s="37">
        <f>SUMIFS(Variable!X$2:X$9992,Variable!$B$2:$B$9992,$A27)</f>
        <v>7.4800000000000005E-2</v>
      </c>
      <c r="Y27" s="37">
        <f>SUMIFS(Variable!Y$2:Y$9992,Variable!$B$2:$B$9992,$A27)</f>
        <v>7.7799999999999994E-2</v>
      </c>
      <c r="Z27" s="37">
        <f>SUMIFS(Variable!Z$2:Z$9992,Variable!$B$2:$B$9992,$A27)</f>
        <v>8.0799999999999997E-2</v>
      </c>
      <c r="AA27" s="37">
        <f>SUMIFS(Variable!AA$2:AA$9992,Variable!$B$2:$B$9992,$A27)</f>
        <v>8.3799999999999999E-2</v>
      </c>
      <c r="AB27" s="37">
        <f>SUMIFS(Variable!AB$2:AB$9992,Variable!$B$2:$B$9992,$A27)</f>
        <v>8.6800000000000002E-2</v>
      </c>
      <c r="AC27" s="37">
        <f>SUMIFS(Variable!AC$2:AC$9992,Variable!$B$2:$B$9992,$A27)</f>
        <v>8.9899999999999994E-2</v>
      </c>
      <c r="AD27" s="37">
        <f>SUMIFS(Variable!AD$2:AD$9992,Variable!$B$2:$B$9992,$A27)</f>
        <v>9.3100000000000002E-2</v>
      </c>
      <c r="AE27" s="37">
        <f>SUMIFS(Variable!AE$2:AE$9992,Variable!$B$2:$B$9992,$A27)</f>
        <v>9.6199999999999994E-2</v>
      </c>
      <c r="AF27" s="37">
        <f>SUMIFS(Variable!AF$2:AF$9992,Variable!$B$2:$B$9992,$A27)</f>
        <v>9.9299999999999999E-2</v>
      </c>
      <c r="AG27" s="37">
        <f>SUMIFS(Variable!AG$2:AG$9992,Variable!$B$2:$B$9992,$A27)</f>
        <v>0.1038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1994.5145551576875</v>
      </c>
      <c r="D30">
        <f t="shared" ref="D30:AG30" si="1">SUM(D225,D228:D229)*D120</f>
        <v>2135.6259135851528</v>
      </c>
      <c r="E30">
        <f t="shared" si="1"/>
        <v>2295.2716156798128</v>
      </c>
      <c r="F30">
        <f t="shared" si="1"/>
        <v>2558.2788409226519</v>
      </c>
      <c r="G30">
        <f t="shared" si="1"/>
        <v>2763.4075088713034</v>
      </c>
      <c r="H30">
        <f t="shared" si="1"/>
        <v>3013.7481378785246</v>
      </c>
      <c r="I30">
        <f t="shared" si="1"/>
        <v>2905.3081110593284</v>
      </c>
      <c r="J30">
        <f t="shared" si="1"/>
        <v>3073.9002579645926</v>
      </c>
      <c r="K30">
        <f t="shared" si="1"/>
        <v>3242.5275319528382</v>
      </c>
      <c r="L30">
        <f t="shared" si="1"/>
        <v>3410.6692800191399</v>
      </c>
      <c r="M30">
        <f t="shared" si="1"/>
        <v>3199.474691398691</v>
      </c>
      <c r="N30">
        <f t="shared" si="1"/>
        <v>3553.8286061584427</v>
      </c>
      <c r="O30">
        <f t="shared" si="1"/>
        <v>3896.4143990542484</v>
      </c>
      <c r="P30">
        <f t="shared" si="1"/>
        <v>4277.3312985441407</v>
      </c>
      <c r="Q30">
        <f t="shared" si="1"/>
        <v>4086.3016505016462</v>
      </c>
      <c r="R30">
        <f t="shared" si="1"/>
        <v>3839.2241332363114</v>
      </c>
      <c r="S30">
        <f t="shared" si="1"/>
        <v>3504.91081086641</v>
      </c>
      <c r="T30">
        <f t="shared" si="1"/>
        <v>3230.6700509132756</v>
      </c>
      <c r="U30">
        <f t="shared" si="1"/>
        <v>2868.6478512045073</v>
      </c>
      <c r="V30">
        <f t="shared" si="1"/>
        <v>2640.2425970145741</v>
      </c>
      <c r="W30">
        <f t="shared" si="1"/>
        <v>2462.0772809177588</v>
      </c>
      <c r="X30">
        <f t="shared" si="1"/>
        <v>2486.4346801953361</v>
      </c>
      <c r="Y30">
        <f t="shared" si="1"/>
        <v>2512.6045978652114</v>
      </c>
      <c r="Z30">
        <f t="shared" si="1"/>
        <v>2552.2223919582384</v>
      </c>
      <c r="AA30">
        <f t="shared" si="1"/>
        <v>2578.1673050927948</v>
      </c>
      <c r="AB30">
        <f t="shared" si="1"/>
        <v>2582.2664950005837</v>
      </c>
      <c r="AC30">
        <f t="shared" si="1"/>
        <v>2422.7098038214176</v>
      </c>
      <c r="AD30">
        <f t="shared" si="1"/>
        <v>2208.015167914265</v>
      </c>
      <c r="AE30">
        <f t="shared" si="1"/>
        <v>2136.5766235093324</v>
      </c>
      <c r="AF30">
        <f t="shared" si="1"/>
        <v>2058.3770623334608</v>
      </c>
      <c r="AG30">
        <f t="shared" si="1"/>
        <v>1836.0367272952471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93.032588167680004</v>
      </c>
      <c r="I31">
        <f t="shared" si="2"/>
        <v>101.025453331572</v>
      </c>
      <c r="J31">
        <f t="shared" si="2"/>
        <v>68.000747088392004</v>
      </c>
      <c r="K31">
        <f t="shared" si="2"/>
        <v>14.755116083820001</v>
      </c>
      <c r="L31">
        <f t="shared" si="2"/>
        <v>0</v>
      </c>
      <c r="M31">
        <f t="shared" si="2"/>
        <v>0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2"/>
        <v>0</v>
      </c>
      <c r="R31">
        <f t="shared" si="2"/>
        <v>4.2433266472159987</v>
      </c>
      <c r="S31">
        <f t="shared" si="2"/>
        <v>309.09058467728408</v>
      </c>
      <c r="T31">
        <f t="shared" si="2"/>
        <v>278.42720706479406</v>
      </c>
      <c r="U31">
        <f t="shared" si="2"/>
        <v>205.00575141715206</v>
      </c>
      <c r="V31">
        <f t="shared" si="2"/>
        <v>455.48099366388891</v>
      </c>
      <c r="W31">
        <f t="shared" si="2"/>
        <v>825.73510806809998</v>
      </c>
      <c r="X31">
        <f t="shared" si="2"/>
        <v>928.23975730653001</v>
      </c>
      <c r="Y31">
        <f t="shared" si="2"/>
        <v>1040.316215108912</v>
      </c>
      <c r="Z31">
        <f t="shared" si="2"/>
        <v>1225.783720303044</v>
      </c>
      <c r="AA31">
        <f t="shared" si="2"/>
        <v>1335.5749808176017</v>
      </c>
      <c r="AB31">
        <f t="shared" si="2"/>
        <v>1388.969815409175</v>
      </c>
      <c r="AC31">
        <f t="shared" si="2"/>
        <v>1459.773925348682</v>
      </c>
      <c r="AD31">
        <f t="shared" si="2"/>
        <v>1418.7826624772522</v>
      </c>
      <c r="AE31">
        <f t="shared" si="2"/>
        <v>1368.3597553829838</v>
      </c>
      <c r="AF31">
        <f t="shared" si="2"/>
        <v>1326.227143493044</v>
      </c>
      <c r="AG31">
        <f t="shared" si="2"/>
        <v>1440.4148755586698</v>
      </c>
    </row>
    <row r="32" spans="1:33">
      <c r="A32" t="s">
        <v>85</v>
      </c>
      <c r="C32">
        <f>C239*C121</f>
        <v>647.3007694681238</v>
      </c>
      <c r="D32">
        <f t="shared" ref="D32:AG32" si="3">D239*D121</f>
        <v>430.62557095147201</v>
      </c>
      <c r="E32">
        <f t="shared" si="3"/>
        <v>682.2414515318942</v>
      </c>
      <c r="F32">
        <f t="shared" si="3"/>
        <v>358.88610403130406</v>
      </c>
      <c r="G32">
        <f t="shared" si="3"/>
        <v>375.25259746386496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0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288.048</v>
      </c>
      <c r="D33">
        <f t="shared" ref="D33:AG33" si="4">SUM(D224,D227)*D123</f>
        <v>332.98079999999999</v>
      </c>
      <c r="E33">
        <f t="shared" si="4"/>
        <v>304.62720000000002</v>
      </c>
      <c r="F33">
        <f t="shared" si="4"/>
        <v>324.66079999999999</v>
      </c>
      <c r="G33">
        <f t="shared" si="4"/>
        <v>333.23839999999996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0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24.565833719999979</v>
      </c>
      <c r="T34">
        <f t="shared" si="5"/>
        <v>128.21994828000001</v>
      </c>
      <c r="U34">
        <f t="shared" si="5"/>
        <v>251.61510360000003</v>
      </c>
      <c r="V34">
        <f t="shared" si="5"/>
        <v>318.74674985999997</v>
      </c>
      <c r="W34">
        <f t="shared" si="5"/>
        <v>367.11417780000028</v>
      </c>
      <c r="X34">
        <f t="shared" si="5"/>
        <v>412.73433480000006</v>
      </c>
      <c r="Y34">
        <f t="shared" si="5"/>
        <v>462.74990399999996</v>
      </c>
      <c r="Z34">
        <f t="shared" si="5"/>
        <v>501.27339690000008</v>
      </c>
      <c r="AA34">
        <f t="shared" si="5"/>
        <v>555.34176179999974</v>
      </c>
      <c r="AB34">
        <f t="shared" si="5"/>
        <v>623.05487559999983</v>
      </c>
      <c r="AC34">
        <f t="shared" si="5"/>
        <v>734.1677880000002</v>
      </c>
      <c r="AD34">
        <f t="shared" si="5"/>
        <v>871.36469490000002</v>
      </c>
      <c r="AE34">
        <f t="shared" si="5"/>
        <v>968.59509599999978</v>
      </c>
      <c r="AF34">
        <f t="shared" si="5"/>
        <v>1100.8606751999998</v>
      </c>
      <c r="AG34">
        <f t="shared" si="5"/>
        <v>1157.1770464000001</v>
      </c>
    </row>
    <row r="35" spans="1:58">
      <c r="A35" s="42" t="s">
        <v>23</v>
      </c>
      <c r="B35" s="33"/>
      <c r="C35" s="33">
        <f>SUM(C38:C55)+SUM(C30:C34)+SUM(C10:C27)</f>
        <v>3983.2703246258116</v>
      </c>
      <c r="D35" s="33">
        <f t="shared" ref="D35:AG35" si="6">SUM(D38:D55)+SUM(D30:D34)+SUM(D10:D27)</f>
        <v>4094.6926845366247</v>
      </c>
      <c r="E35" s="33">
        <f t="shared" si="6"/>
        <v>4526.0568672117079</v>
      </c>
      <c r="F35" s="33">
        <f t="shared" si="6"/>
        <v>4486.0330449539561</v>
      </c>
      <c r="G35" s="33">
        <f t="shared" si="6"/>
        <v>4730.4557063351685</v>
      </c>
      <c r="H35" s="33">
        <f t="shared" si="6"/>
        <v>4390.2596260462051</v>
      </c>
      <c r="I35" s="33">
        <f t="shared" si="6"/>
        <v>4385.7219643909002</v>
      </c>
      <c r="J35" s="33">
        <f t="shared" si="6"/>
        <v>4587.0730050529846</v>
      </c>
      <c r="K35" s="33">
        <f t="shared" si="6"/>
        <v>4768.0584480366579</v>
      </c>
      <c r="L35" s="33">
        <f t="shared" si="6"/>
        <v>4986.1190800191398</v>
      </c>
      <c r="M35" s="33">
        <f t="shared" si="6"/>
        <v>5081.5678913986912</v>
      </c>
      <c r="N35" s="33">
        <f t="shared" si="6"/>
        <v>5410.3646061584423</v>
      </c>
      <c r="O35" s="33">
        <f t="shared" si="6"/>
        <v>5707.8332990542485</v>
      </c>
      <c r="P35" s="33">
        <f t="shared" si="6"/>
        <v>6071.5550985441405</v>
      </c>
      <c r="Q35" s="33">
        <f t="shared" si="6"/>
        <v>5934.442050501646</v>
      </c>
      <c r="R35" s="33">
        <f t="shared" si="6"/>
        <v>5900.4883598835268</v>
      </c>
      <c r="S35" s="33">
        <f t="shared" si="6"/>
        <v>6016.5389292636937</v>
      </c>
      <c r="T35" s="33">
        <f t="shared" si="6"/>
        <v>6290.9118062580692</v>
      </c>
      <c r="U35" s="33">
        <f t="shared" si="6"/>
        <v>6522.9621062216602</v>
      </c>
      <c r="V35" s="33">
        <f t="shared" si="6"/>
        <v>6905.0302405384627</v>
      </c>
      <c r="W35" s="33">
        <f t="shared" si="6"/>
        <v>7409.3816667858582</v>
      </c>
      <c r="X35" s="33">
        <f t="shared" si="6"/>
        <v>7755.8917723018658</v>
      </c>
      <c r="Y35" s="33">
        <f t="shared" si="6"/>
        <v>8131.1396169741238</v>
      </c>
      <c r="Z35" s="33">
        <f t="shared" si="6"/>
        <v>8533.2408091612833</v>
      </c>
      <c r="AA35" s="33">
        <f t="shared" si="6"/>
        <v>8912.482547710395</v>
      </c>
      <c r="AB35" s="33">
        <f t="shared" si="6"/>
        <v>9265.136386009759</v>
      </c>
      <c r="AC35" s="33">
        <f t="shared" si="6"/>
        <v>9645.9267171700976</v>
      </c>
      <c r="AD35" s="33">
        <f t="shared" si="6"/>
        <v>9953.5774252915162</v>
      </c>
      <c r="AE35" s="33">
        <f t="shared" si="6"/>
        <v>10246.215674892317</v>
      </c>
      <c r="AF35" s="33">
        <f t="shared" si="6"/>
        <v>10654.988881026504</v>
      </c>
      <c r="AG35" s="33">
        <f t="shared" si="6"/>
        <v>10875.819649253917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140.86179999999999</v>
      </c>
      <c r="G40">
        <f>SUMIFS(Fixed!G$2:G$10000,Fixed!$B$2:$B$10000,$A40)</f>
        <v>141.63489999999999</v>
      </c>
      <c r="H40">
        <f>SUMIFS(Fixed!H$2:H$10000,Fixed!$B$2:$B$10000,$A40)</f>
        <v>145.74039999999999</v>
      </c>
      <c r="I40">
        <f>SUMIFS(Fixed!I$2:I$10000,Fixed!$B$2:$B$10000,$A40)</f>
        <v>243.0334</v>
      </c>
      <c r="J40">
        <f>SUMIFS(Fixed!J$2:J$10000,Fixed!$B$2:$B$10000,$A40)</f>
        <v>243.0334</v>
      </c>
      <c r="K40">
        <f>SUMIFS(Fixed!K$2:K$10000,Fixed!$B$2:$B$10000,$A40)</f>
        <v>243.0334</v>
      </c>
      <c r="L40">
        <f>SUMIFS(Fixed!L$2:L$10000,Fixed!$B$2:$B$10000,$A40)</f>
        <v>243.0334</v>
      </c>
      <c r="M40">
        <f>SUMIFS(Fixed!M$2:M$10000,Fixed!$B$2:$B$10000,$A40)</f>
        <v>243.0334</v>
      </c>
      <c r="N40">
        <f>SUMIFS(Fixed!N$2:N$10000,Fixed!$B$2:$B$10000,$A40)</f>
        <v>243.0334</v>
      </c>
      <c r="O40">
        <f>SUMIFS(Fixed!O$2:O$10000,Fixed!$B$2:$B$10000,$A40)</f>
        <v>243.0334</v>
      </c>
      <c r="P40">
        <f>SUMIFS(Fixed!P$2:P$10000,Fixed!$B$2:$B$10000,$A40)</f>
        <v>226.93340000000001</v>
      </c>
      <c r="Q40">
        <f>SUMIFS(Fixed!Q$2:Q$10000,Fixed!$B$2:$B$10000,$A40)</f>
        <v>248.26859999999999</v>
      </c>
      <c r="R40">
        <f>SUMIFS(Fixed!R$2:R$10000,Fixed!$B$2:$B$10000,$A40)</f>
        <v>459.47480000000002</v>
      </c>
      <c r="S40">
        <f>SUMIFS(Fixed!S$2:S$10000,Fixed!$B$2:$B$10000,$A40)</f>
        <v>459.47480000000002</v>
      </c>
      <c r="T40">
        <f>SUMIFS(Fixed!T$2:T$10000,Fixed!$B$2:$B$10000,$A40)</f>
        <v>459.47480000000002</v>
      </c>
      <c r="U40">
        <f>SUMIFS(Fixed!U$2:U$10000,Fixed!$B$2:$B$10000,$A40)</f>
        <v>459.47480000000002</v>
      </c>
      <c r="V40">
        <f>SUMIFS(Fixed!V$2:V$10000,Fixed!$B$2:$B$10000,$A40)</f>
        <v>459.47480000000002</v>
      </c>
      <c r="W40">
        <f>SUMIFS(Fixed!W$2:W$10000,Fixed!$B$2:$B$10000,$A40)</f>
        <v>459.47480000000002</v>
      </c>
      <c r="X40">
        <f>SUMIFS(Fixed!X$2:X$10000,Fixed!$B$2:$B$10000,$A40)</f>
        <v>459.47480000000002</v>
      </c>
      <c r="Y40">
        <f>SUMIFS(Fixed!Y$2:Y$10000,Fixed!$B$2:$B$10000,$A40)</f>
        <v>459.47480000000002</v>
      </c>
      <c r="Z40">
        <f>SUMIFS(Fixed!Z$2:Z$10000,Fixed!$B$2:$B$10000,$A40)</f>
        <v>459.47480000000002</v>
      </c>
      <c r="AA40">
        <f>SUMIFS(Fixed!AA$2:AA$10000,Fixed!$B$2:$B$10000,$A40)</f>
        <v>459.47480000000002</v>
      </c>
      <c r="AB40">
        <f>SUMIFS(Fixed!AB$2:AB$10000,Fixed!$B$2:$B$10000,$A40)</f>
        <v>459.47480000000002</v>
      </c>
      <c r="AC40">
        <f>SUMIFS(Fixed!AC$2:AC$10000,Fixed!$B$2:$B$10000,$A40)</f>
        <v>459.47480000000002</v>
      </c>
      <c r="AD40">
        <f>SUMIFS(Fixed!AD$2:AD$10000,Fixed!$B$2:$B$10000,$A40)</f>
        <v>459.47480000000002</v>
      </c>
      <c r="AE40">
        <f>SUMIFS(Fixed!AE$2:AE$10000,Fixed!$B$2:$B$10000,$A40)</f>
        <v>459.47480000000002</v>
      </c>
      <c r="AF40">
        <f>SUMIFS(Fixed!AF$2:AF$10000,Fixed!$B$2:$B$10000,$A40)</f>
        <v>459.47480000000002</v>
      </c>
      <c r="AG40">
        <f>SUMIFS(Fixed!AG$2:AG$10000,Fixed!$B$2:$B$10000,$A40)</f>
        <v>459.47480000000002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67.767499999999998</v>
      </c>
      <c r="G42">
        <f>SUMIFS(Fixed!G$2:G$10000,Fixed!$B$2:$B$10000,$A42)</f>
        <v>94.976100000000002</v>
      </c>
      <c r="H42">
        <f>SUMIFS(Fixed!H$2:H$10000,Fixed!$B$2:$B$10000,$A42)</f>
        <v>94.976100000000002</v>
      </c>
      <c r="I42">
        <f>SUMIFS(Fixed!I$2:I$10000,Fixed!$B$2:$B$10000,$A42)</f>
        <v>94.976100000000002</v>
      </c>
      <c r="J42">
        <f>SUMIFS(Fixed!J$2:J$10000,Fixed!$B$2:$B$10000,$A42)</f>
        <v>162.06020000000001</v>
      </c>
      <c r="K42">
        <f>SUMIFS(Fixed!K$2:K$10000,Fixed!$B$2:$B$10000,$A42)</f>
        <v>228.88919999999999</v>
      </c>
      <c r="L42">
        <f>SUMIFS(Fixed!L$2:L$10000,Fixed!$B$2:$B$10000,$A42)</f>
        <v>295.40030000000002</v>
      </c>
      <c r="M42">
        <f>SUMIFS(Fixed!M$2:M$10000,Fixed!$B$2:$B$10000,$A42)</f>
        <v>609.02430000000004</v>
      </c>
      <c r="N42">
        <f>SUMIFS(Fixed!N$2:N$10000,Fixed!$B$2:$B$10000,$A42)</f>
        <v>609.02430000000004</v>
      </c>
      <c r="O42">
        <f>SUMIFS(Fixed!O$2:O$10000,Fixed!$B$2:$B$10000,$A42)</f>
        <v>609.02430000000004</v>
      </c>
      <c r="P42">
        <f>SUMIFS(Fixed!P$2:P$10000,Fixed!$B$2:$B$10000,$A42)</f>
        <v>609.02430000000004</v>
      </c>
      <c r="Q42">
        <f>SUMIFS(Fixed!Q$2:Q$10000,Fixed!$B$2:$B$10000,$A42)</f>
        <v>609.02430000000004</v>
      </c>
      <c r="R42">
        <f>SUMIFS(Fixed!R$2:R$10000,Fixed!$B$2:$B$10000,$A42)</f>
        <v>609.02430000000004</v>
      </c>
      <c r="S42">
        <f>SUMIFS(Fixed!S$2:S$10000,Fixed!$B$2:$B$10000,$A42)</f>
        <v>609.02430000000004</v>
      </c>
      <c r="T42">
        <f>SUMIFS(Fixed!T$2:T$10000,Fixed!$B$2:$B$10000,$A42)</f>
        <v>609.02430000000004</v>
      </c>
      <c r="U42">
        <f>SUMIFS(Fixed!U$2:U$10000,Fixed!$B$2:$B$10000,$A42)</f>
        <v>609.02430000000004</v>
      </c>
      <c r="V42">
        <f>SUMIFS(Fixed!V$2:V$10000,Fixed!$B$2:$B$10000,$A42)</f>
        <v>609.02430000000004</v>
      </c>
      <c r="W42">
        <f>SUMIFS(Fixed!W$2:W$10000,Fixed!$B$2:$B$10000,$A42)</f>
        <v>609.02430000000004</v>
      </c>
      <c r="X42">
        <f>SUMIFS(Fixed!X$2:X$10000,Fixed!$B$2:$B$10000,$A42)</f>
        <v>609.02430000000004</v>
      </c>
      <c r="Y42">
        <f>SUMIFS(Fixed!Y$2:Y$10000,Fixed!$B$2:$B$10000,$A42)</f>
        <v>609.02430000000004</v>
      </c>
      <c r="Z42">
        <f>SUMIFS(Fixed!Z$2:Z$10000,Fixed!$B$2:$B$10000,$A42)</f>
        <v>609.02430000000004</v>
      </c>
      <c r="AA42">
        <f>SUMIFS(Fixed!AA$2:AA$10000,Fixed!$B$2:$B$10000,$A42)</f>
        <v>609.02430000000004</v>
      </c>
      <c r="AB42">
        <f>SUMIFS(Fixed!AB$2:AB$10000,Fixed!$B$2:$B$10000,$A42)</f>
        <v>609.02430000000004</v>
      </c>
      <c r="AC42">
        <f>SUMIFS(Fixed!AC$2:AC$10000,Fixed!$B$2:$B$10000,$A42)</f>
        <v>576.1472</v>
      </c>
      <c r="AD42">
        <f>SUMIFS(Fixed!AD$2:AD$10000,Fixed!$B$2:$B$10000,$A42)</f>
        <v>541.2568</v>
      </c>
      <c r="AE42">
        <f>SUMIFS(Fixed!AE$2:AE$10000,Fixed!$B$2:$B$10000,$A42)</f>
        <v>541.2568</v>
      </c>
      <c r="AF42">
        <f>SUMIFS(Fixed!AF$2:AF$10000,Fixed!$B$2:$B$10000,$A42)</f>
        <v>514.04819999999995</v>
      </c>
      <c r="AG42">
        <f>SUMIFS(Fixed!AG$2:AG$10000,Fixed!$B$2:$B$10000,$A42)</f>
        <v>514.04819999999995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287.16730000000001</v>
      </c>
      <c r="E45">
        <f>SUMIFS(Fixed!E$2:E$10000,Fixed!$B$2:$B$10000,$A45)</f>
        <v>287.76159999999999</v>
      </c>
      <c r="F45">
        <f>SUMIFS(Fixed!F$2:F$10000,Fixed!$B$2:$B$10000,$A45)</f>
        <v>289.51089999999999</v>
      </c>
      <c r="G45">
        <f>SUMIFS(Fixed!G$2:G$10000,Fixed!$B$2:$B$10000,$A45)</f>
        <v>290.82659999999998</v>
      </c>
      <c r="H45">
        <f>SUMIFS(Fixed!H$2:H$10000,Fixed!$B$2:$B$10000,$A45)</f>
        <v>290.82659999999998</v>
      </c>
      <c r="I45">
        <f>SUMIFS(Fixed!I$2:I$10000,Fixed!$B$2:$B$10000,$A45)</f>
        <v>290.82659999999998</v>
      </c>
      <c r="J45">
        <f>SUMIFS(Fixed!J$2:J$10000,Fixed!$B$2:$B$10000,$A45)</f>
        <v>290.82659999999998</v>
      </c>
      <c r="K45">
        <f>SUMIFS(Fixed!K$2:K$10000,Fixed!$B$2:$B$10000,$A45)</f>
        <v>290.82659999999998</v>
      </c>
      <c r="L45">
        <f>SUMIFS(Fixed!L$2:L$10000,Fixed!$B$2:$B$10000,$A45)</f>
        <v>290.82659999999998</v>
      </c>
      <c r="M45">
        <f>SUMIFS(Fixed!M$2:M$10000,Fixed!$B$2:$B$10000,$A45)</f>
        <v>290.82659999999998</v>
      </c>
      <c r="N45">
        <f>SUMIFS(Fixed!N$2:N$10000,Fixed!$B$2:$B$10000,$A45)</f>
        <v>290.82659999999998</v>
      </c>
      <c r="O45">
        <f>SUMIFS(Fixed!O$2:O$10000,Fixed!$B$2:$B$10000,$A45)</f>
        <v>290.82659999999998</v>
      </c>
      <c r="P45">
        <f>SUMIFS(Fixed!P$2:P$10000,Fixed!$B$2:$B$10000,$A45)</f>
        <v>290.82659999999998</v>
      </c>
      <c r="Q45">
        <f>SUMIFS(Fixed!Q$2:Q$10000,Fixed!$B$2:$B$10000,$A45)</f>
        <v>290.82659999999998</v>
      </c>
      <c r="R45">
        <f>SUMIFS(Fixed!R$2:R$10000,Fixed!$B$2:$B$10000,$A45)</f>
        <v>290.82659999999998</v>
      </c>
      <c r="S45">
        <f>SUMIFS(Fixed!S$2:S$10000,Fixed!$B$2:$B$10000,$A45)</f>
        <v>290.82659999999998</v>
      </c>
      <c r="T45">
        <f>SUMIFS(Fixed!T$2:T$10000,Fixed!$B$2:$B$10000,$A45)</f>
        <v>290.82659999999998</v>
      </c>
      <c r="U45">
        <f>SUMIFS(Fixed!U$2:U$10000,Fixed!$B$2:$B$10000,$A45)</f>
        <v>290.82659999999998</v>
      </c>
      <c r="V45">
        <f>SUMIFS(Fixed!V$2:V$10000,Fixed!$B$2:$B$10000,$A45)</f>
        <v>290.82659999999998</v>
      </c>
      <c r="W45">
        <f>SUMIFS(Fixed!W$2:W$10000,Fixed!$B$2:$B$10000,$A45)</f>
        <v>290.82659999999998</v>
      </c>
      <c r="X45">
        <f>SUMIFS(Fixed!X$2:X$10000,Fixed!$B$2:$B$10000,$A45)</f>
        <v>290.82659999999998</v>
      </c>
      <c r="Y45">
        <f>SUMIFS(Fixed!Y$2:Y$10000,Fixed!$B$2:$B$10000,$A45)</f>
        <v>290.82659999999998</v>
      </c>
      <c r="Z45">
        <f>SUMIFS(Fixed!Z$2:Z$10000,Fixed!$B$2:$B$10000,$A45)</f>
        <v>290.82659999999998</v>
      </c>
      <c r="AA45">
        <f>SUMIFS(Fixed!AA$2:AA$10000,Fixed!$B$2:$B$10000,$A45)</f>
        <v>290.82659999999998</v>
      </c>
      <c r="AB45">
        <f>SUMIFS(Fixed!AB$2:AB$10000,Fixed!$B$2:$B$10000,$A45)</f>
        <v>290.82659999999998</v>
      </c>
      <c r="AC45">
        <f>SUMIFS(Fixed!AC$2:AC$10000,Fixed!$B$2:$B$10000,$A45)</f>
        <v>290.82659999999998</v>
      </c>
      <c r="AD45">
        <f>SUMIFS(Fixed!AD$2:AD$10000,Fixed!$B$2:$B$10000,$A45)</f>
        <v>289.9744</v>
      </c>
      <c r="AE45">
        <f>SUMIFS(Fixed!AE$2:AE$10000,Fixed!$B$2:$B$10000,$A45)</f>
        <v>289.9744</v>
      </c>
      <c r="AF45">
        <f>SUMIFS(Fixed!AF$2:AF$10000,Fixed!$B$2:$B$10000,$A45)</f>
        <v>289.9744</v>
      </c>
      <c r="AG45">
        <f>SUMIFS(Fixed!AG$2:AG$10000,Fixed!$B$2:$B$10000,$A45)</f>
        <v>289.9744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19.019200000000001</v>
      </c>
      <c r="V46">
        <f>SUMIFS(Fixed!V$2:V$10000,Fixed!$B$2:$B$10000,$A46)</f>
        <v>59.663600000000002</v>
      </c>
      <c r="W46">
        <f>SUMIFS(Fixed!W$2:W$10000,Fixed!$B$2:$B$10000,$A46)</f>
        <v>120.2037</v>
      </c>
      <c r="X46">
        <f>SUMIFS(Fixed!X$2:X$10000,Fixed!$B$2:$B$10000,$A46)</f>
        <v>131.48990000000001</v>
      </c>
      <c r="Y46">
        <f>SUMIFS(Fixed!Y$2:Y$10000,Fixed!$B$2:$B$10000,$A46)</f>
        <v>143.86320000000001</v>
      </c>
      <c r="Z46">
        <f>SUMIFS(Fixed!Z$2:Z$10000,Fixed!$B$2:$B$10000,$A46)</f>
        <v>162.3835</v>
      </c>
      <c r="AA46">
        <f>SUMIFS(Fixed!AA$2:AA$10000,Fixed!$B$2:$B$10000,$A46)</f>
        <v>174.5557</v>
      </c>
      <c r="AB46">
        <f>SUMIFS(Fixed!AB$2:AB$10000,Fixed!$B$2:$B$10000,$A46)</f>
        <v>182.25069999999999</v>
      </c>
      <c r="AC46">
        <f>SUMIFS(Fixed!AC$2:AC$10000,Fixed!$B$2:$B$10000,$A46)</f>
        <v>199.97640000000001</v>
      </c>
      <c r="AD46">
        <f>SUMIFS(Fixed!AD$2:AD$10000,Fixed!$B$2:$B$10000,$A46)</f>
        <v>199.97640000000001</v>
      </c>
      <c r="AE46">
        <f>SUMIFS(Fixed!AE$2:AE$10000,Fixed!$B$2:$B$10000,$A46)</f>
        <v>199.97640000000001</v>
      </c>
      <c r="AF46">
        <f>SUMIFS(Fixed!AF$2:AF$10000,Fixed!$B$2:$B$10000,$A46)</f>
        <v>199.97640000000001</v>
      </c>
      <c r="AG46">
        <f>SUMIFS(Fixed!AG$2:AG$10000,Fixed!$B$2:$B$10000,$A46)</f>
        <v>217.41550000000001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113.4918</v>
      </c>
      <c r="T49">
        <f>SUMIFS(Fixed!T$2:T$10000,Fixed!$B$2:$B$10000,$A49)</f>
        <v>595.88969999999995</v>
      </c>
      <c r="U49">
        <f>SUMIFS(Fixed!U$2:U$10000,Fixed!$B$2:$B$10000,$A49)</f>
        <v>1176.521</v>
      </c>
      <c r="V49">
        <f>SUMIFS(Fixed!V$2:V$10000,Fixed!$B$2:$B$10000,$A49)</f>
        <v>1499.8215</v>
      </c>
      <c r="W49">
        <f>SUMIFS(Fixed!W$2:W$10000,Fixed!$B$2:$B$10000,$A49)</f>
        <v>1734.1797999999999</v>
      </c>
      <c r="X49">
        <f>SUMIFS(Fixed!X$2:X$10000,Fixed!$B$2:$B$10000,$A49)</f>
        <v>1899.0762999999999</v>
      </c>
      <c r="Y49">
        <f>SUMIFS(Fixed!Y$2:Y$10000,Fixed!$B$2:$B$10000,$A49)</f>
        <v>2075.6491999999998</v>
      </c>
      <c r="Z49">
        <f>SUMIFS(Fixed!Z$2:Z$10000,Fixed!$B$2:$B$10000,$A49)</f>
        <v>2193.5846000000001</v>
      </c>
      <c r="AA49">
        <f>SUMIFS(Fixed!AA$2:AA$10000,Fixed!$B$2:$B$10000,$A49)</f>
        <v>2372.6143999999999</v>
      </c>
      <c r="AB49">
        <f>SUMIFS(Fixed!AB$2:AB$10000,Fixed!$B$2:$B$10000,$A49)</f>
        <v>2604.5081</v>
      </c>
      <c r="AC49">
        <f>SUMIFS(Fixed!AC$2:AC$10000,Fixed!$B$2:$B$10000,$A49)</f>
        <v>3014.5286000000001</v>
      </c>
      <c r="AD49">
        <f>SUMIFS(Fixed!AD$2:AD$10000,Fixed!$B$2:$B$10000,$A49)</f>
        <v>3478.0369000000001</v>
      </c>
      <c r="AE49">
        <f>SUMIFS(Fixed!AE$2:AE$10000,Fixed!$B$2:$B$10000,$A49)</f>
        <v>3783.9623000000001</v>
      </c>
      <c r="AF49">
        <f>SUMIFS(Fixed!AF$2:AF$10000,Fixed!$B$2:$B$10000,$A49)</f>
        <v>4211.5488999999998</v>
      </c>
      <c r="AG49">
        <f>SUMIFS(Fixed!AG$2:AG$10000,Fixed!$B$2:$B$10000,$A49)</f>
        <v>4436.4241000000002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31.201899999999998</v>
      </c>
      <c r="L50">
        <f>SUMIFS(Fixed!L$2:L$10000,Fixed!$B$2:$B$10000,$A50)</f>
        <v>30.287800000000001</v>
      </c>
      <c r="M50">
        <f>SUMIFS(Fixed!M$2:M$10000,Fixed!$B$2:$B$10000,$A50)</f>
        <v>24.7959</v>
      </c>
      <c r="N50">
        <f>SUMIFS(Fixed!N$2:N$10000,Fixed!$B$2:$B$10000,$A50)</f>
        <v>24.4344</v>
      </c>
      <c r="O50">
        <f>SUMIFS(Fixed!O$2:O$10000,Fixed!$B$2:$B$10000,$A50)</f>
        <v>24.072900000000001</v>
      </c>
      <c r="P50">
        <f>SUMIFS(Fixed!P$2:P$10000,Fixed!$B$2:$B$10000,$A50)</f>
        <v>23.7151</v>
      </c>
      <c r="Q50">
        <f>SUMIFS(Fixed!Q$2:Q$10000,Fixed!$B$2:$B$10000,$A50)</f>
        <v>86.294300000000007</v>
      </c>
      <c r="R50">
        <f>SUMIFS(Fixed!R$2:R$10000,Fixed!$B$2:$B$10000,$A50)</f>
        <v>85.0291</v>
      </c>
      <c r="S50">
        <f>SUMIFS(Fixed!S$2:S$10000,Fixed!$B$2:$B$10000,$A50)</f>
        <v>127.6574</v>
      </c>
      <c r="T50">
        <f>SUMIFS(Fixed!T$2:T$10000,Fixed!$B$2:$B$10000,$A50)</f>
        <v>125.8561</v>
      </c>
      <c r="U50">
        <f>SUMIFS(Fixed!U$2:U$10000,Fixed!$B$2:$B$10000,$A50)</f>
        <v>124.12690000000001</v>
      </c>
      <c r="V50">
        <f>SUMIFS(Fixed!V$2:V$10000,Fixed!$B$2:$B$10000,$A50)</f>
        <v>122.4734</v>
      </c>
      <c r="W50">
        <f>SUMIFS(Fixed!W$2:W$10000,Fixed!$B$2:$B$10000,$A50)</f>
        <v>119.1718</v>
      </c>
      <c r="X50">
        <f>SUMIFS(Fixed!X$2:X$10000,Fixed!$B$2:$B$10000,$A50)</f>
        <v>117.1386</v>
      </c>
      <c r="Y50">
        <f>SUMIFS(Fixed!Y$2:Y$10000,Fixed!$B$2:$B$10000,$A50)</f>
        <v>115.3086</v>
      </c>
      <c r="Z50">
        <f>SUMIFS(Fixed!Z$2:Z$10000,Fixed!$B$2:$B$10000,$A50)</f>
        <v>117.4422</v>
      </c>
      <c r="AA50">
        <f>SUMIFS(Fixed!AA$2:AA$10000,Fixed!$B$2:$B$10000,$A50)</f>
        <v>115.76390000000001</v>
      </c>
      <c r="AB50">
        <f>SUMIFS(Fixed!AB$2:AB$10000,Fixed!$B$2:$B$10000,$A50)</f>
        <v>113.9123</v>
      </c>
      <c r="AC50">
        <f>SUMIFS(Fixed!AC$2:AC$10000,Fixed!$B$2:$B$10000,$A50)</f>
        <v>108.4862</v>
      </c>
      <c r="AD50">
        <f>SUMIFS(Fixed!AD$2:AD$10000,Fixed!$B$2:$B$10000,$A50)</f>
        <v>106.857</v>
      </c>
      <c r="AE50">
        <f>SUMIFS(Fixed!AE$2:AE$10000,Fixed!$B$2:$B$10000,$A50)</f>
        <v>119.8</v>
      </c>
      <c r="AF50">
        <f>SUMIFS(Fixed!AF$2:AF$10000,Fixed!$B$2:$B$10000,$A50)</f>
        <v>119.7818</v>
      </c>
      <c r="AG50">
        <f>SUMIFS(Fixed!AG$2:AG$10000,Fixed!$B$2:$B$10000,$A50)</f>
        <v>170.97749999999999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34.0075</v>
      </c>
      <c r="E52">
        <f>SUMIFS(Fixed!E$2:E$10000,Fixed!$B$2:$B$10000,$A52)</f>
        <v>33.767200000000003</v>
      </c>
      <c r="F52">
        <f>SUMIFS(Fixed!F$2:F$10000,Fixed!$B$2:$B$10000,$A52)</f>
        <v>34.529899999999998</v>
      </c>
      <c r="G52">
        <f>SUMIFS(Fixed!G$2:G$10000,Fixed!$B$2:$B$10000,$A52)</f>
        <v>34.279299999999999</v>
      </c>
      <c r="H52">
        <f>SUMIFS(Fixed!H$2:H$10000,Fixed!$B$2:$B$10000,$A52)</f>
        <v>34.028199999999998</v>
      </c>
      <c r="I52">
        <f>SUMIFS(Fixed!I$2:I$10000,Fixed!$B$2:$B$10000,$A52)</f>
        <v>33.777099999999997</v>
      </c>
      <c r="J52">
        <f>SUMIFS(Fixed!J$2:J$10000,Fixed!$B$2:$B$10000,$A52)</f>
        <v>33.526899999999998</v>
      </c>
      <c r="K52">
        <f>SUMIFS(Fixed!K$2:K$10000,Fixed!$B$2:$B$10000,$A52)</f>
        <v>33.278500000000001</v>
      </c>
      <c r="L52">
        <f>SUMIFS(Fixed!L$2:L$10000,Fixed!$B$2:$B$10000,$A52)</f>
        <v>33.032600000000002</v>
      </c>
      <c r="M52">
        <f>SUMIFS(Fixed!M$2:M$10000,Fixed!$B$2:$B$10000,$A52)</f>
        <v>31.538399999999999</v>
      </c>
      <c r="N52">
        <f>SUMIFS(Fixed!N$2:N$10000,Fixed!$B$2:$B$10000,$A52)</f>
        <v>31.282399999999999</v>
      </c>
      <c r="O52">
        <f>SUMIFS(Fixed!O$2:O$10000,Fixed!$B$2:$B$10000,$A52)</f>
        <v>31.027200000000001</v>
      </c>
      <c r="P52">
        <f>SUMIFS(Fixed!P$2:P$10000,Fixed!$B$2:$B$10000,$A52)</f>
        <v>30.775099999999998</v>
      </c>
      <c r="Q52">
        <f>SUMIFS(Fixed!Q$2:Q$10000,Fixed!$B$2:$B$10000,$A52)</f>
        <v>30.528199999999998</v>
      </c>
      <c r="R52">
        <f>SUMIFS(Fixed!R$2:R$10000,Fixed!$B$2:$B$10000,$A52)</f>
        <v>30.2879</v>
      </c>
      <c r="S52">
        <f>SUMIFS(Fixed!S$2:S$10000,Fixed!$B$2:$B$10000,$A52)</f>
        <v>30.055399999999999</v>
      </c>
      <c r="T52">
        <f>SUMIFS(Fixed!T$2:T$10000,Fixed!$B$2:$B$10000,$A52)</f>
        <v>29.831499999999998</v>
      </c>
      <c r="U52">
        <f>SUMIFS(Fixed!U$2:U$10000,Fixed!$B$2:$B$10000,$A52)</f>
        <v>29.616800000000001</v>
      </c>
      <c r="V52">
        <f>SUMIFS(Fixed!V$2:V$10000,Fixed!$B$2:$B$10000,$A52)</f>
        <v>18.415500000000002</v>
      </c>
      <c r="W52">
        <f>SUMIFS(Fixed!W$2:W$10000,Fixed!$B$2:$B$10000,$A52)</f>
        <v>14.9354</v>
      </c>
      <c r="X52">
        <f>SUMIFS(Fixed!X$2:X$10000,Fixed!$B$2:$B$10000,$A52)</f>
        <v>14.807700000000001</v>
      </c>
      <c r="Y52">
        <f>SUMIFS(Fixed!Y$2:Y$10000,Fixed!$B$2:$B$10000,$A52)</f>
        <v>14.6927</v>
      </c>
      <c r="Z52">
        <f>SUMIFS(Fixed!Z$2:Z$10000,Fixed!$B$2:$B$10000,$A52)</f>
        <v>14.5892</v>
      </c>
      <c r="AA52">
        <f>SUMIFS(Fixed!AA$2:AA$10000,Fixed!$B$2:$B$10000,$A52)</f>
        <v>14.496</v>
      </c>
      <c r="AB52">
        <f>SUMIFS(Fixed!AB$2:AB$10000,Fixed!$B$2:$B$10000,$A52)</f>
        <v>6.1853999999999996</v>
      </c>
      <c r="AC52">
        <f>SUMIFS(Fixed!AC$2:AC$10000,Fixed!$B$2:$B$10000,$A52)</f>
        <v>0.84209999999999996</v>
      </c>
      <c r="AD52">
        <f>SUMIFS(Fixed!AD$2:AD$10000,Fixed!$B$2:$B$10000,$A52)</f>
        <v>0.83809999999999996</v>
      </c>
      <c r="AE52">
        <f>SUMIFS(Fixed!AE$2:AE$10000,Fixed!$B$2:$B$10000,$A52)</f>
        <v>0</v>
      </c>
      <c r="AF52">
        <f>SUMIFS(Fixed!AF$2:AF$10000,Fixed!$B$2:$B$10000,$A52)</f>
        <v>0</v>
      </c>
      <c r="AG52">
        <f>SUMIFS(Fixed!AG$2:AG$10000,Fixed!$B$2:$B$10000,$A52)</f>
        <v>0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369</v>
      </c>
      <c r="F59">
        <f>SUMIFS(Capital_Investments!F$2:F$10000,Capital_Investments!$B$2:$B$10000,$A59)</f>
        <v>27</v>
      </c>
      <c r="G59">
        <f>SUMIFS(Capital_Investments!G$2:G$10000,Capital_Investments!$B$2:$B$10000,$A59)</f>
        <v>44.55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16.28</v>
      </c>
      <c r="F61">
        <f>SUMIFS(Capital_Investments!F$2:F$10000,Capital_Investments!$B$2:$B$10000,$A61)</f>
        <v>1236.7765999999999</v>
      </c>
      <c r="G61">
        <f>SUMIFS(Capital_Investments!G$2:G$10000,Capital_Investments!$B$2:$B$10000,$A61)</f>
        <v>29.578900000000001</v>
      </c>
      <c r="H61">
        <f>SUMIFS(Capital_Investments!H$2:H$10000,Capital_Investments!$B$2:$B$10000,$A61)</f>
        <v>157.08000000000001</v>
      </c>
      <c r="I61">
        <f>SUMIFS(Capital_Investments!I$2:I$10000,Capital_Investments!$B$2:$B$10000,$A61)</f>
        <v>3722.5142999999998</v>
      </c>
      <c r="J61">
        <f>SUMIFS(Capital_Investments!J$2:J$10000,Capital_Investments!$B$2:$B$10000,$A61)</f>
        <v>0</v>
      </c>
      <c r="K61">
        <f>SUMIFS(Capital_Investments!K$2:K$10000,Capital_Investments!$B$2:$B$10000,$A61)</f>
        <v>0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0</v>
      </c>
      <c r="Q61">
        <f>SUMIFS(Capital_Investments!Q$2:Q$10000,Capital_Investments!$B$2:$B$10000,$A61)</f>
        <v>816.30420000000004</v>
      </c>
      <c r="R61">
        <f>SUMIFS(Capital_Investments!R$2:R$10000,Capital_Investments!$B$2:$B$10000,$A61)</f>
        <v>8080.9310999999998</v>
      </c>
      <c r="S61">
        <f>SUMIFS(Capital_Investments!S$2:S$10000,Capital_Investments!$B$2:$B$10000,$A61)</f>
        <v>477.4</v>
      </c>
      <c r="T61">
        <f>SUMIFS(Capital_Investments!T$2:T$10000,Capital_Investments!$B$2:$B$10000,$A61)</f>
        <v>2684.88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0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1595</v>
      </c>
      <c r="E63">
        <f>SUMIFS(Capital_Investments!E$2:E$10000,Capital_Investments!$B$2:$B$10000,$A63)</f>
        <v>1692.68</v>
      </c>
      <c r="F63">
        <f>SUMIFS(Capital_Investments!F$2:F$10000,Capital_Investments!$B$2:$B$10000,$A63)</f>
        <v>0</v>
      </c>
      <c r="G63">
        <f>SUMIFS(Capital_Investments!G$2:G$10000,Capital_Investments!$B$2:$B$10000,$A63)</f>
        <v>1320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3254.5245</v>
      </c>
      <c r="K63">
        <f>SUMIFS(Capital_Investments!K$2:K$10000,Capital_Investments!$B$2:$B$10000,$A63)</f>
        <v>3242.154</v>
      </c>
      <c r="L63">
        <f>SUMIFS(Capital_Investments!L$2:L$10000,Capital_Investments!$B$2:$B$10000,$A63)</f>
        <v>3226.7269999999999</v>
      </c>
      <c r="M63">
        <f>SUMIFS(Capital_Investments!M$2:M$10000,Capital_Investments!$B$2:$B$10000,$A63)</f>
        <v>15215.187</v>
      </c>
      <c r="N63">
        <f>SUMIFS(Capital_Investments!N$2:N$10000,Capital_Investments!$B$2:$B$10000,$A63)</f>
        <v>0</v>
      </c>
      <c r="O63">
        <f>SUMIFS(Capital_Investments!O$2:O$10000,Capital_Investments!$B$2:$B$10000,$A63)</f>
        <v>0</v>
      </c>
      <c r="P63">
        <f>SUMIFS(Capital_Investments!P$2:P$10000,Capital_Investments!$B$2:$B$10000,$A63)</f>
        <v>0</v>
      </c>
      <c r="Q63">
        <f>SUMIFS(Capital_Investments!Q$2:Q$10000,Capital_Investments!$B$2:$B$10000,$A63)</f>
        <v>0</v>
      </c>
      <c r="R63">
        <f>SUMIFS(Capital_Investments!R$2:R$10000,Capital_Investments!$B$2:$B$10000,$A63)</f>
        <v>0</v>
      </c>
      <c r="S63">
        <f>SUMIFS(Capital_Investments!S$2:S$10000,Capital_Investments!$B$2:$B$10000,$A63)</f>
        <v>0</v>
      </c>
      <c r="T63">
        <f>SUMIFS(Capital_Investments!T$2:T$10000,Capital_Investments!$B$2:$B$10000,$A63)</f>
        <v>0</v>
      </c>
      <c r="U63">
        <f>SUMIFS(Capital_Investments!U$2:U$10000,Capital_Investments!$B$2:$B$10000,$A63)</f>
        <v>0</v>
      </c>
      <c r="V63">
        <f>SUMIFS(Capital_Investments!V$2:V$10000,Capital_Investments!$B$2:$B$10000,$A63)</f>
        <v>0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0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0</v>
      </c>
      <c r="AG63">
        <f>SUMIFS(Capital_Investments!AG$2:AG$10000,Capital_Investments!$B$2:$B$10000,$A63)</f>
        <v>0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4389.9543999999996</v>
      </c>
      <c r="D66">
        <f>SUMIFS(Capital_Investments!D$2:D$10000,Capital_Investments!$B$2:$B$10000,$A66)</f>
        <v>7663.7159000000001</v>
      </c>
      <c r="E66">
        <f>SUMIFS(Capital_Investments!E$2:E$10000,Capital_Investments!$B$2:$B$10000,$A66)</f>
        <v>47.7</v>
      </c>
      <c r="F66">
        <f>SUMIFS(Capital_Investments!F$2:F$10000,Capital_Investments!$B$2:$B$10000,$A66)</f>
        <v>140.4</v>
      </c>
      <c r="G66">
        <f>SUMIFS(Capital_Investments!G$2:G$10000,Capital_Investments!$B$2:$B$10000,$A66)</f>
        <v>105.6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1056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0</v>
      </c>
      <c r="V67">
        <f>SUMIFS(Capital_Investments!V$2:V$10000,Capital_Investments!$B$2:$B$10000,$A67)</f>
        <v>2256.6975000000002</v>
      </c>
      <c r="W67">
        <f>SUMIFS(Capital_Investments!W$2:W$10000,Capital_Investments!$B$2:$B$10000,$A67)</f>
        <v>3361.3616999999999</v>
      </c>
      <c r="X67">
        <f>SUMIFS(Capital_Investments!X$2:X$10000,Capital_Investments!$B$2:$B$10000,$A67)</f>
        <v>626.64319999999998</v>
      </c>
      <c r="Y67">
        <f>SUMIFS(Capital_Investments!Y$2:Y$10000,Capital_Investments!$B$2:$B$10000,$A67)</f>
        <v>687.00220000000002</v>
      </c>
      <c r="Z67">
        <f>SUMIFS(Capital_Investments!Z$2:Z$10000,Capital_Investments!$B$2:$B$10000,$A67)</f>
        <v>1028.2995000000001</v>
      </c>
      <c r="AA67">
        <f>SUMIFS(Capital_Investments!AA$2:AA$10000,Capital_Investments!$B$2:$B$10000,$A67)</f>
        <v>675.83780000000002</v>
      </c>
      <c r="AB67">
        <f>SUMIFS(Capital_Investments!AB$2:AB$10000,Capital_Investments!$B$2:$B$10000,$A67)</f>
        <v>427.24860000000001</v>
      </c>
      <c r="AC67">
        <f>SUMIFS(Capital_Investments!AC$2:AC$10000,Capital_Investments!$B$2:$B$10000,$A67)</f>
        <v>984.18529999999998</v>
      </c>
      <c r="AD67">
        <f>SUMIFS(Capital_Investments!AD$2:AD$10000,Capital_Investments!$B$2:$B$10000,$A67)</f>
        <v>0</v>
      </c>
      <c r="AE67">
        <f>SUMIFS(Capital_Investments!AE$2:AE$10000,Capital_Investments!$B$2:$B$10000,$A67)</f>
        <v>0</v>
      </c>
      <c r="AF67">
        <f>SUMIFS(Capital_Investments!AF$2:AF$10000,Capital_Investments!$B$2:$B$10000,$A67)</f>
        <v>0</v>
      </c>
      <c r="AG67">
        <f>SUMIFS(Capital_Investments!AG$2:AG$10000,Capital_Investments!$B$2:$B$10000,$A67)</f>
        <v>2024.2701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2113.2660999999998</v>
      </c>
      <c r="T70">
        <f>SUMIFS(Capital_Investments!T$2:T$10000,Capital_Investments!$B$2:$B$10000,$A70)</f>
        <v>8988.9236000000001</v>
      </c>
      <c r="U70">
        <f>SUMIFS(Capital_Investments!U$2:U$10000,Capital_Investments!$B$2:$B$10000,$A70)</f>
        <v>10841.951999999999</v>
      </c>
      <c r="V70">
        <f>SUMIFS(Capital_Investments!V$2:V$10000,Capital_Investments!$B$2:$B$10000,$A70)</f>
        <v>6075.2321000000002</v>
      </c>
      <c r="W70">
        <f>SUMIFS(Capital_Investments!W$2:W$10000,Capital_Investments!$B$2:$B$10000,$A70)</f>
        <v>4502.4512999999997</v>
      </c>
      <c r="X70">
        <f>SUMIFS(Capital_Investments!X$2:X$10000,Capital_Investments!$B$2:$B$10000,$A70)</f>
        <v>3170.0230000000001</v>
      </c>
      <c r="Y70">
        <f>SUMIFS(Capital_Investments!Y$2:Y$10000,Capital_Investments!$B$2:$B$10000,$A70)</f>
        <v>3386.7954</v>
      </c>
      <c r="Z70">
        <f>SUMIFS(Capital_Investments!Z$2:Z$10000,Capital_Investments!$B$2:$B$10000,$A70)</f>
        <v>2293.0953</v>
      </c>
      <c r="AA70">
        <f>SUMIFS(Capital_Investments!AA$2:AA$10000,Capital_Investments!$B$2:$B$10000,$A70)</f>
        <v>3427.4191000000001</v>
      </c>
      <c r="AB70">
        <f>SUMIFS(Capital_Investments!AB$2:AB$10000,Capital_Investments!$B$2:$B$10000,$A70)</f>
        <v>4410.7214000000004</v>
      </c>
      <c r="AC70">
        <f>SUMIFS(Capital_Investments!AC$2:AC$10000,Capital_Investments!$B$2:$B$10000,$A70)</f>
        <v>7730.2232000000004</v>
      </c>
      <c r="AD70">
        <f>SUMIFS(Capital_Investments!AD$2:AD$10000,Capital_Investments!$B$2:$B$10000,$A70)</f>
        <v>8731.5450999999994</v>
      </c>
      <c r="AE70">
        <f>SUMIFS(Capital_Investments!AE$2:AE$10000,Capital_Investments!$B$2:$B$10000,$A70)</f>
        <v>5798.1817000000001</v>
      </c>
      <c r="AF70">
        <f>SUMIFS(Capital_Investments!AF$2:AF$10000,Capital_Investments!$B$2:$B$10000,$A70)</f>
        <v>8064.6364000000003</v>
      </c>
      <c r="AG70">
        <f>SUMIFS(Capital_Investments!AG$2:AG$10000,Capital_Investments!$B$2:$B$10000,$A70)</f>
        <v>5132.7529999999997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0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4307.3890000000001</v>
      </c>
      <c r="R71">
        <f>SUMIFS(Capital_Investments!R$2:R$10000,Capital_Investments!$B$2:$B$10000,$A71)</f>
        <v>0</v>
      </c>
      <c r="S71">
        <f>SUMIFS(Capital_Investments!S$2:S$10000,Capital_Investments!$B$2:$B$10000,$A71)</f>
        <v>2948.1695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0</v>
      </c>
      <c r="X71">
        <f>SUMIFS(Capital_Investments!X$2:X$10000,Capital_Investments!$B$2:$B$10000,$A71)</f>
        <v>0</v>
      </c>
      <c r="Y71">
        <f>SUMIFS(Capital_Investments!Y$2:Y$10000,Capital_Investments!$B$2:$B$10000,$A71)</f>
        <v>0</v>
      </c>
      <c r="Z71">
        <f>SUMIFS(Capital_Investments!Z$2:Z$10000,Capital_Investments!$B$2:$B$10000,$A71)</f>
        <v>234.60679999999999</v>
      </c>
      <c r="AA71">
        <f>SUMIFS(Capital_Investments!AA$2:AA$10000,Capital_Investments!$B$2:$B$10000,$A71)</f>
        <v>0</v>
      </c>
      <c r="AB71">
        <f>SUMIFS(Capital_Investments!AB$2:AB$10000,Capital_Investments!$B$2:$B$10000,$A71)</f>
        <v>0</v>
      </c>
      <c r="AC71">
        <f>SUMIFS(Capital_Investments!AC$2:AC$10000,Capital_Investments!$B$2:$B$10000,$A71)</f>
        <v>0</v>
      </c>
      <c r="AD71">
        <f>SUMIFS(Capital_Investments!AD$2:AD$10000,Capital_Investments!$B$2:$B$10000,$A71)</f>
        <v>0</v>
      </c>
      <c r="AE71">
        <f>SUMIFS(Capital_Investments!AE$2:AE$10000,Capital_Investments!$B$2:$B$10000,$A71)</f>
        <v>825.6173</v>
      </c>
      <c r="AF71">
        <f>SUMIFS(Capital_Investments!AF$2:AF$10000,Capital_Investments!$B$2:$B$10000,$A71)</f>
        <v>74.411600000000007</v>
      </c>
      <c r="AG71">
        <f>SUMIFS(Capital_Investments!AG$2:AG$10000,Capital_Investments!$B$2:$B$10000,$A71)</f>
        <v>3325.8773999999999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225.77699999999999</v>
      </c>
      <c r="E73">
        <f>SUMIFS(Capital_Investments!E$2:E$10000,Capital_Investments!$B$2:$B$10000,$A73)</f>
        <v>0</v>
      </c>
      <c r="F73">
        <f>SUMIFS(Capital_Investments!F$2:F$10000,Capital_Investments!$B$2:$B$10000,$A73)</f>
        <v>33.935299999999998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233.74</v>
      </c>
      <c r="E74">
        <f>SUMIFS(Capital_Investments!E$2:E$10000,Capital_Investments!$B$2:$B$10000,$A74)</f>
        <v>126.49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14.56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459.69720000000001</v>
      </c>
      <c r="I76">
        <f>SUMIFS(Capital_Investments!I$2:I$10000,Capital_Investments!$B$2:$B$10000,$A76)</f>
        <v>1316.7722000000001</v>
      </c>
      <c r="J76">
        <f>SUMIFS(Capital_Investments!J$2:J$10000,Capital_Investments!$B$2:$B$10000,$A76)</f>
        <v>1316.7722000000001</v>
      </c>
      <c r="K76">
        <f>SUMIFS(Capital_Investments!K$2:K$10000,Capital_Investments!$B$2:$B$10000,$A76)</f>
        <v>1316.7722000000001</v>
      </c>
      <c r="L76">
        <f>SUMIFS(Capital_Investments!L$2:L$10000,Capital_Investments!$B$2:$B$10000,$A76)</f>
        <v>1316.7722000000001</v>
      </c>
      <c r="M76">
        <f>SUMIFS(Capital_Investments!M$2:M$10000,Capital_Investments!$B$2:$B$10000,$A76)</f>
        <v>1316.7722000000001</v>
      </c>
      <c r="N76">
        <f>SUMIFS(Capital_Investments!N$2:N$10000,Capital_Investments!$B$2:$B$10000,$A76)</f>
        <v>1573.5395000000001</v>
      </c>
      <c r="O76">
        <f>SUMIFS(Capital_Investments!O$2:O$10000,Capital_Investments!$B$2:$B$10000,$A76)</f>
        <v>1573.5395000000001</v>
      </c>
      <c r="P76">
        <f>SUMIFS(Capital_Investments!P$2:P$10000,Capital_Investments!$B$2:$B$10000,$A76)</f>
        <v>1620.3588</v>
      </c>
      <c r="Q76">
        <f>SUMIFS(Capital_Investments!Q$2:Q$10000,Capital_Investments!$B$2:$B$10000,$A76)</f>
        <v>1631.31</v>
      </c>
      <c r="R76">
        <f>SUMIFS(Capital_Investments!R$2:R$10000,Capital_Investments!$B$2:$B$10000,$A76)</f>
        <v>1648.5632000000001</v>
      </c>
      <c r="S76">
        <f>SUMIFS(Capital_Investments!S$2:S$10000,Capital_Investments!$B$2:$B$10000,$A76)</f>
        <v>1975.2876000000001</v>
      </c>
      <c r="T76">
        <f>SUMIFS(Capital_Investments!T$2:T$10000,Capital_Investments!$B$2:$B$10000,$A76)</f>
        <v>1975.2806</v>
      </c>
      <c r="U76">
        <f>SUMIFS(Capital_Investments!U$2:U$10000,Capital_Investments!$B$2:$B$10000,$A76)</f>
        <v>1864.8184000000001</v>
      </c>
      <c r="V76">
        <f>SUMIFS(Capital_Investments!V$2:V$10000,Capital_Investments!$B$2:$B$10000,$A76)</f>
        <v>1969.9671000000001</v>
      </c>
      <c r="W76">
        <f>SUMIFS(Capital_Investments!W$2:W$10000,Capital_Investments!$B$2:$B$10000,$A76)</f>
        <v>1589.4321</v>
      </c>
      <c r="X76">
        <f>SUMIFS(Capital_Investments!X$2:X$10000,Capital_Investments!$B$2:$B$10000,$A76)</f>
        <v>1921.3886</v>
      </c>
      <c r="Y76">
        <f>SUMIFS(Capital_Investments!Y$2:Y$10000,Capital_Investments!$B$2:$B$10000,$A76)</f>
        <v>2075.5421999999999</v>
      </c>
      <c r="Z76">
        <f>SUMIFS(Capital_Investments!Z$2:Z$10000,Capital_Investments!$B$2:$B$10000,$A76)</f>
        <v>2080.1632</v>
      </c>
      <c r="AA76">
        <f>SUMIFS(Capital_Investments!AA$2:AA$10000,Capital_Investments!$B$2:$B$10000,$A76)</f>
        <v>2084.5023999999999</v>
      </c>
      <c r="AB76">
        <f>SUMIFS(Capital_Investments!AB$2:AB$10000,Capital_Investments!$B$2:$B$10000,$A76)</f>
        <v>2088.5700000000002</v>
      </c>
      <c r="AC76">
        <f>SUMIFS(Capital_Investments!AC$2:AC$10000,Capital_Investments!$B$2:$B$10000,$A76)</f>
        <v>2163.3755000000001</v>
      </c>
      <c r="AD76">
        <f>SUMIFS(Capital_Investments!AD$2:AD$10000,Capital_Investments!$B$2:$B$10000,$A76)</f>
        <v>2166.6012999999998</v>
      </c>
      <c r="AE76">
        <f>SUMIFS(Capital_Investments!AE$2:AE$10000,Capital_Investments!$B$2:$B$10000,$A76)</f>
        <v>2169.6396</v>
      </c>
      <c r="AF76">
        <f>SUMIFS(Capital_Investments!AF$2:AF$10000,Capital_Investments!$B$2:$B$10000,$A76)</f>
        <v>2172.4953999999998</v>
      </c>
      <c r="AG76">
        <f>SUMIFS(Capital_Investments!AG$2:AG$10000,Capital_Investments!$B$2:$B$10000,$A76)</f>
        <v>3107.0751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SUMIFS(Annualized_Investments!C$2:C$9991,Annualized_Investments!$B$2:$B$9991,$A80)</f>
        <v>0</v>
      </c>
      <c r="D80">
        <f>SUMIFS(Annualized_Investments!D$2:D$9991,Annualized_Investments!$B$2:$B$9991,$A80)</f>
        <v>0</v>
      </c>
      <c r="E80">
        <f>SUMIFS(Annualized_Investments!E$2:E$9991,Annualized_Investments!$B$2:$B$9991,$A80)</f>
        <v>20.480610924099999</v>
      </c>
      <c r="F80">
        <f>SUMIFS(Annualized_Investments!F$2:F$9991,Annualized_Investments!$B$2:$B$9991,$A80)</f>
        <v>21.979192211200001</v>
      </c>
      <c r="G80">
        <f>SUMIFS(Annualized_Investments!G$2:G$9991,Annualized_Investments!$B$2:$B$9991,$A80)</f>
        <v>24.451851334899999</v>
      </c>
      <c r="H80">
        <f>SUMIFS(Annualized_Investments!H$2:H$9991,Annualized_Investments!$B$2:$B$9991,$A80)</f>
        <v>24.451851334899999</v>
      </c>
      <c r="I80">
        <f>SUMIFS(Annualized_Investments!I$2:I$9991,Annualized_Investments!$B$2:$B$9991,$A80)</f>
        <v>24.451851334899999</v>
      </c>
      <c r="J80">
        <f>SUMIFS(Annualized_Investments!J$2:J$9991,Annualized_Investments!$B$2:$B$9991,$A80)</f>
        <v>24.451851334899999</v>
      </c>
      <c r="K80">
        <f>SUMIFS(Annualized_Investments!K$2:K$9991,Annualized_Investments!$B$2:$B$9991,$A80)</f>
        <v>24.451851334899999</v>
      </c>
      <c r="L80">
        <f>SUMIFS(Annualized_Investments!L$2:L$9991,Annualized_Investments!$B$2:$B$9991,$A80)</f>
        <v>24.451851334899999</v>
      </c>
      <c r="M80">
        <f>SUMIFS(Annualized_Investments!M$2:M$9991,Annualized_Investments!$B$2:$B$9991,$A80)</f>
        <v>24.451851334899999</v>
      </c>
      <c r="N80">
        <f>SUMIFS(Annualized_Investments!N$2:N$9991,Annualized_Investments!$B$2:$B$9991,$A80)</f>
        <v>24.451851334899999</v>
      </c>
      <c r="O80">
        <f>SUMIFS(Annualized_Investments!O$2:O$9991,Annualized_Investments!$B$2:$B$9991,$A80)</f>
        <v>24.451851334899999</v>
      </c>
      <c r="P80">
        <f>SUMIFS(Annualized_Investments!P$2:P$9991,Annualized_Investments!$B$2:$B$9991,$A80)</f>
        <v>24.451851334899999</v>
      </c>
      <c r="Q80">
        <f>SUMIFS(Annualized_Investments!Q$2:Q$9991,Annualized_Investments!$B$2:$B$9991,$A80)</f>
        <v>24.451851334899999</v>
      </c>
      <c r="R80">
        <f>SUMIFS(Annualized_Investments!R$2:R$9991,Annualized_Investments!$B$2:$B$9991,$A80)</f>
        <v>24.451851334899999</v>
      </c>
      <c r="S80">
        <f>SUMIFS(Annualized_Investments!S$2:S$9991,Annualized_Investments!$B$2:$B$9991,$A80)</f>
        <v>24.451851334899999</v>
      </c>
      <c r="T80">
        <f>SUMIFS(Annualized_Investments!T$2:T$9991,Annualized_Investments!$B$2:$B$9991,$A80)</f>
        <v>24.451851334899999</v>
      </c>
      <c r="U80">
        <f>SUMIFS(Annualized_Investments!U$2:U$9991,Annualized_Investments!$B$2:$B$9991,$A80)</f>
        <v>24.451851334899999</v>
      </c>
      <c r="V80">
        <f>SUMIFS(Annualized_Investments!V$2:V$9991,Annualized_Investments!$B$2:$B$9991,$A80)</f>
        <v>24.451851334899999</v>
      </c>
      <c r="W80">
        <f>SUMIFS(Annualized_Investments!W$2:W$9991,Annualized_Investments!$B$2:$B$9991,$A80)</f>
        <v>24.451851334899999</v>
      </c>
      <c r="X80">
        <f>SUMIFS(Annualized_Investments!X$2:X$9991,Annualized_Investments!$B$2:$B$9991,$A80)</f>
        <v>24.451851334899999</v>
      </c>
      <c r="Y80">
        <f>SUMIFS(Annualized_Investments!Y$2:Y$9991,Annualized_Investments!$B$2:$B$9991,$A80)</f>
        <v>24.451851334899999</v>
      </c>
      <c r="Z80">
        <f>SUMIFS(Annualized_Investments!Z$2:Z$9991,Annualized_Investments!$B$2:$B$9991,$A80)</f>
        <v>24.451851334899999</v>
      </c>
      <c r="AA80">
        <f>SUMIFS(Annualized_Investments!AA$2:AA$9991,Annualized_Investments!$B$2:$B$9991,$A80)</f>
        <v>24.451851334899999</v>
      </c>
      <c r="AB80">
        <f>SUMIFS(Annualized_Investments!AB$2:AB$9991,Annualized_Investments!$B$2:$B$9991,$A80)</f>
        <v>24.451851334899999</v>
      </c>
      <c r="AC80">
        <f>SUMIFS(Annualized_Investments!AC$2:AC$9991,Annualized_Investments!$B$2:$B$9991,$A80)</f>
        <v>24.451851334899999</v>
      </c>
      <c r="AD80">
        <f>SUMIFS(Annualized_Investments!AD$2:AD$9991,Annualized_Investments!$B$2:$B$9991,$A80)</f>
        <v>24.451851334899999</v>
      </c>
      <c r="AE80">
        <f>SUMIFS(Annualized_Investments!AE$2:AE$9991,Annualized_Investments!$B$2:$B$9991,$A80)</f>
        <v>24.451851334899999</v>
      </c>
      <c r="AF80">
        <f>SUMIFS(Annualized_Investments!AF$2:AF$9991,Annualized_Investments!$B$2:$B$9991,$A80)</f>
        <v>24.451851334899999</v>
      </c>
      <c r="AG80">
        <f>SUMIFS(Annualized_Investments!AG$2:AG$9991,Annualized_Investments!$B$2:$B$9991,$A80)</f>
        <v>24.451851334899999</v>
      </c>
    </row>
    <row r="81" spans="1:33">
      <c r="A81" t="s">
        <v>133</v>
      </c>
      <c r="C81">
        <f>SUMIFS(Annualized_Investments!C$2:C$9991,Annualized_Investments!$B$2:$B$9991,$A81)</f>
        <v>0</v>
      </c>
      <c r="D81">
        <f>SUMIFS(Annualized_Investments!D$2:D$9991,Annualized_Investments!$B$2:$B$9991,$A81)</f>
        <v>0</v>
      </c>
      <c r="E81">
        <f>SUMIFS(Annualized_Investments!E$2:E$9991,Annualized_Investments!$B$2:$B$9991,$A81)</f>
        <v>0</v>
      </c>
      <c r="F81">
        <f>SUMIFS(Annualized_Investments!F$2:F$9991,Annualized_Investments!$B$2:$B$9991,$A81)</f>
        <v>0</v>
      </c>
      <c r="G81">
        <f>SUMIFS(Annualized_Investments!G$2:G$9991,Annualized_Investments!$B$2:$B$9991,$A81)</f>
        <v>0</v>
      </c>
      <c r="H81">
        <f>SUMIFS(Annualized_Investments!H$2:H$9991,Annualized_Investments!$B$2:$B$9991,$A81)</f>
        <v>0</v>
      </c>
      <c r="I81">
        <f>SUMIFS(Annualized_Investments!I$2:I$9991,Annualized_Investments!$B$2:$B$9991,$A81)</f>
        <v>0</v>
      </c>
      <c r="J81">
        <f>SUMIFS(Annualized_Investments!J$2:J$9991,Annualized_Investments!$B$2:$B$9991,$A81)</f>
        <v>0</v>
      </c>
      <c r="K81">
        <f>SUMIFS(Annualized_Investments!K$2:K$9991,Annualized_Investments!$B$2:$B$9991,$A81)</f>
        <v>0</v>
      </c>
      <c r="L81">
        <f>SUMIFS(Annualized_Investments!L$2:L$9991,Annualized_Investments!$B$2:$B$9991,$A81)</f>
        <v>0</v>
      </c>
      <c r="M81">
        <f>SUMIFS(Annualized_Investments!M$2:M$9991,Annualized_Investments!$B$2:$B$9991,$A81)</f>
        <v>0</v>
      </c>
      <c r="N81">
        <f>SUMIFS(Annualized_Investments!N$2:N$9991,Annualized_Investments!$B$2:$B$9991,$A81)</f>
        <v>0</v>
      </c>
      <c r="O81">
        <f>SUMIFS(Annualized_Investments!O$2:O$9991,Annualized_Investments!$B$2:$B$9991,$A81)</f>
        <v>0</v>
      </c>
      <c r="P81">
        <f>SUMIFS(Annualized_Investments!P$2:P$9991,Annualized_Investments!$B$2:$B$9991,$A81)</f>
        <v>0</v>
      </c>
      <c r="Q81">
        <f>SUMIFS(Annualized_Investments!Q$2:Q$9991,Annualized_Investments!$B$2:$B$9991,$A81)</f>
        <v>0</v>
      </c>
      <c r="R81">
        <f>SUMIFS(Annualized_Investments!R$2:R$9991,Annualized_Investments!$B$2:$B$9991,$A81)</f>
        <v>0</v>
      </c>
      <c r="S81">
        <f>SUMIFS(Annualized_Investments!S$2:S$9991,Annualized_Investments!$B$2:$B$9991,$A81)</f>
        <v>0</v>
      </c>
      <c r="T81">
        <f>SUMIFS(Annualized_Investments!T$2:T$9991,Annualized_Investments!$B$2:$B$9991,$A81)</f>
        <v>0</v>
      </c>
      <c r="U81">
        <f>SUMIFS(Annualized_Investments!U$2:U$9991,Annualized_Investments!$B$2:$B$9991,$A81)</f>
        <v>0</v>
      </c>
      <c r="V81">
        <f>SUMIFS(Annualized_Investments!V$2:V$9991,Annualized_Investments!$B$2:$B$9991,$A81)</f>
        <v>0</v>
      </c>
      <c r="W81">
        <f>SUMIFS(Annualized_Investments!W$2:W$9991,Annualized_Investments!$B$2:$B$9991,$A81)</f>
        <v>0</v>
      </c>
      <c r="X81">
        <f>SUMIFS(Annualized_Investments!X$2:X$9991,Annualized_Investments!$B$2:$B$9991,$A81)</f>
        <v>0</v>
      </c>
      <c r="Y81">
        <f>SUMIFS(Annualized_Investments!Y$2:Y$9991,Annualized_Investments!$B$2:$B$9991,$A81)</f>
        <v>0</v>
      </c>
      <c r="Z81">
        <f>SUMIFS(Annualized_Investments!Z$2:Z$9991,Annualized_Investments!$B$2:$B$9991,$A81)</f>
        <v>0</v>
      </c>
      <c r="AA81">
        <f>SUMIFS(Annualized_Investments!AA$2:AA$9991,Annualized_Investments!$B$2:$B$9991,$A81)</f>
        <v>0</v>
      </c>
      <c r="AB81">
        <f>SUMIFS(Annualized_Investments!AB$2:AB$9991,Annualized_Investments!$B$2:$B$9991,$A81)</f>
        <v>0</v>
      </c>
      <c r="AC81">
        <f>SUMIFS(Annualized_Investments!AC$2:AC$9991,Annualized_Investments!$B$2:$B$9991,$A81)</f>
        <v>0</v>
      </c>
      <c r="AD81">
        <f>SUMIFS(Annualized_Investments!AD$2:AD$9991,Annualized_Investments!$B$2:$B$9991,$A81)</f>
        <v>0</v>
      </c>
      <c r="AE81">
        <f>SUMIFS(Annualized_Investments!AE$2:AE$9991,Annualized_Investments!$B$2:$B$9991,$A81)</f>
        <v>0</v>
      </c>
      <c r="AF81">
        <f>SUMIFS(Annualized_Investments!AF$2:AF$9991,Annualized_Investments!$B$2:$B$9991,$A81)</f>
        <v>0</v>
      </c>
      <c r="AG81">
        <f>SUMIFS(Annualized_Investments!AG$2:AG$9991,Annualized_Investments!$B$2:$B$9991,$A81)</f>
        <v>0</v>
      </c>
    </row>
    <row r="82" spans="1:33">
      <c r="A82" t="s">
        <v>138</v>
      </c>
      <c r="C82">
        <f>SUMIFS(Annualized_Investments!C$2:C$9991,Annualized_Investments!$B$2:$B$9991,$A82)</f>
        <v>0</v>
      </c>
      <c r="D82">
        <f>SUMIFS(Annualized_Investments!D$2:D$9991,Annualized_Investments!$B$2:$B$9991,$A82)</f>
        <v>0</v>
      </c>
      <c r="E82">
        <f>SUMIFS(Annualized_Investments!E$2:E$9991,Annualized_Investments!$B$2:$B$9991,$A82)</f>
        <v>0.90358901309999995</v>
      </c>
      <c r="F82">
        <f>SUMIFS(Annualized_Investments!F$2:F$9991,Annualized_Investments!$B$2:$B$9991,$A82)</f>
        <v>69.548413795200005</v>
      </c>
      <c r="G82">
        <f>SUMIFS(Annualized_Investments!G$2:G$9991,Annualized_Investments!$B$2:$B$9991,$A82)</f>
        <v>71.190131796499998</v>
      </c>
      <c r="H82">
        <f>SUMIFS(Annualized_Investments!H$2:H$9991,Annualized_Investments!$B$2:$B$9991,$A82)</f>
        <v>79.908544706900003</v>
      </c>
      <c r="I82">
        <f>SUMIFS(Annualized_Investments!I$2:I$9991,Annualized_Investments!$B$2:$B$9991,$A82)</f>
        <v>286.51929548620001</v>
      </c>
      <c r="J82">
        <f>SUMIFS(Annualized_Investments!J$2:J$9991,Annualized_Investments!$B$2:$B$9991,$A82)</f>
        <v>286.51929548620001</v>
      </c>
      <c r="K82">
        <f>SUMIFS(Annualized_Investments!K$2:K$9991,Annualized_Investments!$B$2:$B$9991,$A82)</f>
        <v>286.51929548620001</v>
      </c>
      <c r="L82">
        <f>SUMIFS(Annualized_Investments!L$2:L$9991,Annualized_Investments!$B$2:$B$9991,$A82)</f>
        <v>286.51929548620001</v>
      </c>
      <c r="M82">
        <f>SUMIFS(Annualized_Investments!M$2:M$9991,Annualized_Investments!$B$2:$B$9991,$A82)</f>
        <v>286.51929548620001</v>
      </c>
      <c r="N82">
        <f>SUMIFS(Annualized_Investments!N$2:N$9991,Annualized_Investments!$B$2:$B$9991,$A82)</f>
        <v>286.51929548620001</v>
      </c>
      <c r="O82">
        <f>SUMIFS(Annualized_Investments!O$2:O$9991,Annualized_Investments!$B$2:$B$9991,$A82)</f>
        <v>286.51929548620001</v>
      </c>
      <c r="P82">
        <f>SUMIFS(Annualized_Investments!P$2:P$9991,Annualized_Investments!$B$2:$B$9991,$A82)</f>
        <v>286.51929548620001</v>
      </c>
      <c r="Q82">
        <f>SUMIFS(Annualized_Investments!Q$2:Q$9991,Annualized_Investments!$B$2:$B$9991,$A82)</f>
        <v>331.82663617959997</v>
      </c>
      <c r="R82">
        <f>SUMIFS(Annualized_Investments!R$2:R$9991,Annualized_Investments!$B$2:$B$9991,$A82)</f>
        <v>780.34264095809999</v>
      </c>
      <c r="S82">
        <f>SUMIFS(Annualized_Investments!S$2:S$9991,Annualized_Investments!$B$2:$B$9991,$A82)</f>
        <v>806.83977823500004</v>
      </c>
      <c r="T82">
        <f>SUMIFS(Annualized_Investments!T$2:T$9991,Annualized_Investments!$B$2:$B$9991,$A82)</f>
        <v>955.85870142680005</v>
      </c>
      <c r="U82">
        <f>SUMIFS(Annualized_Investments!U$2:U$9991,Annualized_Investments!$B$2:$B$9991,$A82)</f>
        <v>955.85870142680005</v>
      </c>
      <c r="V82">
        <f>SUMIFS(Annualized_Investments!V$2:V$9991,Annualized_Investments!$B$2:$B$9991,$A82)</f>
        <v>955.85870142680005</v>
      </c>
      <c r="W82">
        <f>SUMIFS(Annualized_Investments!W$2:W$9991,Annualized_Investments!$B$2:$B$9991,$A82)</f>
        <v>955.85870142680005</v>
      </c>
      <c r="X82">
        <f>SUMIFS(Annualized_Investments!X$2:X$9991,Annualized_Investments!$B$2:$B$9991,$A82)</f>
        <v>955.85870142680005</v>
      </c>
      <c r="Y82">
        <f>SUMIFS(Annualized_Investments!Y$2:Y$9991,Annualized_Investments!$B$2:$B$9991,$A82)</f>
        <v>955.85870142680005</v>
      </c>
      <c r="Z82">
        <f>SUMIFS(Annualized_Investments!Z$2:Z$9991,Annualized_Investments!$B$2:$B$9991,$A82)</f>
        <v>955.85870142680005</v>
      </c>
      <c r="AA82">
        <f>SUMIFS(Annualized_Investments!AA$2:AA$9991,Annualized_Investments!$B$2:$B$9991,$A82)</f>
        <v>955.85870142680005</v>
      </c>
      <c r="AB82">
        <f>SUMIFS(Annualized_Investments!AB$2:AB$9991,Annualized_Investments!$B$2:$B$9991,$A82)</f>
        <v>955.85870142680005</v>
      </c>
      <c r="AC82">
        <f>SUMIFS(Annualized_Investments!AC$2:AC$9991,Annualized_Investments!$B$2:$B$9991,$A82)</f>
        <v>955.85870142680005</v>
      </c>
      <c r="AD82">
        <f>SUMIFS(Annualized_Investments!AD$2:AD$9991,Annualized_Investments!$B$2:$B$9991,$A82)</f>
        <v>955.85870142680005</v>
      </c>
      <c r="AE82">
        <f>SUMIFS(Annualized_Investments!AE$2:AE$9991,Annualized_Investments!$B$2:$B$9991,$A82)</f>
        <v>955.85870142680005</v>
      </c>
      <c r="AF82">
        <f>SUMIFS(Annualized_Investments!AF$2:AF$9991,Annualized_Investments!$B$2:$B$9991,$A82)</f>
        <v>955.85870142680005</v>
      </c>
      <c r="AG82">
        <f>SUMIFS(Annualized_Investments!AG$2:AG$9991,Annualized_Investments!$B$2:$B$9991,$A82)</f>
        <v>955.85870142680005</v>
      </c>
    </row>
    <row r="83" spans="1:33">
      <c r="A83" t="s">
        <v>141</v>
      </c>
      <c r="C83">
        <f>SUMIFS(Annualized_Investments!C$2:C$9991,Annualized_Investments!$B$2:$B$9991,$A83)</f>
        <v>0</v>
      </c>
      <c r="D83">
        <f>SUMIFS(Annualized_Investments!D$2:D$9991,Annualized_Investments!$B$2:$B$9991,$A83)</f>
        <v>0</v>
      </c>
      <c r="E83">
        <f>SUMIFS(Annualized_Investments!E$2:E$9991,Annualized_Investments!$B$2:$B$9991,$A83)</f>
        <v>0</v>
      </c>
      <c r="F83">
        <f>SUMIFS(Annualized_Investments!F$2:F$9991,Annualized_Investments!$B$2:$B$9991,$A83)</f>
        <v>0</v>
      </c>
      <c r="G83">
        <f>SUMIFS(Annualized_Investments!G$2:G$9991,Annualized_Investments!$B$2:$B$9991,$A83)</f>
        <v>0</v>
      </c>
      <c r="H83">
        <f>SUMIFS(Annualized_Investments!H$2:H$9991,Annualized_Investments!$B$2:$B$9991,$A83)</f>
        <v>0</v>
      </c>
      <c r="I83">
        <f>SUMIFS(Annualized_Investments!I$2:I$9991,Annualized_Investments!$B$2:$B$9991,$A83)</f>
        <v>0</v>
      </c>
      <c r="J83">
        <f>SUMIFS(Annualized_Investments!J$2:J$9991,Annualized_Investments!$B$2:$B$9991,$A83)</f>
        <v>0</v>
      </c>
      <c r="K83">
        <f>SUMIFS(Annualized_Investments!K$2:K$9991,Annualized_Investments!$B$2:$B$9991,$A83)</f>
        <v>0</v>
      </c>
      <c r="L83">
        <f>SUMIFS(Annualized_Investments!L$2:L$9991,Annualized_Investments!$B$2:$B$9991,$A83)</f>
        <v>0</v>
      </c>
      <c r="M83">
        <f>SUMIFS(Annualized_Investments!M$2:M$9991,Annualized_Investments!$B$2:$B$9991,$A83)</f>
        <v>0</v>
      </c>
      <c r="N83">
        <f>SUMIFS(Annualized_Investments!N$2:N$9991,Annualized_Investments!$B$2:$B$9991,$A83)</f>
        <v>0</v>
      </c>
      <c r="O83">
        <f>SUMIFS(Annualized_Investments!O$2:O$9991,Annualized_Investments!$B$2:$B$9991,$A83)</f>
        <v>0</v>
      </c>
      <c r="P83">
        <f>SUMIFS(Annualized_Investments!P$2:P$9991,Annualized_Investments!$B$2:$B$9991,$A83)</f>
        <v>0</v>
      </c>
      <c r="Q83">
        <f>SUMIFS(Annualized_Investments!Q$2:Q$9991,Annualized_Investments!$B$2:$B$9991,$A83)</f>
        <v>0</v>
      </c>
      <c r="R83">
        <f>SUMIFS(Annualized_Investments!R$2:R$9991,Annualized_Investments!$B$2:$B$9991,$A83)</f>
        <v>0</v>
      </c>
      <c r="S83">
        <f>SUMIFS(Annualized_Investments!S$2:S$9991,Annualized_Investments!$B$2:$B$9991,$A83)</f>
        <v>0</v>
      </c>
      <c r="T83">
        <f>SUMIFS(Annualized_Investments!T$2:T$9991,Annualized_Investments!$B$2:$B$9991,$A83)</f>
        <v>0</v>
      </c>
      <c r="U83">
        <f>SUMIFS(Annualized_Investments!U$2:U$9991,Annualized_Investments!$B$2:$B$9991,$A83)</f>
        <v>0</v>
      </c>
      <c r="V83">
        <f>SUMIFS(Annualized_Investments!V$2:V$9991,Annualized_Investments!$B$2:$B$9991,$A83)</f>
        <v>0</v>
      </c>
      <c r="W83">
        <f>SUMIFS(Annualized_Investments!W$2:W$9991,Annualized_Investments!$B$2:$B$9991,$A83)</f>
        <v>0</v>
      </c>
      <c r="X83">
        <f>SUMIFS(Annualized_Investments!X$2:X$9991,Annualized_Investments!$B$2:$B$9991,$A83)</f>
        <v>0</v>
      </c>
      <c r="Y83">
        <f>SUMIFS(Annualized_Investments!Y$2:Y$9991,Annualized_Investments!$B$2:$B$9991,$A83)</f>
        <v>0</v>
      </c>
      <c r="Z83">
        <f>SUMIFS(Annualized_Investments!Z$2:Z$9991,Annualized_Investments!$B$2:$B$9991,$A83)</f>
        <v>0</v>
      </c>
      <c r="AA83">
        <f>SUMIFS(Annualized_Investments!AA$2:AA$9991,Annualized_Investments!$B$2:$B$9991,$A83)</f>
        <v>0</v>
      </c>
      <c r="AB83">
        <f>SUMIFS(Annualized_Investments!AB$2:AB$9991,Annualized_Investments!$B$2:$B$9991,$A83)</f>
        <v>0</v>
      </c>
      <c r="AC83">
        <f>SUMIFS(Annualized_Investments!AC$2:AC$9991,Annualized_Investments!$B$2:$B$9991,$A83)</f>
        <v>0</v>
      </c>
      <c r="AD83">
        <f>SUMIFS(Annualized_Investments!AD$2:AD$9991,Annualized_Investments!$B$2:$B$9991,$A83)</f>
        <v>0</v>
      </c>
      <c r="AE83">
        <f>SUMIFS(Annualized_Investments!AE$2:AE$9991,Annualized_Investments!$B$2:$B$9991,$A83)</f>
        <v>0</v>
      </c>
      <c r="AF83">
        <f>SUMIFS(Annualized_Investments!AF$2:AF$9991,Annualized_Investments!$B$2:$B$9991,$A83)</f>
        <v>0</v>
      </c>
      <c r="AG83">
        <f>SUMIFS(Annualized_Investments!AG$2:AG$9991,Annualized_Investments!$B$2:$B$9991,$A83)</f>
        <v>0</v>
      </c>
    </row>
    <row r="84" spans="1:33">
      <c r="A84" t="s">
        <v>142</v>
      </c>
      <c r="C84">
        <f>SUMIFS(Annualized_Investments!C$2:C$9991,Annualized_Investments!$B$2:$B$9991,$A84)</f>
        <v>0</v>
      </c>
      <c r="D84">
        <f>SUMIFS(Annualized_Investments!D$2:D$9991,Annualized_Investments!$B$2:$B$9991,$A84)</f>
        <v>107.780161326</v>
      </c>
      <c r="E84">
        <f>SUMIFS(Annualized_Investments!E$2:E$9991,Annualized_Investments!$B$2:$B$9991,$A84)</f>
        <v>222.16092839379999</v>
      </c>
      <c r="F84">
        <f>SUMIFS(Annualized_Investments!F$2:F$9991,Annualized_Investments!$B$2:$B$9991,$A84)</f>
        <v>222.16092839379999</v>
      </c>
      <c r="G84">
        <f>SUMIFS(Annualized_Investments!G$2:G$9991,Annualized_Investments!$B$2:$B$9991,$A84)</f>
        <v>311.35830328430001</v>
      </c>
      <c r="H84">
        <f>SUMIFS(Annualized_Investments!H$2:H$9991,Annualized_Investments!$B$2:$B$9991,$A84)</f>
        <v>311.35830328430001</v>
      </c>
      <c r="I84">
        <f>SUMIFS(Annualized_Investments!I$2:I$9991,Annualized_Investments!$B$2:$B$9991,$A84)</f>
        <v>311.35830328430001</v>
      </c>
      <c r="J84">
        <f>SUMIFS(Annualized_Investments!J$2:J$9991,Annualized_Investments!$B$2:$B$9991,$A84)</f>
        <v>531.27878958480005</v>
      </c>
      <c r="K84">
        <f>SUMIFS(Annualized_Investments!K$2:K$9991,Annualized_Investments!$B$2:$B$9991,$A84)</f>
        <v>750.36335457769997</v>
      </c>
      <c r="L84">
        <f>SUMIFS(Annualized_Investments!L$2:L$9991,Annualized_Investments!$B$2:$B$9991,$A84)</f>
        <v>968.40545903839995</v>
      </c>
      <c r="M84">
        <f>SUMIFS(Annualized_Investments!M$2:M$9991,Annualized_Investments!$B$2:$B$9991,$A84)</f>
        <v>1996.5529884835</v>
      </c>
      <c r="N84">
        <f>SUMIFS(Annualized_Investments!N$2:N$9991,Annualized_Investments!$B$2:$B$9991,$A84)</f>
        <v>1996.5529884835</v>
      </c>
      <c r="O84">
        <f>SUMIFS(Annualized_Investments!O$2:O$9991,Annualized_Investments!$B$2:$B$9991,$A84)</f>
        <v>1996.5529884835</v>
      </c>
      <c r="P84">
        <f>SUMIFS(Annualized_Investments!P$2:P$9991,Annualized_Investments!$B$2:$B$9991,$A84)</f>
        <v>1996.5529884835</v>
      </c>
      <c r="Q84">
        <f>SUMIFS(Annualized_Investments!Q$2:Q$9991,Annualized_Investments!$B$2:$B$9991,$A84)</f>
        <v>1996.5529884835</v>
      </c>
      <c r="R84">
        <f>SUMIFS(Annualized_Investments!R$2:R$9991,Annualized_Investments!$B$2:$B$9991,$A84)</f>
        <v>1996.5529884835</v>
      </c>
      <c r="S84">
        <f>SUMIFS(Annualized_Investments!S$2:S$9991,Annualized_Investments!$B$2:$B$9991,$A84)</f>
        <v>1996.5529884835</v>
      </c>
      <c r="T84">
        <f>SUMIFS(Annualized_Investments!T$2:T$9991,Annualized_Investments!$B$2:$B$9991,$A84)</f>
        <v>1996.5529884835</v>
      </c>
      <c r="U84">
        <f>SUMIFS(Annualized_Investments!U$2:U$9991,Annualized_Investments!$B$2:$B$9991,$A84)</f>
        <v>1996.5529884835</v>
      </c>
      <c r="V84">
        <f>SUMIFS(Annualized_Investments!V$2:V$9991,Annualized_Investments!$B$2:$B$9991,$A84)</f>
        <v>1996.5529884835</v>
      </c>
      <c r="W84">
        <f>SUMIFS(Annualized_Investments!W$2:W$9991,Annualized_Investments!$B$2:$B$9991,$A84)</f>
        <v>1996.5529884835</v>
      </c>
      <c r="X84">
        <f>SUMIFS(Annualized_Investments!X$2:X$9991,Annualized_Investments!$B$2:$B$9991,$A84)</f>
        <v>1996.5529884835</v>
      </c>
      <c r="Y84">
        <f>SUMIFS(Annualized_Investments!Y$2:Y$9991,Annualized_Investments!$B$2:$B$9991,$A84)</f>
        <v>1996.5529884835</v>
      </c>
      <c r="Z84">
        <f>SUMIFS(Annualized_Investments!Z$2:Z$9991,Annualized_Investments!$B$2:$B$9991,$A84)</f>
        <v>1996.5529884835</v>
      </c>
      <c r="AA84">
        <f>SUMIFS(Annualized_Investments!AA$2:AA$9991,Annualized_Investments!$B$2:$B$9991,$A84)</f>
        <v>1996.5529884835</v>
      </c>
      <c r="AB84">
        <f>SUMIFS(Annualized_Investments!AB$2:AB$9991,Annualized_Investments!$B$2:$B$9991,$A84)</f>
        <v>1996.5529884835</v>
      </c>
      <c r="AC84">
        <f>SUMIFS(Annualized_Investments!AC$2:AC$9991,Annualized_Investments!$B$2:$B$9991,$A84)</f>
        <v>1888.7728271574999</v>
      </c>
      <c r="AD84">
        <f>SUMIFS(Annualized_Investments!AD$2:AD$9991,Annualized_Investments!$B$2:$B$9991,$A84)</f>
        <v>1774.3920600895999</v>
      </c>
      <c r="AE84">
        <f>SUMIFS(Annualized_Investments!AE$2:AE$9991,Annualized_Investments!$B$2:$B$9991,$A84)</f>
        <v>1774.3920600895999</v>
      </c>
      <c r="AF84">
        <f>SUMIFS(Annualized_Investments!AF$2:AF$9991,Annualized_Investments!$B$2:$B$9991,$A84)</f>
        <v>1685.1946851992</v>
      </c>
      <c r="AG84">
        <f>SUMIFS(Annualized_Investments!AG$2:AG$9991,Annualized_Investments!$B$2:$B$9991,$A84)</f>
        <v>1685.1946851992</v>
      </c>
    </row>
    <row r="85" spans="1:33">
      <c r="A85" t="s">
        <v>143</v>
      </c>
      <c r="C85">
        <f>SUMIFS(Annualized_Investments!C$2:C$9991,Annualized_Investments!$B$2:$B$9991,$A85)</f>
        <v>0</v>
      </c>
      <c r="D85">
        <f>SUMIFS(Annualized_Investments!D$2:D$9991,Annualized_Investments!$B$2:$B$9991,$A85)</f>
        <v>0</v>
      </c>
      <c r="E85">
        <f>SUMIFS(Annualized_Investments!E$2:E$9991,Annualized_Investments!$B$2:$B$9991,$A85)</f>
        <v>0</v>
      </c>
      <c r="F85">
        <f>SUMIFS(Annualized_Investments!F$2:F$9991,Annualized_Investments!$B$2:$B$9991,$A85)</f>
        <v>0</v>
      </c>
      <c r="G85">
        <f>SUMIFS(Annualized_Investments!G$2:G$9991,Annualized_Investments!$B$2:$B$9991,$A85)</f>
        <v>0</v>
      </c>
      <c r="H85">
        <f>SUMIFS(Annualized_Investments!H$2:H$9991,Annualized_Investments!$B$2:$B$9991,$A85)</f>
        <v>0</v>
      </c>
      <c r="I85">
        <f>SUMIFS(Annualized_Investments!I$2:I$9991,Annualized_Investments!$B$2:$B$9991,$A85)</f>
        <v>0</v>
      </c>
      <c r="J85">
        <f>SUMIFS(Annualized_Investments!J$2:J$9991,Annualized_Investments!$B$2:$B$9991,$A85)</f>
        <v>0</v>
      </c>
      <c r="K85">
        <f>SUMIFS(Annualized_Investments!K$2:K$9991,Annualized_Investments!$B$2:$B$9991,$A85)</f>
        <v>0</v>
      </c>
      <c r="L85">
        <f>SUMIFS(Annualized_Investments!L$2:L$9991,Annualized_Investments!$B$2:$B$9991,$A85)</f>
        <v>0</v>
      </c>
      <c r="M85">
        <f>SUMIFS(Annualized_Investments!M$2:M$9991,Annualized_Investments!$B$2:$B$9991,$A85)</f>
        <v>0</v>
      </c>
      <c r="N85">
        <f>SUMIFS(Annualized_Investments!N$2:N$9991,Annualized_Investments!$B$2:$B$9991,$A85)</f>
        <v>0</v>
      </c>
      <c r="O85">
        <f>SUMIFS(Annualized_Investments!O$2:O$9991,Annualized_Investments!$B$2:$B$9991,$A85)</f>
        <v>0</v>
      </c>
      <c r="P85">
        <f>SUMIFS(Annualized_Investments!P$2:P$9991,Annualized_Investments!$B$2:$B$9991,$A85)</f>
        <v>0</v>
      </c>
      <c r="Q85">
        <f>SUMIFS(Annualized_Investments!Q$2:Q$9991,Annualized_Investments!$B$2:$B$9991,$A85)</f>
        <v>0</v>
      </c>
      <c r="R85">
        <f>SUMIFS(Annualized_Investments!R$2:R$9991,Annualized_Investments!$B$2:$B$9991,$A85)</f>
        <v>0</v>
      </c>
      <c r="S85">
        <f>SUMIFS(Annualized_Investments!S$2:S$9991,Annualized_Investments!$B$2:$B$9991,$A85)</f>
        <v>0</v>
      </c>
      <c r="T85">
        <f>SUMIFS(Annualized_Investments!T$2:T$9991,Annualized_Investments!$B$2:$B$9991,$A85)</f>
        <v>0</v>
      </c>
      <c r="U85">
        <f>SUMIFS(Annualized_Investments!U$2:U$9991,Annualized_Investments!$B$2:$B$9991,$A85)</f>
        <v>0</v>
      </c>
      <c r="V85">
        <f>SUMIFS(Annualized_Investments!V$2:V$9991,Annualized_Investments!$B$2:$B$9991,$A85)</f>
        <v>0</v>
      </c>
      <c r="W85">
        <f>SUMIFS(Annualized_Investments!W$2:W$9991,Annualized_Investments!$B$2:$B$9991,$A85)</f>
        <v>0</v>
      </c>
      <c r="X85">
        <f>SUMIFS(Annualized_Investments!X$2:X$9991,Annualized_Investments!$B$2:$B$9991,$A85)</f>
        <v>0</v>
      </c>
      <c r="Y85">
        <f>SUMIFS(Annualized_Investments!Y$2:Y$9991,Annualized_Investments!$B$2:$B$9991,$A85)</f>
        <v>0</v>
      </c>
      <c r="Z85">
        <f>SUMIFS(Annualized_Investments!Z$2:Z$9991,Annualized_Investments!$B$2:$B$9991,$A85)</f>
        <v>0</v>
      </c>
      <c r="AA85">
        <f>SUMIFS(Annualized_Investments!AA$2:AA$9991,Annualized_Investments!$B$2:$B$9991,$A85)</f>
        <v>0</v>
      </c>
      <c r="AB85">
        <f>SUMIFS(Annualized_Investments!AB$2:AB$9991,Annualized_Investments!$B$2:$B$9991,$A85)</f>
        <v>0</v>
      </c>
      <c r="AC85">
        <f>SUMIFS(Annualized_Investments!AC$2:AC$9991,Annualized_Investments!$B$2:$B$9991,$A85)</f>
        <v>0</v>
      </c>
      <c r="AD85">
        <f>SUMIFS(Annualized_Investments!AD$2:AD$9991,Annualized_Investments!$B$2:$B$9991,$A85)</f>
        <v>0</v>
      </c>
      <c r="AE85">
        <f>SUMIFS(Annualized_Investments!AE$2:AE$9991,Annualized_Investments!$B$2:$B$9991,$A85)</f>
        <v>0</v>
      </c>
      <c r="AF85">
        <f>SUMIFS(Annualized_Investments!AF$2:AF$9991,Annualized_Investments!$B$2:$B$9991,$A85)</f>
        <v>0</v>
      </c>
      <c r="AG85">
        <f>SUMIFS(Annualized_Investments!AG$2:AG$9991,Annualized_Investments!$B$2:$B$9991,$A85)</f>
        <v>0</v>
      </c>
    </row>
    <row r="86" spans="1:33">
      <c r="A86" t="s">
        <v>144</v>
      </c>
      <c r="C86">
        <f>SUMIFS(Annualized_Investments!C$2:C$9991,Annualized_Investments!$B$2:$B$9991,$A86)</f>
        <v>0</v>
      </c>
      <c r="D86">
        <f>SUMIFS(Annualized_Investments!D$2:D$9991,Annualized_Investments!$B$2:$B$9991,$A86)</f>
        <v>0</v>
      </c>
      <c r="E86">
        <f>SUMIFS(Annualized_Investments!E$2:E$9991,Annualized_Investments!$B$2:$B$9991,$A86)</f>
        <v>0</v>
      </c>
      <c r="F86">
        <f>SUMIFS(Annualized_Investments!F$2:F$9991,Annualized_Investments!$B$2:$B$9991,$A86)</f>
        <v>0</v>
      </c>
      <c r="G86">
        <f>SUMIFS(Annualized_Investments!G$2:G$9991,Annualized_Investments!$B$2:$B$9991,$A86)</f>
        <v>0</v>
      </c>
      <c r="H86">
        <f>SUMIFS(Annualized_Investments!H$2:H$9991,Annualized_Investments!$B$2:$B$9991,$A86)</f>
        <v>0</v>
      </c>
      <c r="I86">
        <f>SUMIFS(Annualized_Investments!I$2:I$9991,Annualized_Investments!$B$2:$B$9991,$A86)</f>
        <v>0</v>
      </c>
      <c r="J86">
        <f>SUMIFS(Annualized_Investments!J$2:J$9991,Annualized_Investments!$B$2:$B$9991,$A86)</f>
        <v>0</v>
      </c>
      <c r="K86">
        <f>SUMIFS(Annualized_Investments!K$2:K$9991,Annualized_Investments!$B$2:$B$9991,$A86)</f>
        <v>0</v>
      </c>
      <c r="L86">
        <f>SUMIFS(Annualized_Investments!L$2:L$9991,Annualized_Investments!$B$2:$B$9991,$A86)</f>
        <v>0</v>
      </c>
      <c r="M86">
        <f>SUMIFS(Annualized_Investments!M$2:M$9991,Annualized_Investments!$B$2:$B$9991,$A86)</f>
        <v>0</v>
      </c>
      <c r="N86">
        <f>SUMIFS(Annualized_Investments!N$2:N$9991,Annualized_Investments!$B$2:$B$9991,$A86)</f>
        <v>0</v>
      </c>
      <c r="O86">
        <f>SUMIFS(Annualized_Investments!O$2:O$9991,Annualized_Investments!$B$2:$B$9991,$A86)</f>
        <v>0</v>
      </c>
      <c r="P86">
        <f>SUMIFS(Annualized_Investments!P$2:P$9991,Annualized_Investments!$B$2:$B$9991,$A86)</f>
        <v>0</v>
      </c>
      <c r="Q86">
        <f>SUMIFS(Annualized_Investments!Q$2:Q$9991,Annualized_Investments!$B$2:$B$9991,$A86)</f>
        <v>0</v>
      </c>
      <c r="R86">
        <f>SUMIFS(Annualized_Investments!R$2:R$9991,Annualized_Investments!$B$2:$B$9991,$A86)</f>
        <v>0</v>
      </c>
      <c r="S86">
        <f>SUMIFS(Annualized_Investments!S$2:S$9991,Annualized_Investments!$B$2:$B$9991,$A86)</f>
        <v>0</v>
      </c>
      <c r="T86">
        <f>SUMIFS(Annualized_Investments!T$2:T$9991,Annualized_Investments!$B$2:$B$9991,$A86)</f>
        <v>0</v>
      </c>
      <c r="U86">
        <f>SUMIFS(Annualized_Investments!U$2:U$9991,Annualized_Investments!$B$2:$B$9991,$A86)</f>
        <v>0</v>
      </c>
      <c r="V86">
        <f>SUMIFS(Annualized_Investments!V$2:V$9991,Annualized_Investments!$B$2:$B$9991,$A86)</f>
        <v>0</v>
      </c>
      <c r="W86">
        <f>SUMIFS(Annualized_Investments!W$2:W$9991,Annualized_Investments!$B$2:$B$9991,$A86)</f>
        <v>0</v>
      </c>
      <c r="X86">
        <f>SUMIFS(Annualized_Investments!X$2:X$9991,Annualized_Investments!$B$2:$B$9991,$A86)</f>
        <v>0</v>
      </c>
      <c r="Y86">
        <f>SUMIFS(Annualized_Investments!Y$2:Y$9991,Annualized_Investments!$B$2:$B$9991,$A86)</f>
        <v>0</v>
      </c>
      <c r="Z86">
        <f>SUMIFS(Annualized_Investments!Z$2:Z$9991,Annualized_Investments!$B$2:$B$9991,$A86)</f>
        <v>0</v>
      </c>
      <c r="AA86">
        <f>SUMIFS(Annualized_Investments!AA$2:AA$9991,Annualized_Investments!$B$2:$B$9991,$A86)</f>
        <v>0</v>
      </c>
      <c r="AB86">
        <f>SUMIFS(Annualized_Investments!AB$2:AB$9991,Annualized_Investments!$B$2:$B$9991,$A86)</f>
        <v>0</v>
      </c>
      <c r="AC86">
        <f>SUMIFS(Annualized_Investments!AC$2:AC$9991,Annualized_Investments!$B$2:$B$9991,$A86)</f>
        <v>0</v>
      </c>
      <c r="AD86">
        <f>SUMIFS(Annualized_Investments!AD$2:AD$9991,Annualized_Investments!$B$2:$B$9991,$A86)</f>
        <v>0</v>
      </c>
      <c r="AE86">
        <f>SUMIFS(Annualized_Investments!AE$2:AE$9991,Annualized_Investments!$B$2:$B$9991,$A86)</f>
        <v>0</v>
      </c>
      <c r="AF86">
        <f>SUMIFS(Annualized_Investments!AF$2:AF$9991,Annualized_Investments!$B$2:$B$9991,$A86)</f>
        <v>0</v>
      </c>
      <c r="AG86">
        <f>SUMIFS(Annualized_Investments!AG$2:AG$9991,Annualized_Investments!$B$2:$B$9991,$A86)</f>
        <v>0</v>
      </c>
    </row>
    <row r="87" spans="1:33">
      <c r="A87" t="s">
        <v>145</v>
      </c>
      <c r="C87">
        <f>SUMIFS(Annualized_Investments!C$2:C$9991,Annualized_Investments!$B$2:$B$9991,$A87)</f>
        <v>210.6473130039</v>
      </c>
      <c r="D87">
        <f>SUMIFS(Annualized_Investments!D$2:D$9991,Annualized_Investments!$B$2:$B$9991,$A87)</f>
        <v>578.38260473260004</v>
      </c>
      <c r="E87">
        <f>SUMIFS(Annualized_Investments!E$2:E$9991,Annualized_Investments!$B$2:$B$9991,$A87)</f>
        <v>580.67143871919995</v>
      </c>
      <c r="F87">
        <f>SUMIFS(Annualized_Investments!F$2:F$9991,Annualized_Investments!$B$2:$B$9991,$A87)</f>
        <v>587.40838403819998</v>
      </c>
      <c r="G87">
        <f>SUMIFS(Annualized_Investments!G$2:G$9991,Annualized_Investments!$B$2:$B$9991,$A87)</f>
        <v>592.47548820980001</v>
      </c>
      <c r="H87">
        <f>SUMIFS(Annualized_Investments!H$2:H$9991,Annualized_Investments!$B$2:$B$9991,$A87)</f>
        <v>592.47548820980001</v>
      </c>
      <c r="I87">
        <f>SUMIFS(Annualized_Investments!I$2:I$9991,Annualized_Investments!$B$2:$B$9991,$A87)</f>
        <v>592.47548820980001</v>
      </c>
      <c r="J87">
        <f>SUMIFS(Annualized_Investments!J$2:J$9991,Annualized_Investments!$B$2:$B$9991,$A87)</f>
        <v>592.47548820980001</v>
      </c>
      <c r="K87">
        <f>SUMIFS(Annualized_Investments!K$2:K$9991,Annualized_Investments!$B$2:$B$9991,$A87)</f>
        <v>592.47548820980001</v>
      </c>
      <c r="L87">
        <f>SUMIFS(Annualized_Investments!L$2:L$9991,Annualized_Investments!$B$2:$B$9991,$A87)</f>
        <v>592.47548820980001</v>
      </c>
      <c r="M87">
        <f>SUMIFS(Annualized_Investments!M$2:M$9991,Annualized_Investments!$B$2:$B$9991,$A87)</f>
        <v>592.47548820980001</v>
      </c>
      <c r="N87">
        <f>SUMIFS(Annualized_Investments!N$2:N$9991,Annualized_Investments!$B$2:$B$9991,$A87)</f>
        <v>592.47548820980001</v>
      </c>
      <c r="O87">
        <f>SUMIFS(Annualized_Investments!O$2:O$9991,Annualized_Investments!$B$2:$B$9991,$A87)</f>
        <v>592.47548820980001</v>
      </c>
      <c r="P87">
        <f>SUMIFS(Annualized_Investments!P$2:P$9991,Annualized_Investments!$B$2:$B$9991,$A87)</f>
        <v>592.47548820980001</v>
      </c>
      <c r="Q87">
        <f>SUMIFS(Annualized_Investments!Q$2:Q$9991,Annualized_Investments!$B$2:$B$9991,$A87)</f>
        <v>592.47548820980001</v>
      </c>
      <c r="R87">
        <f>SUMIFS(Annualized_Investments!R$2:R$9991,Annualized_Investments!$B$2:$B$9991,$A87)</f>
        <v>592.47548820980001</v>
      </c>
      <c r="S87">
        <f>SUMIFS(Annualized_Investments!S$2:S$9991,Annualized_Investments!$B$2:$B$9991,$A87)</f>
        <v>592.47548820980001</v>
      </c>
      <c r="T87">
        <f>SUMIFS(Annualized_Investments!T$2:T$9991,Annualized_Investments!$B$2:$B$9991,$A87)</f>
        <v>592.47548820980001</v>
      </c>
      <c r="U87">
        <f>SUMIFS(Annualized_Investments!U$2:U$9991,Annualized_Investments!$B$2:$B$9991,$A87)</f>
        <v>592.47548820980001</v>
      </c>
      <c r="V87">
        <f>SUMIFS(Annualized_Investments!V$2:V$9991,Annualized_Investments!$B$2:$B$9991,$A87)</f>
        <v>592.47548820980001</v>
      </c>
      <c r="W87">
        <f>SUMIFS(Annualized_Investments!W$2:W$9991,Annualized_Investments!$B$2:$B$9991,$A87)</f>
        <v>592.47548820980001</v>
      </c>
      <c r="X87">
        <f>SUMIFS(Annualized_Investments!X$2:X$9991,Annualized_Investments!$B$2:$B$9991,$A87)</f>
        <v>592.47548820980001</v>
      </c>
      <c r="Y87">
        <f>SUMIFS(Annualized_Investments!Y$2:Y$9991,Annualized_Investments!$B$2:$B$9991,$A87)</f>
        <v>592.47548820980001</v>
      </c>
      <c r="Z87">
        <f>SUMIFS(Annualized_Investments!Z$2:Z$9991,Annualized_Investments!$B$2:$B$9991,$A87)</f>
        <v>592.47548820980001</v>
      </c>
      <c r="AA87">
        <f>SUMIFS(Annualized_Investments!AA$2:AA$9991,Annualized_Investments!$B$2:$B$9991,$A87)</f>
        <v>592.47548820980001</v>
      </c>
      <c r="AB87">
        <f>SUMIFS(Annualized_Investments!AB$2:AB$9991,Annualized_Investments!$B$2:$B$9991,$A87)</f>
        <v>592.47548820980001</v>
      </c>
      <c r="AC87">
        <f>SUMIFS(Annualized_Investments!AC$2:AC$9991,Annualized_Investments!$B$2:$B$9991,$A87)</f>
        <v>592.47548820980001</v>
      </c>
      <c r="AD87">
        <f>SUMIFS(Annualized_Investments!AD$2:AD$9991,Annualized_Investments!$B$2:$B$9991,$A87)</f>
        <v>592.47548820980001</v>
      </c>
      <c r="AE87">
        <f>SUMIFS(Annualized_Investments!AE$2:AE$9991,Annualized_Investments!$B$2:$B$9991,$A87)</f>
        <v>592.47548820980001</v>
      </c>
      <c r="AF87">
        <f>SUMIFS(Annualized_Investments!AF$2:AF$9991,Annualized_Investments!$B$2:$B$9991,$A87)</f>
        <v>592.47548820980001</v>
      </c>
      <c r="AG87">
        <f>SUMIFS(Annualized_Investments!AG$2:AG$9991,Annualized_Investments!$B$2:$B$9991,$A87)</f>
        <v>592.47548820980001</v>
      </c>
    </row>
    <row r="88" spans="1:33">
      <c r="A88" t="s">
        <v>146</v>
      </c>
      <c r="C88">
        <f>SUMIFS(Annualized_Investments!C$2:C$9991,Annualized_Investments!$B$2:$B$9991,$A88)</f>
        <v>0</v>
      </c>
      <c r="D88">
        <f>SUMIFS(Annualized_Investments!D$2:D$9991,Annualized_Investments!$B$2:$B$9991,$A88)</f>
        <v>0</v>
      </c>
      <c r="E88">
        <f>SUMIFS(Annualized_Investments!E$2:E$9991,Annualized_Investments!$B$2:$B$9991,$A88)</f>
        <v>0</v>
      </c>
      <c r="F88">
        <f>SUMIFS(Annualized_Investments!F$2:F$9991,Annualized_Investments!$B$2:$B$9991,$A88)</f>
        <v>0</v>
      </c>
      <c r="G88">
        <f>SUMIFS(Annualized_Investments!G$2:G$9991,Annualized_Investments!$B$2:$B$9991,$A88)</f>
        <v>0</v>
      </c>
      <c r="H88">
        <f>SUMIFS(Annualized_Investments!H$2:H$9991,Annualized_Investments!$B$2:$B$9991,$A88)</f>
        <v>71.357899912400001</v>
      </c>
      <c r="I88">
        <f>SUMIFS(Annualized_Investments!I$2:I$9991,Annualized_Investments!$B$2:$B$9991,$A88)</f>
        <v>71.357899912400001</v>
      </c>
      <c r="J88">
        <f>SUMIFS(Annualized_Investments!J$2:J$9991,Annualized_Investments!$B$2:$B$9991,$A88)</f>
        <v>71.357899912400001</v>
      </c>
      <c r="K88">
        <f>SUMIFS(Annualized_Investments!K$2:K$9991,Annualized_Investments!$B$2:$B$9991,$A88)</f>
        <v>71.357899912400001</v>
      </c>
      <c r="L88">
        <f>SUMIFS(Annualized_Investments!L$2:L$9991,Annualized_Investments!$B$2:$B$9991,$A88)</f>
        <v>71.357899912400001</v>
      </c>
      <c r="M88">
        <f>SUMIFS(Annualized_Investments!M$2:M$9991,Annualized_Investments!$B$2:$B$9991,$A88)</f>
        <v>71.357899912400001</v>
      </c>
      <c r="N88">
        <f>SUMIFS(Annualized_Investments!N$2:N$9991,Annualized_Investments!$B$2:$B$9991,$A88)</f>
        <v>71.357899912400001</v>
      </c>
      <c r="O88">
        <f>SUMIFS(Annualized_Investments!O$2:O$9991,Annualized_Investments!$B$2:$B$9991,$A88)</f>
        <v>71.357899912400001</v>
      </c>
      <c r="P88">
        <f>SUMIFS(Annualized_Investments!P$2:P$9991,Annualized_Investments!$B$2:$B$9991,$A88)</f>
        <v>71.357899912400001</v>
      </c>
      <c r="Q88">
        <f>SUMIFS(Annualized_Investments!Q$2:Q$9991,Annualized_Investments!$B$2:$B$9991,$A88)</f>
        <v>71.357899912400001</v>
      </c>
      <c r="R88">
        <f>SUMIFS(Annualized_Investments!R$2:R$9991,Annualized_Investments!$B$2:$B$9991,$A88)</f>
        <v>71.357899912400001</v>
      </c>
      <c r="S88">
        <f>SUMIFS(Annualized_Investments!S$2:S$9991,Annualized_Investments!$B$2:$B$9991,$A88)</f>
        <v>71.357899912400001</v>
      </c>
      <c r="T88">
        <f>SUMIFS(Annualized_Investments!T$2:T$9991,Annualized_Investments!$B$2:$B$9991,$A88)</f>
        <v>71.357899912400001</v>
      </c>
      <c r="U88">
        <f>SUMIFS(Annualized_Investments!U$2:U$9991,Annualized_Investments!$B$2:$B$9991,$A88)</f>
        <v>71.357899912400001</v>
      </c>
      <c r="V88">
        <f>SUMIFS(Annualized_Investments!V$2:V$9991,Annualized_Investments!$B$2:$B$9991,$A88)</f>
        <v>223.85145515619999</v>
      </c>
      <c r="W88">
        <f>SUMIFS(Annualized_Investments!W$2:W$9991,Annualized_Investments!$B$2:$B$9991,$A88)</f>
        <v>450.99133371480002</v>
      </c>
      <c r="X88">
        <f>SUMIFS(Annualized_Investments!X$2:X$9991,Annualized_Investments!$B$2:$B$9991,$A88)</f>
        <v>493.33597646700002</v>
      </c>
      <c r="Y88">
        <f>SUMIFS(Annualized_Investments!Y$2:Y$9991,Annualized_Investments!$B$2:$B$9991,$A88)</f>
        <v>539.75930433370002</v>
      </c>
      <c r="Z88">
        <f>SUMIFS(Annualized_Investments!Z$2:Z$9991,Annualized_Investments!$B$2:$B$9991,$A88)</f>
        <v>609.24537706180001</v>
      </c>
      <c r="AA88">
        <f>SUMIFS(Annualized_Investments!AA$2:AA$9991,Annualized_Investments!$B$2:$B$9991,$A88)</f>
        <v>654.91428434349996</v>
      </c>
      <c r="AB88">
        <f>SUMIFS(Annualized_Investments!AB$2:AB$9991,Annualized_Investments!$B$2:$B$9991,$A88)</f>
        <v>683.78508248410003</v>
      </c>
      <c r="AC88">
        <f>SUMIFS(Annualized_Investments!AC$2:AC$9991,Annualized_Investments!$B$2:$B$9991,$A88)</f>
        <v>750.29019245819995</v>
      </c>
      <c r="AD88">
        <f>SUMIFS(Annualized_Investments!AD$2:AD$9991,Annualized_Investments!$B$2:$B$9991,$A88)</f>
        <v>750.29019245819995</v>
      </c>
      <c r="AE88">
        <f>SUMIFS(Annualized_Investments!AE$2:AE$9991,Annualized_Investments!$B$2:$B$9991,$A88)</f>
        <v>750.29019245819995</v>
      </c>
      <c r="AF88">
        <f>SUMIFS(Annualized_Investments!AF$2:AF$9991,Annualized_Investments!$B$2:$B$9991,$A88)</f>
        <v>750.29019245819995</v>
      </c>
      <c r="AG88">
        <f>SUMIFS(Annualized_Investments!AG$2:AG$9991,Annualized_Investments!$B$2:$B$9991,$A88)</f>
        <v>815.7198523861</v>
      </c>
    </row>
    <row r="89" spans="1:33">
      <c r="A89" t="s">
        <v>147</v>
      </c>
      <c r="C89">
        <f>SUMIFS(Annualized_Investments!C$2:C$9991,Annualized_Investments!$B$2:$B$9991,$A89)</f>
        <v>0</v>
      </c>
      <c r="D89">
        <f>SUMIFS(Annualized_Investments!D$2:D$9991,Annualized_Investments!$B$2:$B$9991,$A89)</f>
        <v>0</v>
      </c>
      <c r="E89">
        <f>SUMIFS(Annualized_Investments!E$2:E$9991,Annualized_Investments!$B$2:$B$9991,$A89)</f>
        <v>0</v>
      </c>
      <c r="F89">
        <f>SUMIFS(Annualized_Investments!F$2:F$9991,Annualized_Investments!$B$2:$B$9991,$A89)</f>
        <v>0</v>
      </c>
      <c r="G89">
        <f>SUMIFS(Annualized_Investments!G$2:G$9991,Annualized_Investments!$B$2:$B$9991,$A89)</f>
        <v>0</v>
      </c>
      <c r="H89">
        <f>SUMIFS(Annualized_Investments!H$2:H$9991,Annualized_Investments!$B$2:$B$9991,$A89)</f>
        <v>0</v>
      </c>
      <c r="I89">
        <f>SUMIFS(Annualized_Investments!I$2:I$9991,Annualized_Investments!$B$2:$B$9991,$A89)</f>
        <v>0</v>
      </c>
      <c r="J89">
        <f>SUMIFS(Annualized_Investments!J$2:J$9991,Annualized_Investments!$B$2:$B$9991,$A89)</f>
        <v>0</v>
      </c>
      <c r="K89">
        <f>SUMIFS(Annualized_Investments!K$2:K$9991,Annualized_Investments!$B$2:$B$9991,$A89)</f>
        <v>0</v>
      </c>
      <c r="L89">
        <f>SUMIFS(Annualized_Investments!L$2:L$9991,Annualized_Investments!$B$2:$B$9991,$A89)</f>
        <v>0</v>
      </c>
      <c r="M89">
        <f>SUMIFS(Annualized_Investments!M$2:M$9991,Annualized_Investments!$B$2:$B$9991,$A89)</f>
        <v>0</v>
      </c>
      <c r="N89">
        <f>SUMIFS(Annualized_Investments!N$2:N$9991,Annualized_Investments!$B$2:$B$9991,$A89)</f>
        <v>0</v>
      </c>
      <c r="O89">
        <f>SUMIFS(Annualized_Investments!O$2:O$9991,Annualized_Investments!$B$2:$B$9991,$A89)</f>
        <v>0</v>
      </c>
      <c r="P89">
        <f>SUMIFS(Annualized_Investments!P$2:P$9991,Annualized_Investments!$B$2:$B$9991,$A89)</f>
        <v>0</v>
      </c>
      <c r="Q89">
        <f>SUMIFS(Annualized_Investments!Q$2:Q$9991,Annualized_Investments!$B$2:$B$9991,$A89)</f>
        <v>0</v>
      </c>
      <c r="R89">
        <f>SUMIFS(Annualized_Investments!R$2:R$9991,Annualized_Investments!$B$2:$B$9991,$A89)</f>
        <v>0</v>
      </c>
      <c r="S89">
        <f>SUMIFS(Annualized_Investments!S$2:S$9991,Annualized_Investments!$B$2:$B$9991,$A89)</f>
        <v>0</v>
      </c>
      <c r="T89">
        <f>SUMIFS(Annualized_Investments!T$2:T$9991,Annualized_Investments!$B$2:$B$9991,$A89)</f>
        <v>0</v>
      </c>
      <c r="U89">
        <f>SUMIFS(Annualized_Investments!U$2:U$9991,Annualized_Investments!$B$2:$B$9991,$A89)</f>
        <v>0</v>
      </c>
      <c r="V89">
        <f>SUMIFS(Annualized_Investments!V$2:V$9991,Annualized_Investments!$B$2:$B$9991,$A89)</f>
        <v>0</v>
      </c>
      <c r="W89">
        <f>SUMIFS(Annualized_Investments!W$2:W$9991,Annualized_Investments!$B$2:$B$9991,$A89)</f>
        <v>0</v>
      </c>
      <c r="X89">
        <f>SUMIFS(Annualized_Investments!X$2:X$9991,Annualized_Investments!$B$2:$B$9991,$A89)</f>
        <v>0</v>
      </c>
      <c r="Y89">
        <f>SUMIFS(Annualized_Investments!Y$2:Y$9991,Annualized_Investments!$B$2:$B$9991,$A89)</f>
        <v>0</v>
      </c>
      <c r="Z89">
        <f>SUMIFS(Annualized_Investments!Z$2:Z$9991,Annualized_Investments!$B$2:$B$9991,$A89)</f>
        <v>0</v>
      </c>
      <c r="AA89">
        <f>SUMIFS(Annualized_Investments!AA$2:AA$9991,Annualized_Investments!$B$2:$B$9991,$A89)</f>
        <v>0</v>
      </c>
      <c r="AB89">
        <f>SUMIFS(Annualized_Investments!AB$2:AB$9991,Annualized_Investments!$B$2:$B$9991,$A89)</f>
        <v>0</v>
      </c>
      <c r="AC89">
        <f>SUMIFS(Annualized_Investments!AC$2:AC$9991,Annualized_Investments!$B$2:$B$9991,$A89)</f>
        <v>0</v>
      </c>
      <c r="AD89">
        <f>SUMIFS(Annualized_Investments!AD$2:AD$9991,Annualized_Investments!$B$2:$B$9991,$A89)</f>
        <v>0</v>
      </c>
      <c r="AE89">
        <f>SUMIFS(Annualized_Investments!AE$2:AE$9991,Annualized_Investments!$B$2:$B$9991,$A89)</f>
        <v>0</v>
      </c>
      <c r="AF89">
        <f>SUMIFS(Annualized_Investments!AF$2:AF$9991,Annualized_Investments!$B$2:$B$9991,$A89)</f>
        <v>0</v>
      </c>
      <c r="AG89">
        <f>SUMIFS(Annualized_Investments!AG$2:AG$9991,Annualized_Investments!$B$2:$B$9991,$A89)</f>
        <v>0</v>
      </c>
    </row>
    <row r="90" spans="1:33">
      <c r="A90" t="s">
        <v>148</v>
      </c>
      <c r="C90">
        <f>SUMIFS(Annualized_Investments!C$2:C$9991,Annualized_Investments!$B$2:$B$9991,$A90)</f>
        <v>0</v>
      </c>
      <c r="D90">
        <f>SUMIFS(Annualized_Investments!D$2:D$9991,Annualized_Investments!$B$2:$B$9991,$A90)</f>
        <v>0</v>
      </c>
      <c r="E90">
        <f>SUMIFS(Annualized_Investments!E$2:E$9991,Annualized_Investments!$B$2:$B$9991,$A90)</f>
        <v>0</v>
      </c>
      <c r="F90">
        <f>SUMIFS(Annualized_Investments!F$2:F$9991,Annualized_Investments!$B$2:$B$9991,$A90)</f>
        <v>0</v>
      </c>
      <c r="G90">
        <f>SUMIFS(Annualized_Investments!G$2:G$9991,Annualized_Investments!$B$2:$B$9991,$A90)</f>
        <v>0</v>
      </c>
      <c r="H90">
        <f>SUMIFS(Annualized_Investments!H$2:H$9991,Annualized_Investments!$B$2:$B$9991,$A90)</f>
        <v>0</v>
      </c>
      <c r="I90">
        <f>SUMIFS(Annualized_Investments!I$2:I$9991,Annualized_Investments!$B$2:$B$9991,$A90)</f>
        <v>0</v>
      </c>
      <c r="J90">
        <f>SUMIFS(Annualized_Investments!J$2:J$9991,Annualized_Investments!$B$2:$B$9991,$A90)</f>
        <v>0</v>
      </c>
      <c r="K90">
        <f>SUMIFS(Annualized_Investments!K$2:K$9991,Annualized_Investments!$B$2:$B$9991,$A90)</f>
        <v>0</v>
      </c>
      <c r="L90">
        <f>SUMIFS(Annualized_Investments!L$2:L$9991,Annualized_Investments!$B$2:$B$9991,$A90)</f>
        <v>0</v>
      </c>
      <c r="M90">
        <f>SUMIFS(Annualized_Investments!M$2:M$9991,Annualized_Investments!$B$2:$B$9991,$A90)</f>
        <v>0</v>
      </c>
      <c r="N90">
        <f>SUMIFS(Annualized_Investments!N$2:N$9991,Annualized_Investments!$B$2:$B$9991,$A90)</f>
        <v>0</v>
      </c>
      <c r="O90">
        <f>SUMIFS(Annualized_Investments!O$2:O$9991,Annualized_Investments!$B$2:$B$9991,$A90)</f>
        <v>0</v>
      </c>
      <c r="P90">
        <f>SUMIFS(Annualized_Investments!P$2:P$9991,Annualized_Investments!$B$2:$B$9991,$A90)</f>
        <v>0</v>
      </c>
      <c r="Q90">
        <f>SUMIFS(Annualized_Investments!Q$2:Q$9991,Annualized_Investments!$B$2:$B$9991,$A90)</f>
        <v>0</v>
      </c>
      <c r="R90">
        <f>SUMIFS(Annualized_Investments!R$2:R$9991,Annualized_Investments!$B$2:$B$9991,$A90)</f>
        <v>0</v>
      </c>
      <c r="S90">
        <f>SUMIFS(Annualized_Investments!S$2:S$9991,Annualized_Investments!$B$2:$B$9991,$A90)</f>
        <v>0</v>
      </c>
      <c r="T90">
        <f>SUMIFS(Annualized_Investments!T$2:T$9991,Annualized_Investments!$B$2:$B$9991,$A90)</f>
        <v>0</v>
      </c>
      <c r="U90">
        <f>SUMIFS(Annualized_Investments!U$2:U$9991,Annualized_Investments!$B$2:$B$9991,$A90)</f>
        <v>0</v>
      </c>
      <c r="V90">
        <f>SUMIFS(Annualized_Investments!V$2:V$9991,Annualized_Investments!$B$2:$B$9991,$A90)</f>
        <v>0</v>
      </c>
      <c r="W90">
        <f>SUMIFS(Annualized_Investments!W$2:W$9991,Annualized_Investments!$B$2:$B$9991,$A90)</f>
        <v>0</v>
      </c>
      <c r="X90">
        <f>SUMIFS(Annualized_Investments!X$2:X$9991,Annualized_Investments!$B$2:$B$9991,$A90)</f>
        <v>0</v>
      </c>
      <c r="Y90">
        <f>SUMIFS(Annualized_Investments!Y$2:Y$9991,Annualized_Investments!$B$2:$B$9991,$A90)</f>
        <v>0</v>
      </c>
      <c r="Z90">
        <f>SUMIFS(Annualized_Investments!Z$2:Z$9991,Annualized_Investments!$B$2:$B$9991,$A90)</f>
        <v>0</v>
      </c>
      <c r="AA90">
        <f>SUMIFS(Annualized_Investments!AA$2:AA$9991,Annualized_Investments!$B$2:$B$9991,$A90)</f>
        <v>0</v>
      </c>
      <c r="AB90">
        <f>SUMIFS(Annualized_Investments!AB$2:AB$9991,Annualized_Investments!$B$2:$B$9991,$A90)</f>
        <v>0</v>
      </c>
      <c r="AC90">
        <f>SUMIFS(Annualized_Investments!AC$2:AC$9991,Annualized_Investments!$B$2:$B$9991,$A90)</f>
        <v>0</v>
      </c>
      <c r="AD90">
        <f>SUMIFS(Annualized_Investments!AD$2:AD$9991,Annualized_Investments!$B$2:$B$9991,$A90)</f>
        <v>0</v>
      </c>
      <c r="AE90">
        <f>SUMIFS(Annualized_Investments!AE$2:AE$9991,Annualized_Investments!$B$2:$B$9991,$A90)</f>
        <v>0</v>
      </c>
      <c r="AF90">
        <f>SUMIFS(Annualized_Investments!AF$2:AF$9991,Annualized_Investments!$B$2:$B$9991,$A90)</f>
        <v>0</v>
      </c>
      <c r="AG90">
        <f>SUMIFS(Annualized_Investments!AG$2:AG$9991,Annualized_Investments!$B$2:$B$9991,$A90)</f>
        <v>0</v>
      </c>
    </row>
    <row r="91" spans="1:33">
      <c r="A91" t="s">
        <v>149</v>
      </c>
      <c r="C91">
        <f>SUMIFS(Annualized_Investments!C$2:C$9991,Annualized_Investments!$B$2:$B$9991,$A91)</f>
        <v>0</v>
      </c>
      <c r="D91">
        <f>SUMIFS(Annualized_Investments!D$2:D$9991,Annualized_Investments!$B$2:$B$9991,$A91)</f>
        <v>0</v>
      </c>
      <c r="E91">
        <f>SUMIFS(Annualized_Investments!E$2:E$9991,Annualized_Investments!$B$2:$B$9991,$A91)</f>
        <v>0</v>
      </c>
      <c r="F91">
        <f>SUMIFS(Annualized_Investments!F$2:F$9991,Annualized_Investments!$B$2:$B$9991,$A91)</f>
        <v>0</v>
      </c>
      <c r="G91">
        <f>SUMIFS(Annualized_Investments!G$2:G$9991,Annualized_Investments!$B$2:$B$9991,$A91)</f>
        <v>0</v>
      </c>
      <c r="H91">
        <f>SUMIFS(Annualized_Investments!H$2:H$9991,Annualized_Investments!$B$2:$B$9991,$A91)</f>
        <v>0</v>
      </c>
      <c r="I91">
        <f>SUMIFS(Annualized_Investments!I$2:I$9991,Annualized_Investments!$B$2:$B$9991,$A91)</f>
        <v>0</v>
      </c>
      <c r="J91">
        <f>SUMIFS(Annualized_Investments!J$2:J$9991,Annualized_Investments!$B$2:$B$9991,$A91)</f>
        <v>0</v>
      </c>
      <c r="K91">
        <f>SUMIFS(Annualized_Investments!K$2:K$9991,Annualized_Investments!$B$2:$B$9991,$A91)</f>
        <v>0</v>
      </c>
      <c r="L91">
        <f>SUMIFS(Annualized_Investments!L$2:L$9991,Annualized_Investments!$B$2:$B$9991,$A91)</f>
        <v>0</v>
      </c>
      <c r="M91">
        <f>SUMIFS(Annualized_Investments!M$2:M$9991,Annualized_Investments!$B$2:$B$9991,$A91)</f>
        <v>0</v>
      </c>
      <c r="N91">
        <f>SUMIFS(Annualized_Investments!N$2:N$9991,Annualized_Investments!$B$2:$B$9991,$A91)</f>
        <v>0</v>
      </c>
      <c r="O91">
        <f>SUMIFS(Annualized_Investments!O$2:O$9991,Annualized_Investments!$B$2:$B$9991,$A91)</f>
        <v>0</v>
      </c>
      <c r="P91">
        <f>SUMIFS(Annualized_Investments!P$2:P$9991,Annualized_Investments!$B$2:$B$9991,$A91)</f>
        <v>0</v>
      </c>
      <c r="Q91">
        <f>SUMIFS(Annualized_Investments!Q$2:Q$9991,Annualized_Investments!$B$2:$B$9991,$A91)</f>
        <v>0</v>
      </c>
      <c r="R91">
        <f>SUMIFS(Annualized_Investments!R$2:R$9991,Annualized_Investments!$B$2:$B$9991,$A91)</f>
        <v>0</v>
      </c>
      <c r="S91">
        <f>SUMIFS(Annualized_Investments!S$2:S$9991,Annualized_Investments!$B$2:$B$9991,$A91)</f>
        <v>106.3238204628</v>
      </c>
      <c r="T91">
        <f>SUMIFS(Annualized_Investments!T$2:T$9991,Annualized_Investments!$B$2:$B$9991,$A91)</f>
        <v>558.57954869340006</v>
      </c>
      <c r="U91">
        <f>SUMIFS(Annualized_Investments!U$2:U$9991,Annualized_Investments!$B$2:$B$9991,$A91)</f>
        <v>1104.0658733519999</v>
      </c>
      <c r="V91">
        <f>SUMIFS(Annualized_Investments!V$2:V$9991,Annualized_Investments!$B$2:$B$9991,$A91)</f>
        <v>1409.7263328040001</v>
      </c>
      <c r="W91">
        <f>SUMIFS(Annualized_Investments!W$2:W$9991,Annualized_Investments!$B$2:$B$9991,$A91)</f>
        <v>1636.2561690909999</v>
      </c>
      <c r="X91">
        <f>SUMIFS(Annualized_Investments!X$2:X$9991,Annualized_Investments!$B$2:$B$9991,$A91)</f>
        <v>1795.7481309953</v>
      </c>
      <c r="Y91">
        <f>SUMIFS(Annualized_Investments!Y$2:Y$9991,Annualized_Investments!$B$2:$B$9991,$A91)</f>
        <v>1966.1464665640999</v>
      </c>
      <c r="Z91">
        <f>SUMIFS(Annualized_Investments!Z$2:Z$9991,Annualized_Investments!$B$2:$B$9991,$A91)</f>
        <v>2081.5179538469001</v>
      </c>
      <c r="AA91">
        <f>SUMIFS(Annualized_Investments!AA$2:AA$9991,Annualized_Investments!$B$2:$B$9991,$A91)</f>
        <v>2253.9601716249999</v>
      </c>
      <c r="AB91">
        <f>SUMIFS(Annualized_Investments!AB$2:AB$9991,Annualized_Investments!$B$2:$B$9991,$A91)</f>
        <v>2475.8748421178002</v>
      </c>
      <c r="AC91">
        <f>SUMIFS(Annualized_Investments!AC$2:AC$9991,Annualized_Investments!$B$2:$B$9991,$A91)</f>
        <v>2864.8021351143998</v>
      </c>
      <c r="AD91">
        <f>SUMIFS(Annualized_Investments!AD$2:AD$9991,Annualized_Investments!$B$2:$B$9991,$A91)</f>
        <v>3304.1084929722001</v>
      </c>
      <c r="AE91">
        <f>SUMIFS(Annualized_Investments!AE$2:AE$9991,Annualized_Investments!$B$2:$B$9991,$A91)</f>
        <v>3595.8298384674999</v>
      </c>
      <c r="AF91">
        <f>SUMIFS(Annualized_Investments!AF$2:AF$9991,Annualized_Investments!$B$2:$B$9991,$A91)</f>
        <v>4001.5823145477998</v>
      </c>
      <c r="AG91">
        <f>SUMIFS(Annualized_Investments!AG$2:AG$9991,Annualized_Investments!$B$2:$B$9991,$A91)</f>
        <v>4259.8242408494998</v>
      </c>
    </row>
    <row r="92" spans="1:33">
      <c r="A92" t="s">
        <v>150</v>
      </c>
      <c r="C92">
        <f>SUMIFS(Annualized_Investments!C$2:C$9991,Annualized_Investments!$B$2:$B$9991,$A92)</f>
        <v>0</v>
      </c>
      <c r="D92">
        <f>SUMIFS(Annualized_Investments!D$2:D$9991,Annualized_Investments!$B$2:$B$9991,$A92)</f>
        <v>17.8767600929</v>
      </c>
      <c r="E92">
        <f>SUMIFS(Annualized_Investments!E$2:E$9991,Annualized_Investments!$B$2:$B$9991,$A92)</f>
        <v>35.182746503700002</v>
      </c>
      <c r="F92">
        <f>SUMIFS(Annualized_Investments!F$2:F$9991,Annualized_Investments!$B$2:$B$9991,$A92)</f>
        <v>43.737239445599997</v>
      </c>
      <c r="G92">
        <f>SUMIFS(Annualized_Investments!G$2:G$9991,Annualized_Investments!$B$2:$B$9991,$A92)</f>
        <v>96.293446186699995</v>
      </c>
      <c r="H92">
        <f>SUMIFS(Annualized_Investments!H$2:H$9991,Annualized_Investments!$B$2:$B$9991,$A92)</f>
        <v>110.19144367200001</v>
      </c>
      <c r="I92">
        <f>SUMIFS(Annualized_Investments!I$2:I$9991,Annualized_Investments!$B$2:$B$9991,$A92)</f>
        <v>110.19144367200001</v>
      </c>
      <c r="J92">
        <f>SUMIFS(Annualized_Investments!J$2:J$9991,Annualized_Investments!$B$2:$B$9991,$A92)</f>
        <v>110.19144367200001</v>
      </c>
      <c r="K92">
        <f>SUMIFS(Annualized_Investments!K$2:K$9991,Annualized_Investments!$B$2:$B$9991,$A92)</f>
        <v>110.19144367200001</v>
      </c>
      <c r="L92">
        <f>SUMIFS(Annualized_Investments!L$2:L$9991,Annualized_Investments!$B$2:$B$9991,$A92)</f>
        <v>110.19144367200001</v>
      </c>
      <c r="M92">
        <f>SUMIFS(Annualized_Investments!M$2:M$9991,Annualized_Investments!$B$2:$B$9991,$A92)</f>
        <v>110.19144367200001</v>
      </c>
      <c r="N92">
        <f>SUMIFS(Annualized_Investments!N$2:N$9991,Annualized_Investments!$B$2:$B$9991,$A92)</f>
        <v>110.19144367200001</v>
      </c>
      <c r="O92">
        <f>SUMIFS(Annualized_Investments!O$2:O$9991,Annualized_Investments!$B$2:$B$9991,$A92)</f>
        <v>110.19144367200001</v>
      </c>
      <c r="P92">
        <f>SUMIFS(Annualized_Investments!P$2:P$9991,Annualized_Investments!$B$2:$B$9991,$A92)</f>
        <v>110.19144367200001</v>
      </c>
      <c r="Q92">
        <f>SUMIFS(Annualized_Investments!Q$2:Q$9991,Annualized_Investments!$B$2:$B$9991,$A92)</f>
        <v>377.0503350043</v>
      </c>
      <c r="R92">
        <f>SUMIFS(Annualized_Investments!R$2:R$9991,Annualized_Investments!$B$2:$B$9991,$A92)</f>
        <v>377.0503350043</v>
      </c>
      <c r="S92">
        <f>SUMIFS(Annualized_Investments!S$2:S$9991,Annualized_Investments!$B$2:$B$9991,$A92)</f>
        <v>559.70048437089997</v>
      </c>
      <c r="T92">
        <f>SUMIFS(Annualized_Investments!T$2:T$9991,Annualized_Investments!$B$2:$B$9991,$A92)</f>
        <v>559.70048437089997</v>
      </c>
      <c r="U92">
        <f>SUMIFS(Annualized_Investments!U$2:U$9991,Annualized_Investments!$B$2:$B$9991,$A92)</f>
        <v>559.70048437089997</v>
      </c>
      <c r="V92">
        <f>SUMIFS(Annualized_Investments!V$2:V$9991,Annualized_Investments!$B$2:$B$9991,$A92)</f>
        <v>559.70048437089997</v>
      </c>
      <c r="W92">
        <f>SUMIFS(Annualized_Investments!W$2:W$9991,Annualized_Investments!$B$2:$B$9991,$A92)</f>
        <v>559.70048437089997</v>
      </c>
      <c r="X92">
        <f>SUMIFS(Annualized_Investments!X$2:X$9991,Annualized_Investments!$B$2:$B$9991,$A92)</f>
        <v>559.70048437089997</v>
      </c>
      <c r="Y92">
        <f>SUMIFS(Annualized_Investments!Y$2:Y$9991,Annualized_Investments!$B$2:$B$9991,$A92)</f>
        <v>559.70048437089997</v>
      </c>
      <c r="Z92">
        <f>SUMIFS(Annualized_Investments!Z$2:Z$9991,Annualized_Investments!$B$2:$B$9991,$A92)</f>
        <v>574.23525486580002</v>
      </c>
      <c r="AA92">
        <f>SUMIFS(Annualized_Investments!AA$2:AA$9991,Annualized_Investments!$B$2:$B$9991,$A92)</f>
        <v>574.23525486580002</v>
      </c>
      <c r="AB92">
        <f>SUMIFS(Annualized_Investments!AB$2:AB$9991,Annualized_Investments!$B$2:$B$9991,$A92)</f>
        <v>574.23525486580002</v>
      </c>
      <c r="AC92">
        <f>SUMIFS(Annualized_Investments!AC$2:AC$9991,Annualized_Investments!$B$2:$B$9991,$A92)</f>
        <v>574.23525486580002</v>
      </c>
      <c r="AD92">
        <f>SUMIFS(Annualized_Investments!AD$2:AD$9991,Annualized_Investments!$B$2:$B$9991,$A92)</f>
        <v>574.23525486580002</v>
      </c>
      <c r="AE92">
        <f>SUMIFS(Annualized_Investments!AE$2:AE$9991,Annualized_Investments!$B$2:$B$9991,$A92)</f>
        <v>625.38534076300004</v>
      </c>
      <c r="AF92">
        <f>SUMIFS(Annualized_Investments!AF$2:AF$9991,Annualized_Investments!$B$2:$B$9991,$A92)</f>
        <v>629.995418255</v>
      </c>
      <c r="AG92">
        <f>SUMIFS(Annualized_Investments!AG$2:AG$9991,Annualized_Investments!$B$2:$B$9991,$A92)</f>
        <v>836.04598756079997</v>
      </c>
    </row>
    <row r="93" spans="1:33">
      <c r="A93" t="s">
        <v>151</v>
      </c>
      <c r="C93">
        <f>SUMIFS(Annualized_Investments!C$2:C$9991,Annualized_Investments!$B$2:$B$9991,$A93)</f>
        <v>0</v>
      </c>
      <c r="D93">
        <f>SUMIFS(Annualized_Investments!D$2:D$9991,Annualized_Investments!$B$2:$B$9991,$A93)</f>
        <v>0</v>
      </c>
      <c r="E93">
        <f>SUMIFS(Annualized_Investments!E$2:E$9991,Annualized_Investments!$B$2:$B$9991,$A93)</f>
        <v>0</v>
      </c>
      <c r="F93">
        <f>SUMIFS(Annualized_Investments!F$2:F$9991,Annualized_Investments!$B$2:$B$9991,$A93)</f>
        <v>0</v>
      </c>
      <c r="G93">
        <f>SUMIFS(Annualized_Investments!G$2:G$9991,Annualized_Investments!$B$2:$B$9991,$A93)</f>
        <v>0</v>
      </c>
      <c r="H93">
        <f>SUMIFS(Annualized_Investments!H$2:H$9991,Annualized_Investments!$B$2:$B$9991,$A93)</f>
        <v>0</v>
      </c>
      <c r="I93">
        <f>SUMIFS(Annualized_Investments!I$2:I$9991,Annualized_Investments!$B$2:$B$9991,$A93)</f>
        <v>0</v>
      </c>
      <c r="J93">
        <f>SUMIFS(Annualized_Investments!J$2:J$9991,Annualized_Investments!$B$2:$B$9991,$A93)</f>
        <v>0</v>
      </c>
      <c r="K93">
        <f>SUMIFS(Annualized_Investments!K$2:K$9991,Annualized_Investments!$B$2:$B$9991,$A93)</f>
        <v>0</v>
      </c>
      <c r="L93">
        <f>SUMIFS(Annualized_Investments!L$2:L$9991,Annualized_Investments!$B$2:$B$9991,$A93)</f>
        <v>0</v>
      </c>
      <c r="M93">
        <f>SUMIFS(Annualized_Investments!M$2:M$9991,Annualized_Investments!$B$2:$B$9991,$A93)</f>
        <v>0</v>
      </c>
      <c r="N93">
        <f>SUMIFS(Annualized_Investments!N$2:N$9991,Annualized_Investments!$B$2:$B$9991,$A93)</f>
        <v>0</v>
      </c>
      <c r="O93">
        <f>SUMIFS(Annualized_Investments!O$2:O$9991,Annualized_Investments!$B$2:$B$9991,$A93)</f>
        <v>0</v>
      </c>
      <c r="P93">
        <f>SUMIFS(Annualized_Investments!P$2:P$9991,Annualized_Investments!$B$2:$B$9991,$A93)</f>
        <v>0</v>
      </c>
      <c r="Q93">
        <f>SUMIFS(Annualized_Investments!Q$2:Q$9991,Annualized_Investments!$B$2:$B$9991,$A93)</f>
        <v>0</v>
      </c>
      <c r="R93">
        <f>SUMIFS(Annualized_Investments!R$2:R$9991,Annualized_Investments!$B$2:$B$9991,$A93)</f>
        <v>0</v>
      </c>
      <c r="S93">
        <f>SUMIFS(Annualized_Investments!S$2:S$9991,Annualized_Investments!$B$2:$B$9991,$A93)</f>
        <v>0</v>
      </c>
      <c r="T93">
        <f>SUMIFS(Annualized_Investments!T$2:T$9991,Annualized_Investments!$B$2:$B$9991,$A93)</f>
        <v>0</v>
      </c>
      <c r="U93">
        <f>SUMIFS(Annualized_Investments!U$2:U$9991,Annualized_Investments!$B$2:$B$9991,$A93)</f>
        <v>0</v>
      </c>
      <c r="V93">
        <f>SUMIFS(Annualized_Investments!V$2:V$9991,Annualized_Investments!$B$2:$B$9991,$A93)</f>
        <v>0</v>
      </c>
      <c r="W93">
        <f>SUMIFS(Annualized_Investments!W$2:W$9991,Annualized_Investments!$B$2:$B$9991,$A93)</f>
        <v>0</v>
      </c>
      <c r="X93">
        <f>SUMIFS(Annualized_Investments!X$2:X$9991,Annualized_Investments!$B$2:$B$9991,$A93)</f>
        <v>0</v>
      </c>
      <c r="Y93">
        <f>SUMIFS(Annualized_Investments!Y$2:Y$9991,Annualized_Investments!$B$2:$B$9991,$A93)</f>
        <v>0</v>
      </c>
      <c r="Z93">
        <f>SUMIFS(Annualized_Investments!Z$2:Z$9991,Annualized_Investments!$B$2:$B$9991,$A93)</f>
        <v>0</v>
      </c>
      <c r="AA93">
        <f>SUMIFS(Annualized_Investments!AA$2:AA$9991,Annualized_Investments!$B$2:$B$9991,$A93)</f>
        <v>0</v>
      </c>
      <c r="AB93">
        <f>SUMIFS(Annualized_Investments!AB$2:AB$9991,Annualized_Investments!$B$2:$B$9991,$A93)</f>
        <v>0</v>
      </c>
      <c r="AC93">
        <f>SUMIFS(Annualized_Investments!AC$2:AC$9991,Annualized_Investments!$B$2:$B$9991,$A93)</f>
        <v>0</v>
      </c>
      <c r="AD93">
        <f>SUMIFS(Annualized_Investments!AD$2:AD$9991,Annualized_Investments!$B$2:$B$9991,$A93)</f>
        <v>0</v>
      </c>
      <c r="AE93">
        <f>SUMIFS(Annualized_Investments!AE$2:AE$9991,Annualized_Investments!$B$2:$B$9991,$A93)</f>
        <v>0</v>
      </c>
      <c r="AF93">
        <f>SUMIFS(Annualized_Investments!AF$2:AF$9991,Annualized_Investments!$B$2:$B$9991,$A93)</f>
        <v>0</v>
      </c>
      <c r="AG93">
        <f>SUMIFS(Annualized_Investments!AG$2:AG$9991,Annualized_Investments!$B$2:$B$9991,$A93)</f>
        <v>0</v>
      </c>
    </row>
    <row r="94" spans="1:33">
      <c r="A94" t="s">
        <v>152</v>
      </c>
      <c r="C94">
        <f>SUMIFS(Annualized_Investments!C$2:C$9991,Annualized_Investments!$B$2:$B$9991,$A94)</f>
        <v>24.191247073500001</v>
      </c>
      <c r="D94">
        <f>SUMIFS(Annualized_Investments!D$2:D$9991,Annualized_Investments!$B$2:$B$9991,$A94)</f>
        <v>39.447849884599997</v>
      </c>
      <c r="E94">
        <f>SUMIFS(Annualized_Investments!E$2:E$9991,Annualized_Investments!$B$2:$B$9991,$A94)</f>
        <v>39.447849884599997</v>
      </c>
      <c r="F94">
        <f>SUMIFS(Annualized_Investments!F$2:F$9991,Annualized_Investments!$B$2:$B$9991,$A94)</f>
        <v>41.740986002900001</v>
      </c>
      <c r="G94">
        <f>SUMIFS(Annualized_Investments!G$2:G$9991,Annualized_Investments!$B$2:$B$9991,$A94)</f>
        <v>41.740986002900001</v>
      </c>
      <c r="H94">
        <f>SUMIFS(Annualized_Investments!H$2:H$9991,Annualized_Investments!$B$2:$B$9991,$A94)</f>
        <v>41.740986002900001</v>
      </c>
      <c r="I94">
        <f>SUMIFS(Annualized_Investments!I$2:I$9991,Annualized_Investments!$B$2:$B$9991,$A94)</f>
        <v>41.740986002900001</v>
      </c>
      <c r="J94">
        <f>SUMIFS(Annualized_Investments!J$2:J$9991,Annualized_Investments!$B$2:$B$9991,$A94)</f>
        <v>41.740986002900001</v>
      </c>
      <c r="K94">
        <f>SUMIFS(Annualized_Investments!K$2:K$9991,Annualized_Investments!$B$2:$B$9991,$A94)</f>
        <v>41.740986002900001</v>
      </c>
      <c r="L94">
        <f>SUMIFS(Annualized_Investments!L$2:L$9991,Annualized_Investments!$B$2:$B$9991,$A94)</f>
        <v>41.740986002900001</v>
      </c>
      <c r="M94">
        <f>SUMIFS(Annualized_Investments!M$2:M$9991,Annualized_Investments!$B$2:$B$9991,$A94)</f>
        <v>41.740986002900001</v>
      </c>
      <c r="N94">
        <f>SUMIFS(Annualized_Investments!N$2:N$9991,Annualized_Investments!$B$2:$B$9991,$A94)</f>
        <v>41.740986002900001</v>
      </c>
      <c r="O94">
        <f>SUMIFS(Annualized_Investments!O$2:O$9991,Annualized_Investments!$B$2:$B$9991,$A94)</f>
        <v>41.740986002900001</v>
      </c>
      <c r="P94">
        <f>SUMIFS(Annualized_Investments!P$2:P$9991,Annualized_Investments!$B$2:$B$9991,$A94)</f>
        <v>41.740986002900001</v>
      </c>
      <c r="Q94">
        <f>SUMIFS(Annualized_Investments!Q$2:Q$9991,Annualized_Investments!$B$2:$B$9991,$A94)</f>
        <v>41.740986002900001</v>
      </c>
      <c r="R94">
        <f>SUMIFS(Annualized_Investments!R$2:R$9991,Annualized_Investments!$B$2:$B$9991,$A94)</f>
        <v>41.740986002900001</v>
      </c>
      <c r="S94">
        <f>SUMIFS(Annualized_Investments!S$2:S$9991,Annualized_Investments!$B$2:$B$9991,$A94)</f>
        <v>41.740986002900001</v>
      </c>
      <c r="T94">
        <f>SUMIFS(Annualized_Investments!T$2:T$9991,Annualized_Investments!$B$2:$B$9991,$A94)</f>
        <v>41.740986002900001</v>
      </c>
      <c r="U94">
        <f>SUMIFS(Annualized_Investments!U$2:U$9991,Annualized_Investments!$B$2:$B$9991,$A94)</f>
        <v>41.740986002900001</v>
      </c>
      <c r="V94">
        <f>SUMIFS(Annualized_Investments!V$2:V$9991,Annualized_Investments!$B$2:$B$9991,$A94)</f>
        <v>41.740986002900001</v>
      </c>
      <c r="W94">
        <f>SUMIFS(Annualized_Investments!W$2:W$9991,Annualized_Investments!$B$2:$B$9991,$A94)</f>
        <v>41.740986002900001</v>
      </c>
      <c r="X94">
        <f>SUMIFS(Annualized_Investments!X$2:X$9991,Annualized_Investments!$B$2:$B$9991,$A94)</f>
        <v>41.740986002900001</v>
      </c>
      <c r="Y94">
        <f>SUMIFS(Annualized_Investments!Y$2:Y$9991,Annualized_Investments!$B$2:$B$9991,$A94)</f>
        <v>41.740986002900001</v>
      </c>
      <c r="Z94">
        <f>SUMIFS(Annualized_Investments!Z$2:Z$9991,Annualized_Investments!$B$2:$B$9991,$A94)</f>
        <v>41.740986002900001</v>
      </c>
      <c r="AA94">
        <f>SUMIFS(Annualized_Investments!AA$2:AA$9991,Annualized_Investments!$B$2:$B$9991,$A94)</f>
        <v>41.740986002900001</v>
      </c>
      <c r="AB94">
        <f>SUMIFS(Annualized_Investments!AB$2:AB$9991,Annualized_Investments!$B$2:$B$9991,$A94)</f>
        <v>17.5497389294</v>
      </c>
      <c r="AC94">
        <f>SUMIFS(Annualized_Investments!AC$2:AC$9991,Annualized_Investments!$B$2:$B$9991,$A94)</f>
        <v>2.2931361183000001</v>
      </c>
      <c r="AD94">
        <f>SUMIFS(Annualized_Investments!AD$2:AD$9991,Annualized_Investments!$B$2:$B$9991,$A94)</f>
        <v>2.2931361183000001</v>
      </c>
      <c r="AE94">
        <f>SUMIFS(Annualized_Investments!AE$2:AE$9991,Annualized_Investments!$B$2:$B$9991,$A94)</f>
        <v>0</v>
      </c>
      <c r="AF94">
        <f>SUMIFS(Annualized_Investments!AF$2:AF$9991,Annualized_Investments!$B$2:$B$9991,$A94)</f>
        <v>0</v>
      </c>
      <c r="AG94">
        <f>SUMIFS(Annualized_Investments!AG$2:AG$9991,Annualized_Investments!$B$2:$B$9991,$A94)</f>
        <v>0</v>
      </c>
    </row>
    <row r="95" spans="1:33">
      <c r="A95" t="s">
        <v>135</v>
      </c>
      <c r="C95">
        <f>SUMIFS(Annualized_Investments!C$2:C$9991,Annualized_Investments!$B$2:$B$9991,$A95)</f>
        <v>0</v>
      </c>
      <c r="D95">
        <f>SUMIFS(Annualized_Investments!D$2:D$9991,Annualized_Investments!$B$2:$B$9991,$A95)</f>
        <v>12.9732737057</v>
      </c>
      <c r="E95">
        <f>SUMIFS(Annualized_Investments!E$2:E$9991,Annualized_Investments!$B$2:$B$9991,$A95)</f>
        <v>19.993849520800001</v>
      </c>
      <c r="F95">
        <f>SUMIFS(Annualized_Investments!F$2:F$9991,Annualized_Investments!$B$2:$B$9991,$A95)</f>
        <v>19.993849520800001</v>
      </c>
      <c r="G95">
        <f>SUMIFS(Annualized_Investments!G$2:G$9991,Annualized_Investments!$B$2:$B$9991,$A95)</f>
        <v>20.801973355600001</v>
      </c>
      <c r="H95">
        <f>SUMIFS(Annualized_Investments!H$2:H$9991,Annualized_Investments!$B$2:$B$9991,$A95)</f>
        <v>20.801973355600001</v>
      </c>
      <c r="I95">
        <f>SUMIFS(Annualized_Investments!I$2:I$9991,Annualized_Investments!$B$2:$B$9991,$A95)</f>
        <v>20.801973355600001</v>
      </c>
      <c r="J95">
        <f>SUMIFS(Annualized_Investments!J$2:J$9991,Annualized_Investments!$B$2:$B$9991,$A95)</f>
        <v>20.801973355600001</v>
      </c>
      <c r="K95">
        <f>SUMIFS(Annualized_Investments!K$2:K$9991,Annualized_Investments!$B$2:$B$9991,$A95)</f>
        <v>20.801973355600001</v>
      </c>
      <c r="L95">
        <f>SUMIFS(Annualized_Investments!L$2:L$9991,Annualized_Investments!$B$2:$B$9991,$A95)</f>
        <v>20.801973355600001</v>
      </c>
      <c r="M95">
        <f>SUMIFS(Annualized_Investments!M$2:M$9991,Annualized_Investments!$B$2:$B$9991,$A95)</f>
        <v>20.801973355600001</v>
      </c>
      <c r="N95">
        <f>SUMIFS(Annualized_Investments!N$2:N$9991,Annualized_Investments!$B$2:$B$9991,$A95)</f>
        <v>20.801973355600001</v>
      </c>
      <c r="O95">
        <f>SUMIFS(Annualized_Investments!O$2:O$9991,Annualized_Investments!$B$2:$B$9991,$A95)</f>
        <v>20.801973355600001</v>
      </c>
      <c r="P95">
        <f>SUMIFS(Annualized_Investments!P$2:P$9991,Annualized_Investments!$B$2:$B$9991,$A95)</f>
        <v>20.801973355600001</v>
      </c>
      <c r="Q95">
        <f>SUMIFS(Annualized_Investments!Q$2:Q$9991,Annualized_Investments!$B$2:$B$9991,$A95)</f>
        <v>20.801973355600001</v>
      </c>
      <c r="R95">
        <f>SUMIFS(Annualized_Investments!R$2:R$9991,Annualized_Investments!$B$2:$B$9991,$A95)</f>
        <v>20.801973355600001</v>
      </c>
      <c r="S95">
        <f>SUMIFS(Annualized_Investments!S$2:S$9991,Annualized_Investments!$B$2:$B$9991,$A95)</f>
        <v>20.801973355600001</v>
      </c>
      <c r="T95">
        <f>SUMIFS(Annualized_Investments!T$2:T$9991,Annualized_Investments!$B$2:$B$9991,$A95)</f>
        <v>20.801973355600001</v>
      </c>
      <c r="U95">
        <f>SUMIFS(Annualized_Investments!U$2:U$9991,Annualized_Investments!$B$2:$B$9991,$A95)</f>
        <v>20.801973355600001</v>
      </c>
      <c r="V95">
        <f>SUMIFS(Annualized_Investments!V$2:V$9991,Annualized_Investments!$B$2:$B$9991,$A95)</f>
        <v>20.801973355600001</v>
      </c>
      <c r="W95">
        <f>SUMIFS(Annualized_Investments!W$2:W$9991,Annualized_Investments!$B$2:$B$9991,$A95)</f>
        <v>20.801973355600001</v>
      </c>
      <c r="X95">
        <f>SUMIFS(Annualized_Investments!X$2:X$9991,Annualized_Investments!$B$2:$B$9991,$A95)</f>
        <v>20.801973355600001</v>
      </c>
      <c r="Y95">
        <f>SUMIFS(Annualized_Investments!Y$2:Y$9991,Annualized_Investments!$B$2:$B$9991,$A95)</f>
        <v>20.801973355600001</v>
      </c>
      <c r="Z95">
        <f>SUMIFS(Annualized_Investments!Z$2:Z$9991,Annualized_Investments!$B$2:$B$9991,$A95)</f>
        <v>20.801973355600001</v>
      </c>
      <c r="AA95">
        <f>SUMIFS(Annualized_Investments!AA$2:AA$9991,Annualized_Investments!$B$2:$B$9991,$A95)</f>
        <v>20.801973355600001</v>
      </c>
      <c r="AB95">
        <f>SUMIFS(Annualized_Investments!AB$2:AB$9991,Annualized_Investments!$B$2:$B$9991,$A95)</f>
        <v>20.801973355600001</v>
      </c>
      <c r="AC95">
        <f>SUMIFS(Annualized_Investments!AC$2:AC$9991,Annualized_Investments!$B$2:$B$9991,$A95)</f>
        <v>20.801973355600001</v>
      </c>
      <c r="AD95">
        <f>SUMIFS(Annualized_Investments!AD$2:AD$9991,Annualized_Investments!$B$2:$B$9991,$A95)</f>
        <v>20.801973355600001</v>
      </c>
      <c r="AE95">
        <f>SUMIFS(Annualized_Investments!AE$2:AE$9991,Annualized_Investments!$B$2:$B$9991,$A95)</f>
        <v>20.801973355600001</v>
      </c>
      <c r="AF95">
        <f>SUMIFS(Annualized_Investments!AF$2:AF$9991,Annualized_Investments!$B$2:$B$9991,$A95)</f>
        <v>20.801973355600001</v>
      </c>
      <c r="AG95">
        <f>SUMIFS(Annualized_Investments!AG$2:AG$9991,Annualized_Investments!$B$2:$B$9991,$A95)</f>
        <v>20.801973355600001</v>
      </c>
    </row>
    <row r="96" spans="1:33">
      <c r="A96" t="s">
        <v>134</v>
      </c>
      <c r="C96">
        <f>SUMIFS(Annualized_Investments!C$2:C$9991,Annualized_Investments!$B$2:$B$9991,$A96)</f>
        <v>0</v>
      </c>
      <c r="D96">
        <f>SUMIFS(Annualized_Investments!D$2:D$9991,Annualized_Investments!$B$2:$B$9991,$A96)</f>
        <v>0</v>
      </c>
      <c r="E96">
        <f>SUMIFS(Annualized_Investments!E$2:E$9991,Annualized_Investments!$B$2:$B$9991,$A96)</f>
        <v>0</v>
      </c>
      <c r="F96">
        <f>SUMIFS(Annualized_Investments!F$2:F$9991,Annualized_Investments!$B$2:$B$9991,$A96)</f>
        <v>0</v>
      </c>
      <c r="G96">
        <f>SUMIFS(Annualized_Investments!G$2:G$9991,Annualized_Investments!$B$2:$B$9991,$A96)</f>
        <v>0</v>
      </c>
      <c r="H96">
        <f>SUMIFS(Annualized_Investments!H$2:H$9991,Annualized_Investments!$B$2:$B$9991,$A96)</f>
        <v>0</v>
      </c>
      <c r="I96">
        <f>SUMIFS(Annualized_Investments!I$2:I$9991,Annualized_Investments!$B$2:$B$9991,$A96)</f>
        <v>0</v>
      </c>
      <c r="J96">
        <f>SUMIFS(Annualized_Investments!J$2:J$9991,Annualized_Investments!$B$2:$B$9991,$A96)</f>
        <v>0</v>
      </c>
      <c r="K96">
        <f>SUMIFS(Annualized_Investments!K$2:K$9991,Annualized_Investments!$B$2:$B$9991,$A96)</f>
        <v>0</v>
      </c>
      <c r="L96">
        <f>SUMIFS(Annualized_Investments!L$2:L$9991,Annualized_Investments!$B$2:$B$9991,$A96)</f>
        <v>0</v>
      </c>
      <c r="M96">
        <f>SUMIFS(Annualized_Investments!M$2:M$9991,Annualized_Investments!$B$2:$B$9991,$A96)</f>
        <v>0</v>
      </c>
      <c r="N96">
        <f>SUMIFS(Annualized_Investments!N$2:N$9991,Annualized_Investments!$B$2:$B$9991,$A96)</f>
        <v>0</v>
      </c>
      <c r="O96">
        <f>SUMIFS(Annualized_Investments!O$2:O$9991,Annualized_Investments!$B$2:$B$9991,$A96)</f>
        <v>0</v>
      </c>
      <c r="P96">
        <f>SUMIFS(Annualized_Investments!P$2:P$9991,Annualized_Investments!$B$2:$B$9991,$A96)</f>
        <v>0</v>
      </c>
      <c r="Q96">
        <f>SUMIFS(Annualized_Investments!Q$2:Q$9991,Annualized_Investments!$B$2:$B$9991,$A96)</f>
        <v>0</v>
      </c>
      <c r="R96">
        <f>SUMIFS(Annualized_Investments!R$2:R$9991,Annualized_Investments!$B$2:$B$9991,$A96)</f>
        <v>0</v>
      </c>
      <c r="S96">
        <f>SUMIFS(Annualized_Investments!S$2:S$9991,Annualized_Investments!$B$2:$B$9991,$A96)</f>
        <v>0</v>
      </c>
      <c r="T96">
        <f>SUMIFS(Annualized_Investments!T$2:T$9991,Annualized_Investments!$B$2:$B$9991,$A96)</f>
        <v>0</v>
      </c>
      <c r="U96">
        <f>SUMIFS(Annualized_Investments!U$2:U$9991,Annualized_Investments!$B$2:$B$9991,$A96)</f>
        <v>0</v>
      </c>
      <c r="V96">
        <f>SUMIFS(Annualized_Investments!V$2:V$9991,Annualized_Investments!$B$2:$B$9991,$A96)</f>
        <v>0</v>
      </c>
      <c r="W96">
        <f>SUMIFS(Annualized_Investments!W$2:W$9991,Annualized_Investments!$B$2:$B$9991,$A96)</f>
        <v>0</v>
      </c>
      <c r="X96">
        <f>SUMIFS(Annualized_Investments!X$2:X$9991,Annualized_Investments!$B$2:$B$9991,$A96)</f>
        <v>0</v>
      </c>
      <c r="Y96">
        <f>SUMIFS(Annualized_Investments!Y$2:Y$9991,Annualized_Investments!$B$2:$B$9991,$A96)</f>
        <v>0</v>
      </c>
      <c r="Z96">
        <f>SUMIFS(Annualized_Investments!Z$2:Z$9991,Annualized_Investments!$B$2:$B$9991,$A96)</f>
        <v>0</v>
      </c>
      <c r="AA96">
        <f>SUMIFS(Annualized_Investments!AA$2:AA$9991,Annualized_Investments!$B$2:$B$9991,$A96)</f>
        <v>0</v>
      </c>
      <c r="AB96">
        <f>SUMIFS(Annualized_Investments!AB$2:AB$9991,Annualized_Investments!$B$2:$B$9991,$A96)</f>
        <v>0</v>
      </c>
      <c r="AC96">
        <f>SUMIFS(Annualized_Investments!AC$2:AC$9991,Annualized_Investments!$B$2:$B$9991,$A96)</f>
        <v>0</v>
      </c>
      <c r="AD96">
        <f>SUMIFS(Annualized_Investments!AD$2:AD$9991,Annualized_Investments!$B$2:$B$9991,$A96)</f>
        <v>0</v>
      </c>
      <c r="AE96">
        <f>SUMIFS(Annualized_Investments!AE$2:AE$9991,Annualized_Investments!$B$2:$B$9991,$A96)</f>
        <v>0</v>
      </c>
      <c r="AF96">
        <f>SUMIFS(Annualized_Investments!AF$2:AF$9991,Annualized_Investments!$B$2:$B$9991,$A96)</f>
        <v>0</v>
      </c>
      <c r="AG96">
        <f>SUMIFS(Annualized_Investments!AG$2:AG$9991,Annualized_Investments!$B$2:$B$9991,$A96)</f>
        <v>0</v>
      </c>
    </row>
    <row r="97" spans="1:58">
      <c r="A97" s="43" t="s">
        <v>154</v>
      </c>
      <c r="C97">
        <f>SUMIFS(Annualized_Investments!C$2:C$9991,Annualized_Investments!$B$2:$B$9991,$A97)</f>
        <v>0</v>
      </c>
      <c r="D97">
        <f>SUMIFS(Annualized_Investments!D$2:D$9991,Annualized_Investments!$B$2:$B$9991,$A97)</f>
        <v>0</v>
      </c>
      <c r="E97">
        <f>SUMIFS(Annualized_Investments!E$2:E$9991,Annualized_Investments!$B$2:$B$9991,$A97)</f>
        <v>0</v>
      </c>
      <c r="F97">
        <f>SUMIFS(Annualized_Investments!F$2:F$9991,Annualized_Investments!$B$2:$B$9991,$A97)</f>
        <v>0</v>
      </c>
      <c r="G97">
        <f>SUMIFS(Annualized_Investments!G$2:G$9991,Annualized_Investments!$B$2:$B$9991,$A97)</f>
        <v>0</v>
      </c>
      <c r="H97">
        <f>SUMIFS(Annualized_Investments!H$2:H$9991,Annualized_Investments!$B$2:$B$9991,$A97)</f>
        <v>23.981630407600001</v>
      </c>
      <c r="I97">
        <f>SUMIFS(Annualized_Investments!I$2:I$9991,Annualized_Investments!$B$2:$B$9991,$A97)</f>
        <v>92.675423259300004</v>
      </c>
      <c r="J97">
        <f>SUMIFS(Annualized_Investments!J$2:J$9991,Annualized_Investments!$B$2:$B$9991,$A97)</f>
        <v>161.3692161111</v>
      </c>
      <c r="K97">
        <f>SUMIFS(Annualized_Investments!K$2:K$9991,Annualized_Investments!$B$2:$B$9991,$A97)</f>
        <v>230.0630089629</v>
      </c>
      <c r="L97">
        <f>SUMIFS(Annualized_Investments!L$2:L$9991,Annualized_Investments!$B$2:$B$9991,$A97)</f>
        <v>298.7568018147</v>
      </c>
      <c r="M97">
        <f>SUMIFS(Annualized_Investments!M$2:M$9991,Annualized_Investments!$B$2:$B$9991,$A97)</f>
        <v>367.45059466650002</v>
      </c>
      <c r="N97">
        <f>SUMIFS(Annualized_Investments!N$2:N$9991,Annualized_Investments!$B$2:$B$9991,$A97)</f>
        <v>449.53950606439997</v>
      </c>
      <c r="O97">
        <f>SUMIFS(Annualized_Investments!O$2:O$9991,Annualized_Investments!$B$2:$B$9991,$A97)</f>
        <v>531.62841746239997</v>
      </c>
      <c r="P97">
        <f>SUMIFS(Annualized_Investments!P$2:P$9991,Annualized_Investments!$B$2:$B$9991,$A97)</f>
        <v>616.15981306200001</v>
      </c>
      <c r="Q97">
        <f>SUMIFS(Annualized_Investments!Q$2:Q$9991,Annualized_Investments!$B$2:$B$9991,$A97)</f>
        <v>701.26251436220002</v>
      </c>
      <c r="R97">
        <f>SUMIFS(Annualized_Investments!R$2:R$9991,Annualized_Investments!$B$2:$B$9991,$A97)</f>
        <v>787.26528611260005</v>
      </c>
      <c r="S97">
        <f>SUMIFS(Annualized_Investments!S$2:S$9991,Annualized_Investments!$B$2:$B$9991,$A97)</f>
        <v>890.312720754</v>
      </c>
      <c r="T97">
        <f>SUMIFS(Annualized_Investments!T$2:T$9991,Annualized_Investments!$B$2:$B$9991,$A97)</f>
        <v>993.35979021720004</v>
      </c>
      <c r="U97">
        <f>SUMIFS(Annualized_Investments!U$2:U$9991,Annualized_Investments!$B$2:$B$9991,$A97)</f>
        <v>1090.6442323368999</v>
      </c>
      <c r="V97">
        <f>SUMIFS(Annualized_Investments!V$2:V$9991,Annualized_Investments!$B$2:$B$9991,$A97)</f>
        <v>1193.4141054342999</v>
      </c>
      <c r="W97">
        <f>SUMIFS(Annualized_Investments!W$2:W$9991,Annualized_Investments!$B$2:$B$9991,$A97)</f>
        <v>1276.3321070669001</v>
      </c>
      <c r="X97">
        <f>SUMIFS(Annualized_Investments!X$2:X$9991,Annualized_Investments!$B$2:$B$9991,$A97)</f>
        <v>1376.5677214550001</v>
      </c>
      <c r="Y97">
        <f>SUMIFS(Annualized_Investments!Y$2:Y$9991,Annualized_Investments!$B$2:$B$9991,$A97)</f>
        <v>1484.8452701015999</v>
      </c>
      <c r="Z97">
        <f>SUMIFS(Annualized_Investments!Z$2:Z$9991,Annualized_Investments!$B$2:$B$9991,$A97)</f>
        <v>1593.3638885526</v>
      </c>
      <c r="AA97">
        <f>SUMIFS(Annualized_Investments!AA$2:AA$9991,Annualized_Investments!$B$2:$B$9991,$A97)</f>
        <v>1702.1088757755999</v>
      </c>
      <c r="AB97">
        <f>SUMIFS(Annualized_Investments!AB$2:AB$9991,Annualized_Investments!$B$2:$B$9991,$A97)</f>
        <v>1811.0660628551</v>
      </c>
      <c r="AC97">
        <f>SUMIFS(Annualized_Investments!AC$2:AC$9991,Annualized_Investments!$B$2:$B$9991,$A97)</f>
        <v>1923.9257271597</v>
      </c>
      <c r="AD97">
        <f>SUMIFS(Annualized_Investments!AD$2:AD$9991,Annualized_Investments!$B$2:$B$9991,$A97)</f>
        <v>2036.9536760294</v>
      </c>
      <c r="AE97">
        <f>SUMIFS(Annualized_Investments!AE$2:AE$9991,Annualized_Investments!$B$2:$B$9991,$A97)</f>
        <v>2150.1401279042002</v>
      </c>
      <c r="AF97">
        <f>SUMIFS(Annualized_Investments!AF$2:AF$9991,Annualized_Investments!$B$2:$B$9991,$A97)</f>
        <v>2263.4755620658998</v>
      </c>
      <c r="AG97">
        <f>SUMIFS(Annualized_Investments!AG$2:AG$9991,Annualized_Investments!$B$2:$B$9991,$A97)</f>
        <v>2425.5664486249998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4.5000999999999998</v>
      </c>
      <c r="D101">
        <f>SUMIFS(AnnualProduction!E$2:E$9924,AnnualProduction!$B$2:$B$9924,$A101)</f>
        <v>5.2020999999999997</v>
      </c>
      <c r="E101">
        <f>SUMIFS(AnnualProduction!F$2:F$9924,AnnualProduction!$B$2:$B$9924,$A101)</f>
        <v>4.7591000000000001</v>
      </c>
      <c r="F101">
        <f>SUMIFS(AnnualProduction!G$2:G$9924,AnnualProduction!$B$2:$B$9924,$A101)</f>
        <v>5.0718999999999994</v>
      </c>
      <c r="G101">
        <f>SUMIFS(AnnualProduction!H$2:H$9924,AnnualProduction!$B$2:$B$9924,$A101)</f>
        <v>5.2058999999999997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0</v>
      </c>
      <c r="W101">
        <f>SUMIFS(AnnualProduction!X$2:X$9924,AnnualProduction!$B$2:$B$9924,$A101)</f>
        <v>0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0</v>
      </c>
      <c r="AD101">
        <f>SUMIFS(AnnualProduction!AE$2:AE$9924,AnnualProduction!$B$2:$B$9924,$A101)</f>
        <v>0</v>
      </c>
      <c r="AE101">
        <f>SUMIFS(AnnualProduction!AF$2:AF$9924,AnnualProduction!$B$2:$B$9924,$A101)</f>
        <v>0</v>
      </c>
      <c r="AF101">
        <f>SUMIFS(AnnualProduction!AG$2:AG$9924,AnnualProduction!$B$2:$B$9924,$A101)</f>
        <v>0</v>
      </c>
      <c r="AG101">
        <f>SUMIFS(AnnualProduction!AH$2:AH$9924,AnnualProduction!$B$2:$B$9924,$A101)</f>
        <v>0</v>
      </c>
    </row>
    <row r="102" spans="1:58">
      <c r="A102" t="s">
        <v>133</v>
      </c>
      <c r="C102">
        <f>SUMIFS(AnnualProduction!D$2:D$9924,AnnualProduction!$B$2:$B$9924,$A102)</f>
        <v>209.44799999999995</v>
      </c>
      <c r="D102">
        <f>SUMIFS(AnnualProduction!E$2:E$9924,AnnualProduction!$B$2:$B$9924,$A102)</f>
        <v>223.38679999999997</v>
      </c>
      <c r="E102">
        <f>SUMIFS(AnnualProduction!F$2:F$9924,AnnualProduction!$B$2:$B$9924,$A102)</f>
        <v>239.14760000000001</v>
      </c>
      <c r="F102">
        <f>SUMIFS(AnnualProduction!G$2:G$9924,AnnualProduction!$B$2:$B$9924,$A102)</f>
        <v>265.5136</v>
      </c>
      <c r="G102">
        <f>SUMIFS(AnnualProduction!H$2:H$9924,AnnualProduction!$B$2:$B$9924,$A102)</f>
        <v>285.69220000000007</v>
      </c>
      <c r="H102">
        <f>SUMIFS(AnnualProduction!I$2:I$9924,AnnualProduction!$B$2:$B$9924,$A102)</f>
        <v>262.30829999999997</v>
      </c>
      <c r="I102">
        <f>SUMIFS(AnnualProduction!J$2:J$9924,AnnualProduction!$B$2:$B$9924,$A102)</f>
        <v>249.99010000000007</v>
      </c>
      <c r="J102">
        <f>SUMIFS(AnnualProduction!K$2:K$9924,AnnualProduction!$B$2:$B$9924,$A102)</f>
        <v>232.13009999999997</v>
      </c>
      <c r="K102">
        <f>SUMIFS(AnnualProduction!L$2:L$9924,AnnualProduction!$B$2:$B$9924,$A102)</f>
        <v>214.28020000000001</v>
      </c>
      <c r="L102">
        <f>SUMIFS(AnnualProduction!M$2:M$9924,AnnualProduction!$B$2:$B$9924,$A102)</f>
        <v>196.41970000000001</v>
      </c>
      <c r="M102">
        <f>SUMIFS(AnnualProduction!N$2:N$9924,AnnualProduction!$B$2:$B$9924,$A102)</f>
        <v>33.49</v>
      </c>
      <c r="N102">
        <f>SUMIFS(AnnualProduction!O$2:O$9924,AnnualProduction!$B$2:$B$9924,$A102)</f>
        <v>59.004299999999986</v>
      </c>
      <c r="O102">
        <f>SUMIFS(AnnualProduction!P$2:P$9924,AnnualProduction!$B$2:$B$9924,$A102)</f>
        <v>85.249399999999994</v>
      </c>
      <c r="P102">
        <f>SUMIFS(AnnualProduction!Q$2:Q$9924,AnnualProduction!$B$2:$B$9924,$A102)</f>
        <v>113.93119999999998</v>
      </c>
      <c r="Q102">
        <f>SUMIFS(AnnualProduction!R$2:R$9924,AnnualProduction!$B$2:$B$9924,$A102)</f>
        <v>107.13989999999998</v>
      </c>
      <c r="R102">
        <f>SUMIFS(AnnualProduction!S$2:S$9924,AnnualProduction!$B$2:$B$9924,$A102)</f>
        <v>89.279999999999987</v>
      </c>
      <c r="S102">
        <f>SUMIFS(AnnualProduction!T$2:T$9924,AnnualProduction!$B$2:$B$9924,$A102)</f>
        <v>71.430300000000017</v>
      </c>
      <c r="T102">
        <f>SUMIFS(AnnualProduction!U$2:U$9924,AnnualProduction!$B$2:$B$9924,$A102)</f>
        <v>53.569999999999993</v>
      </c>
      <c r="U102">
        <f>SUMIFS(AnnualProduction!V$2:V$9924,AnnualProduction!$B$2:$B$9924,$A102)</f>
        <v>35.709799999999994</v>
      </c>
      <c r="V102">
        <f>SUMIFS(AnnualProduction!W$2:W$9924,AnnualProduction!$B$2:$B$9924,$A102)</f>
        <v>17.86</v>
      </c>
      <c r="W102">
        <f>SUMIFS(AnnualProduction!X$2:X$9924,AnnualProduction!$B$2:$B$9924,$A102)</f>
        <v>0</v>
      </c>
      <c r="X102">
        <f>SUMIFS(AnnualProduction!Y$2:Y$9924,AnnualProduction!$B$2:$B$9924,$A102)</f>
        <v>0</v>
      </c>
      <c r="Y102">
        <f>SUMIFS(AnnualProduction!Z$2:Z$9924,AnnualProduction!$B$2:$B$9924,$A102)</f>
        <v>0</v>
      </c>
      <c r="Z102">
        <f>SUMIFS(AnnualProduction!AA$2:AA$9924,AnnualProduction!$B$2:$B$9924,$A102)</f>
        <v>0</v>
      </c>
      <c r="AA102">
        <f>SUMIFS(AnnualProduction!AB$2:AB$9924,AnnualProduction!$B$2:$B$9924,$A102)</f>
        <v>0</v>
      </c>
      <c r="AB102">
        <f>SUMIFS(AnnualProduction!AC$2:AC$9924,AnnualProduction!$B$2:$B$9924,$A102)</f>
        <v>0</v>
      </c>
      <c r="AC102">
        <f>SUMIFS(AnnualProduction!AD$2:AD$9924,AnnualProduction!$B$2:$B$9924,$A102)</f>
        <v>0</v>
      </c>
      <c r="AD102">
        <f>SUMIFS(AnnualProduction!AE$2:AE$9924,AnnualProduction!$B$2:$B$9924,$A102)</f>
        <v>0</v>
      </c>
      <c r="AE102">
        <f>SUMIFS(AnnualProduction!AF$2:AF$9924,AnnualProduction!$B$2:$B$9924,$A102)</f>
        <v>0</v>
      </c>
      <c r="AF102">
        <f>SUMIFS(AnnualProduction!AG$2:AG$9924,AnnualProduction!$B$2:$B$9924,$A102)</f>
        <v>0</v>
      </c>
      <c r="AG102">
        <f>SUMIFS(AnnualProduction!AH$2:AH$9924,AnnualProduction!$B$2:$B$9924,$A102)</f>
        <v>0</v>
      </c>
    </row>
    <row r="103" spans="1:58">
      <c r="A103" t="s">
        <v>138</v>
      </c>
      <c r="C103">
        <f>SUMIFS(AnnualProduction!D$2:D$9924,AnnualProduction!$B$2:$B$9924,$A103)</f>
        <v>38.808399999999999</v>
      </c>
      <c r="D103">
        <f>SUMIFS(AnnualProduction!E$2:E$9924,AnnualProduction!$B$2:$B$9924,$A103)</f>
        <v>36.058199999999999</v>
      </c>
      <c r="E103">
        <f>SUMIFS(AnnualProduction!F$2:F$9924,AnnualProduction!$B$2:$B$9924,$A103)</f>
        <v>37.53029999999999</v>
      </c>
      <c r="F103">
        <f>SUMIFS(AnnualProduction!G$2:G$9924,AnnualProduction!$B$2:$B$9924,$A103)</f>
        <v>38.628000000000007</v>
      </c>
      <c r="G103">
        <f>SUMIFS(AnnualProduction!H$2:H$9924,AnnualProduction!$B$2:$B$9924,$A103)</f>
        <v>38.839799999999997</v>
      </c>
      <c r="H103">
        <f>SUMIFS(AnnualProduction!I$2:I$9924,AnnualProduction!$B$2:$B$9924,$A103)</f>
        <v>39.966599999999993</v>
      </c>
      <c r="I103">
        <f>SUMIFS(AnnualProduction!J$2:J$9924,AnnualProduction!$B$2:$B$9924,$A103)</f>
        <v>66.645000000000024</v>
      </c>
      <c r="J103">
        <f>SUMIFS(AnnualProduction!K$2:K$9924,AnnualProduction!$B$2:$B$9924,$A103)</f>
        <v>66.645000000000024</v>
      </c>
      <c r="K103">
        <f>SUMIFS(AnnualProduction!L$2:L$9924,AnnualProduction!$B$2:$B$9924,$A103)</f>
        <v>66.645000000000024</v>
      </c>
      <c r="L103">
        <f>SUMIFS(AnnualProduction!M$2:M$9924,AnnualProduction!$B$2:$B$9924,$A103)</f>
        <v>66.645000000000024</v>
      </c>
      <c r="M103">
        <f>SUMIFS(AnnualProduction!N$2:N$9924,AnnualProduction!$B$2:$B$9924,$A103)</f>
        <v>66.645000000000024</v>
      </c>
      <c r="N103">
        <f>SUMIFS(AnnualProduction!O$2:O$9924,AnnualProduction!$B$2:$B$9924,$A103)</f>
        <v>66.645000000000024</v>
      </c>
      <c r="O103">
        <f>SUMIFS(AnnualProduction!P$2:P$9924,AnnualProduction!$B$2:$B$9924,$A103)</f>
        <v>66.645000000000024</v>
      </c>
      <c r="P103">
        <f>SUMIFS(AnnualProduction!Q$2:Q$9924,AnnualProduction!$B$2:$B$9924,$A103)</f>
        <v>62.230800000000016</v>
      </c>
      <c r="Q103">
        <f>SUMIFS(AnnualProduction!R$2:R$9924,AnnualProduction!$B$2:$B$9924,$A103)</f>
        <v>68.081999999999994</v>
      </c>
      <c r="R103">
        <f>SUMIFS(AnnualProduction!S$2:S$9924,AnnualProduction!$B$2:$B$9924,$A103)</f>
        <v>126.00000000000001</v>
      </c>
      <c r="S103">
        <f>SUMIFS(AnnualProduction!T$2:T$9924,AnnualProduction!$B$2:$B$9924,$A103)</f>
        <v>126.00000000000001</v>
      </c>
      <c r="T103">
        <f>SUMIFS(AnnualProduction!U$2:U$9924,AnnualProduction!$B$2:$B$9924,$A103)</f>
        <v>126.00000000000001</v>
      </c>
      <c r="U103">
        <f>SUMIFS(AnnualProduction!V$2:V$9924,AnnualProduction!$B$2:$B$9924,$A103)</f>
        <v>126.00000000000001</v>
      </c>
      <c r="V103">
        <f>SUMIFS(AnnualProduction!W$2:W$9924,AnnualProduction!$B$2:$B$9924,$A103)</f>
        <v>126.00000000000001</v>
      </c>
      <c r="W103">
        <f>SUMIFS(AnnualProduction!X$2:X$9924,AnnualProduction!$B$2:$B$9924,$A103)</f>
        <v>126.00000000000001</v>
      </c>
      <c r="X103">
        <f>SUMIFS(AnnualProduction!Y$2:Y$9924,AnnualProduction!$B$2:$B$9924,$A103)</f>
        <v>126.00000000000001</v>
      </c>
      <c r="Y103">
        <f>SUMIFS(AnnualProduction!Z$2:Z$9924,AnnualProduction!$B$2:$B$9924,$A103)</f>
        <v>126.00000000000001</v>
      </c>
      <c r="Z103">
        <f>SUMIFS(AnnualProduction!AA$2:AA$9924,AnnualProduction!$B$2:$B$9924,$A103)</f>
        <v>126.00000000000001</v>
      </c>
      <c r="AA103">
        <f>SUMIFS(AnnualProduction!AB$2:AB$9924,AnnualProduction!$B$2:$B$9924,$A103)</f>
        <v>126.00000000000001</v>
      </c>
      <c r="AB103">
        <f>SUMIFS(AnnualProduction!AC$2:AC$9924,AnnualProduction!$B$2:$B$9924,$A103)</f>
        <v>126.00000000000001</v>
      </c>
      <c r="AC103">
        <f>SUMIFS(AnnualProduction!AD$2:AD$9924,AnnualProduction!$B$2:$B$9924,$A103)</f>
        <v>126.00000000000001</v>
      </c>
      <c r="AD103">
        <f>SUMIFS(AnnualProduction!AE$2:AE$9924,AnnualProduction!$B$2:$B$9924,$A103)</f>
        <v>119.05110000000002</v>
      </c>
      <c r="AE103">
        <f>SUMIFS(AnnualProduction!AF$2:AF$9924,AnnualProduction!$B$2:$B$9924,$A103)</f>
        <v>109.14040000000001</v>
      </c>
      <c r="AF103">
        <f>SUMIFS(AnnualProduction!AG$2:AG$9924,AnnualProduction!$B$2:$B$9924,$A103)</f>
        <v>96.030600000000021</v>
      </c>
      <c r="AG103">
        <f>SUMIFS(AnnualProduction!AH$2:AH$9924,AnnualProduction!$B$2:$B$9924,$A103)</f>
        <v>97.04800000000003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0</v>
      </c>
      <c r="E105">
        <f>SUMIFS(AnnualProduction!F$2:F$9924,AnnualProduction!$B$2:$B$9924,$A105)</f>
        <v>0</v>
      </c>
      <c r="F105">
        <f>SUMIFS(AnnualProduction!G$2:G$9924,AnnualProduction!$B$2:$B$9924,$A105)</f>
        <v>0</v>
      </c>
      <c r="G105">
        <f>SUMIFS(AnnualProduction!H$2:H$9924,AnnualProduction!$B$2:$B$9924,$A105)</f>
        <v>0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112.70039999999999</v>
      </c>
      <c r="K105">
        <f>SUMIFS(AnnualProduction!L$2:L$9924,AnnualProduction!$B$2:$B$9924,$A105)</f>
        <v>159.17580000000001</v>
      </c>
      <c r="L105">
        <f>SUMIFS(AnnualProduction!M$2:M$9924,AnnualProduction!$B$2:$B$9924,$A105)</f>
        <v>205.4298</v>
      </c>
      <c r="M105">
        <f>SUMIFS(AnnualProduction!N$2:N$9924,AnnualProduction!$B$2:$B$9924,$A105)</f>
        <v>398.21239999999989</v>
      </c>
      <c r="N105">
        <f>SUMIFS(AnnualProduction!O$2:O$9924,AnnualProduction!$B$2:$B$9924,$A105)</f>
        <v>406.44099999999986</v>
      </c>
      <c r="O105">
        <f>SUMIFS(AnnualProduction!P$2:P$9924,AnnualProduction!$B$2:$B$9924,$A105)</f>
        <v>411.04519999999985</v>
      </c>
      <c r="P105">
        <f>SUMIFS(AnnualProduction!Q$2:Q$9924,AnnualProduction!$B$2:$B$9924,$A105)</f>
        <v>416.48399999999987</v>
      </c>
      <c r="Q105">
        <f>SUMIFS(AnnualProduction!R$2:R$9924,AnnualProduction!$B$2:$B$9924,$A105)</f>
        <v>393.89499999999987</v>
      </c>
      <c r="R105">
        <f>SUMIFS(AnnualProduction!S$2:S$9924,AnnualProduction!$B$2:$B$9924,$A105)</f>
        <v>379.90959999999984</v>
      </c>
      <c r="S105">
        <f>SUMIFS(AnnualProduction!T$2:T$9924,AnnualProduction!$B$2:$B$9924,$A105)</f>
        <v>355.48919999999993</v>
      </c>
      <c r="T105">
        <f>SUMIFS(AnnualProduction!U$2:U$9924,AnnualProduction!$B$2:$B$9924,$A105)</f>
        <v>339.86559999999992</v>
      </c>
      <c r="U105">
        <f>SUMIFS(AnnualProduction!V$2:V$9924,AnnualProduction!$B$2:$B$9924,$A105)</f>
        <v>314.01859999999988</v>
      </c>
      <c r="V105">
        <f>SUMIFS(AnnualProduction!W$2:W$9924,AnnualProduction!$B$2:$B$9924,$A105)</f>
        <v>305.98649999999992</v>
      </c>
      <c r="W105">
        <f>SUMIFS(AnnualProduction!X$2:X$9924,AnnualProduction!$B$2:$B$9924,$A105)</f>
        <v>304.89449999999999</v>
      </c>
      <c r="X105">
        <f>SUMIFS(AnnualProduction!Y$2:Y$9924,AnnualProduction!$B$2:$B$9924,$A105)</f>
        <v>307.28759999999994</v>
      </c>
      <c r="Y105">
        <f>SUMIFS(AnnualProduction!Z$2:Z$9924,AnnualProduction!$B$2:$B$9924,$A105)</f>
        <v>309.89479999999992</v>
      </c>
      <c r="Z105">
        <f>SUMIFS(AnnualProduction!AA$2:AA$9924,AnnualProduction!$B$2:$B$9924,$A105)</f>
        <v>314.14709999999997</v>
      </c>
      <c r="AA105">
        <f>SUMIFS(AnnualProduction!AB$2:AB$9924,AnnualProduction!$B$2:$B$9924,$A105)</f>
        <v>316.70229999999992</v>
      </c>
      <c r="AB105">
        <f>SUMIFS(AnnualProduction!AC$2:AC$9924,AnnualProduction!$B$2:$B$9924,$A105)</f>
        <v>316.56959999999992</v>
      </c>
      <c r="AC105">
        <f>SUMIFS(AnnualProduction!AD$2:AD$9924,AnnualProduction!$B$2:$B$9924,$A105)</f>
        <v>296.41359999999997</v>
      </c>
      <c r="AD105">
        <f>SUMIFS(AnnualProduction!AE$2:AE$9924,AnnualProduction!$B$2:$B$9924,$A105)</f>
        <v>269.60600000000005</v>
      </c>
      <c r="AE105">
        <f>SUMIFS(AnnualProduction!AF$2:AF$9924,AnnualProduction!$B$2:$B$9924,$A105)</f>
        <v>260.36279999999999</v>
      </c>
      <c r="AF105">
        <f>SUMIFS(AnnualProduction!AG$2:AG$9924,AnnualProduction!$B$2:$B$9924,$A105)</f>
        <v>250.33399999999997</v>
      </c>
      <c r="AG105">
        <f>SUMIFS(AnnualProduction!AH$2:AH$9924,AnnualProduction!$B$2:$B$9924,$A105)</f>
        <v>222.84979999999999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25.885199999999987</v>
      </c>
      <c r="D108">
        <f>SUMIFS(AnnualProduction!E$2:E$9924,AnnualProduction!$B$2:$B$9924,$A108)</f>
        <v>33.065899999999999</v>
      </c>
      <c r="E108">
        <f>SUMIFS(AnnualProduction!F$2:F$9924,AnnualProduction!$B$2:$B$9924,$A108)</f>
        <v>36.306100000000015</v>
      </c>
      <c r="F108">
        <f>SUMIFS(AnnualProduction!G$2:G$9924,AnnualProduction!$B$2:$B$9924,$A108)</f>
        <v>37.033799999999999</v>
      </c>
      <c r="G108">
        <f>SUMIFS(AnnualProduction!H$2:H$9924,AnnualProduction!$B$2:$B$9924,$A108)</f>
        <v>39.271800000000006</v>
      </c>
      <c r="H108">
        <f>SUMIFS(AnnualProduction!I$2:I$9924,AnnualProduction!$B$2:$B$9924,$A108)</f>
        <v>39.271800000000006</v>
      </c>
      <c r="I108">
        <f>SUMIFS(AnnualProduction!J$2:J$9924,AnnualProduction!$B$2:$B$9924,$A108)</f>
        <v>39.271800000000006</v>
      </c>
      <c r="J108">
        <f>SUMIFS(AnnualProduction!K$2:K$9924,AnnualProduction!$B$2:$B$9924,$A108)</f>
        <v>39.271800000000006</v>
      </c>
      <c r="K108">
        <f>SUMIFS(AnnualProduction!L$2:L$9924,AnnualProduction!$B$2:$B$9924,$A108)</f>
        <v>39.271800000000006</v>
      </c>
      <c r="L108">
        <f>SUMIFS(AnnualProduction!M$2:M$9924,AnnualProduction!$B$2:$B$9924,$A108)</f>
        <v>39.271800000000006</v>
      </c>
      <c r="M108">
        <f>SUMIFS(AnnualProduction!N$2:N$9924,AnnualProduction!$B$2:$B$9924,$A108)</f>
        <v>39.271800000000006</v>
      </c>
      <c r="N108">
        <f>SUMIFS(AnnualProduction!O$2:O$9924,AnnualProduction!$B$2:$B$9924,$A108)</f>
        <v>39.271800000000006</v>
      </c>
      <c r="O108">
        <f>SUMIFS(AnnualProduction!P$2:P$9924,AnnualProduction!$B$2:$B$9924,$A108)</f>
        <v>39.271800000000006</v>
      </c>
      <c r="P108">
        <f>SUMIFS(AnnualProduction!Q$2:Q$9924,AnnualProduction!$B$2:$B$9924,$A108)</f>
        <v>39.271800000000006</v>
      </c>
      <c r="Q108">
        <f>SUMIFS(AnnualProduction!R$2:R$9924,AnnualProduction!$B$2:$B$9924,$A108)</f>
        <v>39.271800000000006</v>
      </c>
      <c r="R108">
        <f>SUMIFS(AnnualProduction!S$2:S$9924,AnnualProduction!$B$2:$B$9924,$A108)</f>
        <v>39.271800000000006</v>
      </c>
      <c r="S108">
        <f>SUMIFS(AnnualProduction!T$2:T$9924,AnnualProduction!$B$2:$B$9924,$A108)</f>
        <v>39.271800000000006</v>
      </c>
      <c r="T108">
        <f>SUMIFS(AnnualProduction!U$2:U$9924,AnnualProduction!$B$2:$B$9924,$A108)</f>
        <v>39.271800000000006</v>
      </c>
      <c r="U108">
        <f>SUMIFS(AnnualProduction!V$2:V$9924,AnnualProduction!$B$2:$B$9924,$A108)</f>
        <v>39.271800000000006</v>
      </c>
      <c r="V108">
        <f>SUMIFS(AnnualProduction!W$2:W$9924,AnnualProduction!$B$2:$B$9924,$A108)</f>
        <v>39.271800000000006</v>
      </c>
      <c r="W108">
        <f>SUMIFS(AnnualProduction!X$2:X$9924,AnnualProduction!$B$2:$B$9924,$A108)</f>
        <v>39.271800000000006</v>
      </c>
      <c r="X108">
        <f>SUMIFS(AnnualProduction!Y$2:Y$9924,AnnualProduction!$B$2:$B$9924,$A108)</f>
        <v>39.271800000000006</v>
      </c>
      <c r="Y108">
        <f>SUMIFS(AnnualProduction!Z$2:Z$9924,AnnualProduction!$B$2:$B$9924,$A108)</f>
        <v>39.271800000000006</v>
      </c>
      <c r="Z108">
        <f>SUMIFS(AnnualProduction!AA$2:AA$9924,AnnualProduction!$B$2:$B$9924,$A108)</f>
        <v>39.271800000000006</v>
      </c>
      <c r="AA108">
        <f>SUMIFS(AnnualProduction!AB$2:AB$9924,AnnualProduction!$B$2:$B$9924,$A108)</f>
        <v>39.271800000000006</v>
      </c>
      <c r="AB108">
        <f>SUMIFS(AnnualProduction!AC$2:AC$9924,AnnualProduction!$B$2:$B$9924,$A108)</f>
        <v>39.271800000000006</v>
      </c>
      <c r="AC108">
        <f>SUMIFS(AnnualProduction!AD$2:AD$9924,AnnualProduction!$B$2:$B$9924,$A108)</f>
        <v>39.271800000000006</v>
      </c>
      <c r="AD108">
        <f>SUMIFS(AnnualProduction!AE$2:AE$9924,AnnualProduction!$B$2:$B$9924,$A108)</f>
        <v>39.098600000000005</v>
      </c>
      <c r="AE108">
        <f>SUMIFS(AnnualProduction!AF$2:AF$9924,AnnualProduction!$B$2:$B$9924,$A108)</f>
        <v>39.156600000000005</v>
      </c>
      <c r="AF108">
        <f>SUMIFS(AnnualProduction!AG$2:AG$9924,AnnualProduction!$B$2:$B$9924,$A108)</f>
        <v>35.381999999999998</v>
      </c>
      <c r="AG108">
        <f>SUMIFS(AnnualProduction!AH$2:AH$9924,AnnualProduction!$B$2:$B$9924,$A108)</f>
        <v>31.607399999999998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0</v>
      </c>
      <c r="H109">
        <f>SUMIFS(AnnualProduction!I$2:I$9924,AnnualProduction!$B$2:$B$9924,$A109)</f>
        <v>5.5228000000000002</v>
      </c>
      <c r="I109">
        <f>SUMIFS(AnnualProduction!J$2:J$9924,AnnualProduction!$B$2:$B$9924,$A109)</f>
        <v>5.9750000000000005</v>
      </c>
      <c r="J109">
        <f>SUMIFS(AnnualProduction!K$2:K$9924,AnnualProduction!$B$2:$B$9924,$A109)</f>
        <v>4.0064000000000002</v>
      </c>
      <c r="K109">
        <f>SUMIFS(AnnualProduction!L$2:L$9924,AnnualProduction!$B$2:$B$9924,$A109)</f>
        <v>0.86620000000000008</v>
      </c>
      <c r="L109">
        <f>SUMIFS(AnnualProduction!M$2:M$9924,AnnualProduction!$B$2:$B$9924,$A109)</f>
        <v>0</v>
      </c>
      <c r="M109">
        <f>SUMIFS(AnnualProduction!N$2:N$9924,AnnualProduction!$B$2:$B$9924,$A109)</f>
        <v>0</v>
      </c>
      <c r="N109">
        <f>SUMIFS(AnnualProduction!O$2:O$9924,AnnualProduction!$B$2:$B$9924,$A109)</f>
        <v>0</v>
      </c>
      <c r="O109">
        <f>SUMIFS(AnnualProduction!P$2:P$9924,AnnualProduction!$B$2:$B$9924,$A109)</f>
        <v>0</v>
      </c>
      <c r="P109">
        <f>SUMIFS(AnnualProduction!Q$2:Q$9924,AnnualProduction!$B$2:$B$9924,$A109)</f>
        <v>0</v>
      </c>
      <c r="Q109">
        <f>SUMIFS(AnnualProduction!R$2:R$9924,AnnualProduction!$B$2:$B$9924,$A109)</f>
        <v>0</v>
      </c>
      <c r="R109">
        <f>SUMIFS(AnnualProduction!S$2:S$9924,AnnualProduction!$B$2:$B$9924,$A109)</f>
        <v>0.24340000000000006</v>
      </c>
      <c r="S109">
        <f>SUMIFS(AnnualProduction!T$2:T$9924,AnnualProduction!$B$2:$B$9924,$A109)</f>
        <v>17.645199999999999</v>
      </c>
      <c r="T109">
        <f>SUMIFS(AnnualProduction!U$2:U$9924,AnnualProduction!$B$2:$B$9924,$A109)</f>
        <v>15.841000000000001</v>
      </c>
      <c r="U109">
        <f>SUMIFS(AnnualProduction!V$2:V$9924,AnnualProduction!$B$2:$B$9924,$A109)</f>
        <v>11.6244</v>
      </c>
      <c r="V109">
        <f>SUMIFS(AnnualProduction!W$2:W$9924,AnnualProduction!$B$2:$B$9924,$A109)</f>
        <v>25.739400000000003</v>
      </c>
      <c r="W109">
        <f>SUMIFS(AnnualProduction!X$2:X$9924,AnnualProduction!$B$2:$B$9924,$A109)</f>
        <v>46.506699999999988</v>
      </c>
      <c r="X109">
        <f>SUMIFS(AnnualProduction!Y$2:Y$9924,AnnualProduction!$B$2:$B$9924,$A109)</f>
        <v>52.2682</v>
      </c>
      <c r="Y109">
        <f>SUMIFS(AnnualProduction!Z$2:Z$9924,AnnualProduction!$B$2:$B$9924,$A109)</f>
        <v>58.565800000000003</v>
      </c>
      <c r="Z109">
        <f>SUMIFS(AnnualProduction!AA$2:AA$9924,AnnualProduction!$B$2:$B$9924,$A109)</f>
        <v>68.991699999999994</v>
      </c>
      <c r="AA109">
        <f>SUMIFS(AnnualProduction!AB$2:AB$9924,AnnualProduction!$B$2:$B$9924,$A109)</f>
        <v>75.154399999999995</v>
      </c>
      <c r="AB109">
        <f>SUMIFS(AnnualProduction!AC$2:AC$9924,AnnualProduction!$B$2:$B$9924,$A109)</f>
        <v>78.141700000000014</v>
      </c>
      <c r="AC109">
        <f>SUMIFS(AnnualProduction!AD$2:AD$9924,AnnualProduction!$B$2:$B$9924,$A109)</f>
        <v>82.106999999999999</v>
      </c>
      <c r="AD109">
        <f>SUMIFS(AnnualProduction!AE$2:AE$9924,AnnualProduction!$B$2:$B$9924,$A109)</f>
        <v>79.783500000000004</v>
      </c>
      <c r="AE109">
        <f>SUMIFS(AnnualProduction!AF$2:AF$9924,AnnualProduction!$B$2:$B$9924,$A109)</f>
        <v>76.930999999999983</v>
      </c>
      <c r="AF109">
        <f>SUMIFS(AnnualProduction!AG$2:AG$9924,AnnualProduction!$B$2:$B$9924,$A109)</f>
        <v>74.545500000000004</v>
      </c>
      <c r="AG109">
        <f>SUMIFS(AnnualProduction!AH$2:AH$9924,AnnualProduction!$B$2:$B$9924,$A109)</f>
        <v>80.94550000000001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16.979399999999998</v>
      </c>
      <c r="T112">
        <f>SUMIFS(AnnualProduction!U$2:U$9924,AnnualProduction!$B$2:$B$9924,$A112)</f>
        <v>89.385000000000019</v>
      </c>
      <c r="U112">
        <f>SUMIFS(AnnualProduction!V$2:V$9924,AnnualProduction!$B$2:$B$9924,$A112)</f>
        <v>176.93159999999997</v>
      </c>
      <c r="V112">
        <f>SUMIFS(AnnualProduction!W$2:W$9924,AnnualProduction!$B$2:$B$9924,$A112)</f>
        <v>226.10340000000002</v>
      </c>
      <c r="W112">
        <f>SUMIFS(AnnualProduction!X$2:X$9924,AnnualProduction!$B$2:$B$9924,$A112)</f>
        <v>262.7172000000001</v>
      </c>
      <c r="X112">
        <f>SUMIFS(AnnualProduction!Y$2:Y$9924,AnnualProduction!$B$2:$B$9924,$A112)</f>
        <v>288.57179999999994</v>
      </c>
      <c r="Y112">
        <f>SUMIFS(AnnualProduction!Z$2:Z$9924,AnnualProduction!$B$2:$B$9924,$A112)</f>
        <v>316.2672</v>
      </c>
      <c r="Z112">
        <f>SUMIFS(AnnualProduction!AA$2:AA$9924,AnnualProduction!$B$2:$B$9924,$A112)</f>
        <v>335.06399999999991</v>
      </c>
      <c r="AA112">
        <f>SUMIFS(AnnualProduction!AB$2:AB$9924,AnnualProduction!$B$2:$B$9924,$A112)</f>
        <v>363.21779999999995</v>
      </c>
      <c r="AB112">
        <f>SUMIFS(AnnualProduction!AC$2:AC$9924,AnnualProduction!$B$2:$B$9924,$A112)</f>
        <v>398.92360000000014</v>
      </c>
      <c r="AC112">
        <f>SUMIFS(AnnualProduction!AD$2:AD$9924,AnnualProduction!$B$2:$B$9924,$A112)</f>
        <v>460.36939999999993</v>
      </c>
      <c r="AD112">
        <f>SUMIFS(AnnualProduction!AE$2:AE$9924,AnnualProduction!$B$2:$B$9924,$A112)</f>
        <v>535.35780000000011</v>
      </c>
      <c r="AE112">
        <f>SUMIFS(AnnualProduction!AF$2:AF$9924,AnnualProduction!$B$2:$B$9924,$A112)</f>
        <v>583.30560000000014</v>
      </c>
      <c r="AF112">
        <f>SUMIFS(AnnualProduction!AG$2:AG$9924,AnnualProduction!$B$2:$B$9924,$A112)</f>
        <v>650.08079999999984</v>
      </c>
      <c r="AG112">
        <f>SUMIFS(AnnualProduction!AH$2:AH$9924,AnnualProduction!$B$2:$B$9924,$A112)</f>
        <v>670.31580000000008</v>
      </c>
    </row>
    <row r="113" spans="1:58">
      <c r="A113" t="s">
        <v>150</v>
      </c>
      <c r="C113">
        <f>SUMIFS(AnnualProduction!D$2:D$9924,AnnualProduction!$B$2:$B$9924,$A113)</f>
        <v>4.9571000000000005</v>
      </c>
      <c r="D113">
        <f>SUMIFS(AnnualProduction!E$2:E$9924,AnnualProduction!$B$2:$B$9924,$A113)</f>
        <v>5.2923</v>
      </c>
      <c r="E113">
        <f>SUMIFS(AnnualProduction!F$2:F$9924,AnnualProduction!$B$2:$B$9924,$A113)</f>
        <v>6.5590000000000002</v>
      </c>
      <c r="F113">
        <f>SUMIFS(AnnualProduction!G$2:G$9924,AnnualProduction!$B$2:$B$9924,$A113)</f>
        <v>9.1578999999999997</v>
      </c>
      <c r="G113">
        <f>SUMIFS(AnnualProduction!H$2:H$9924,AnnualProduction!$B$2:$B$9924,$A113)</f>
        <v>13.719999999999999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17.098199999999999</v>
      </c>
      <c r="M113">
        <f>SUMIFS(AnnualProduction!N$2:N$9924,AnnualProduction!$B$2:$B$9924,$A113)</f>
        <v>17.098199999999999</v>
      </c>
      <c r="N113">
        <f>SUMIFS(AnnualProduction!O$2:O$9924,AnnualProduction!$B$2:$B$9924,$A113)</f>
        <v>17.098199999999999</v>
      </c>
      <c r="O113">
        <f>SUMIFS(AnnualProduction!P$2:P$9924,AnnualProduction!$B$2:$B$9924,$A113)</f>
        <v>17.098199999999999</v>
      </c>
      <c r="P113">
        <f>SUMIFS(AnnualProduction!Q$2:Q$9924,AnnualProduction!$B$2:$B$9924,$A113)</f>
        <v>17.098199999999999</v>
      </c>
      <c r="Q113">
        <f>SUMIFS(AnnualProduction!R$2:R$9924,AnnualProduction!$B$2:$B$9924,$A113)</f>
        <v>63.151399999999988</v>
      </c>
      <c r="R113">
        <f>SUMIFS(AnnualProduction!S$2:S$9924,AnnualProduction!$B$2:$B$9924,$A113)</f>
        <v>63.151399999999988</v>
      </c>
      <c r="S113">
        <f>SUMIFS(AnnualProduction!T$2:T$9924,AnnualProduction!$B$2:$B$9924,$A113)</f>
        <v>96.198999999999984</v>
      </c>
      <c r="T113">
        <f>SUMIFS(AnnualProduction!U$2:U$9924,AnnualProduction!$B$2:$B$9924,$A113)</f>
        <v>96.198999999999984</v>
      </c>
      <c r="U113">
        <f>SUMIFS(AnnualProduction!V$2:V$9924,AnnualProduction!$B$2:$B$9924,$A113)</f>
        <v>96.198999999999984</v>
      </c>
      <c r="V113">
        <f>SUMIFS(AnnualProduction!W$2:W$9924,AnnualProduction!$B$2:$B$9924,$A113)</f>
        <v>96.198999999999984</v>
      </c>
      <c r="W113">
        <f>SUMIFS(AnnualProduction!X$2:X$9924,AnnualProduction!$B$2:$B$9924,$A113)</f>
        <v>96.198999999999984</v>
      </c>
      <c r="X113">
        <f>SUMIFS(AnnualProduction!Y$2:Y$9924,AnnualProduction!$B$2:$B$9924,$A113)</f>
        <v>96.198999999999984</v>
      </c>
      <c r="Y113">
        <f>SUMIFS(AnnualProduction!Z$2:Z$9924,AnnualProduction!$B$2:$B$9924,$A113)</f>
        <v>96.198999999999984</v>
      </c>
      <c r="Z113">
        <f>SUMIFS(AnnualProduction!AA$2:AA$9924,AnnualProduction!$B$2:$B$9924,$A113)</f>
        <v>99.398599999999988</v>
      </c>
      <c r="AA113">
        <f>SUMIFS(AnnualProduction!AB$2:AB$9924,AnnualProduction!$B$2:$B$9924,$A113)</f>
        <v>99.272999999999996</v>
      </c>
      <c r="AB113">
        <f>SUMIFS(AnnualProduction!AC$2:AC$9924,AnnualProduction!$B$2:$B$9924,$A113)</f>
        <v>98.860600000000005</v>
      </c>
      <c r="AC113">
        <f>SUMIFS(AnnualProduction!AD$2:AD$9924,AnnualProduction!$B$2:$B$9924,$A113)</f>
        <v>95.182399999999973</v>
      </c>
      <c r="AD113">
        <f>SUMIFS(AnnualProduction!AE$2:AE$9924,AnnualProduction!$B$2:$B$9924,$A113)</f>
        <v>94.686200000000014</v>
      </c>
      <c r="AE113">
        <f>SUMIFS(AnnualProduction!AF$2:AF$9924,AnnualProduction!$B$2:$B$9924,$A113)</f>
        <v>107.1146</v>
      </c>
      <c r="AF113">
        <f>SUMIFS(AnnualProduction!AG$2:AG$9924,AnnualProduction!$B$2:$B$9924,$A113)</f>
        <v>107.97659999999999</v>
      </c>
      <c r="AG113">
        <f>SUMIFS(AnnualProduction!AH$2:AH$9924,AnnualProduction!$B$2:$B$9924,$A113)</f>
        <v>166.4102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3.7079999999999997</v>
      </c>
      <c r="D115">
        <f>SUMIFS(AnnualProduction!E$2:E$9924,AnnualProduction!$B$2:$B$9924,$A115)</f>
        <v>4.5722000000000005</v>
      </c>
      <c r="E115">
        <f>SUMIFS(AnnualProduction!F$2:F$9924,AnnualProduction!$B$2:$B$9924,$A115)</f>
        <v>3.7081999999999997</v>
      </c>
      <c r="F115">
        <f>SUMIFS(AnnualProduction!G$2:G$9924,AnnualProduction!$B$2:$B$9924,$A115)</f>
        <v>4.7092000000000001</v>
      </c>
      <c r="G115">
        <f>SUMIFS(AnnualProduction!H$2:H$9924,AnnualProduction!$B$2:$B$9924,$A115)</f>
        <v>4.4601999999999995</v>
      </c>
      <c r="H115">
        <f>SUMIFS(AnnualProduction!I$2:I$9924,AnnualProduction!$B$2:$B$9924,$A115)</f>
        <v>4.7092000000000001</v>
      </c>
      <c r="I115">
        <f>SUMIFS(AnnualProduction!J$2:J$9924,AnnualProduction!$B$2:$B$9924,$A115)</f>
        <v>4.7092000000000001</v>
      </c>
      <c r="J115">
        <f>SUMIFS(AnnualProduction!K$2:K$9924,AnnualProduction!$B$2:$B$9924,$A115)</f>
        <v>4.7092000000000001</v>
      </c>
      <c r="K115">
        <f>SUMIFS(AnnualProduction!L$2:L$9924,AnnualProduction!$B$2:$B$9924,$A115)</f>
        <v>4.7092000000000001</v>
      </c>
      <c r="L115">
        <f>SUMIFS(AnnualProduction!M$2:M$9924,AnnualProduction!$B$2:$B$9924,$A115)</f>
        <v>4.7092000000000001</v>
      </c>
      <c r="M115">
        <f>SUMIFS(AnnualProduction!N$2:N$9924,AnnualProduction!$B$2:$B$9924,$A115)</f>
        <v>4.5250000000000004</v>
      </c>
      <c r="N115">
        <f>SUMIFS(AnnualProduction!O$2:O$9924,AnnualProduction!$B$2:$B$9924,$A115)</f>
        <v>4.5250000000000004</v>
      </c>
      <c r="O115">
        <f>SUMIFS(AnnualProduction!P$2:P$9924,AnnualProduction!$B$2:$B$9924,$A115)</f>
        <v>4.5250000000000004</v>
      </c>
      <c r="P115">
        <f>SUMIFS(AnnualProduction!Q$2:Q$9924,AnnualProduction!$B$2:$B$9924,$A115)</f>
        <v>4.5250000000000004</v>
      </c>
      <c r="Q115">
        <f>SUMIFS(AnnualProduction!R$2:R$9924,AnnualProduction!$B$2:$B$9924,$A115)</f>
        <v>4.5250000000000004</v>
      </c>
      <c r="R115">
        <f>SUMIFS(AnnualProduction!S$2:S$9924,AnnualProduction!$B$2:$B$9924,$A115)</f>
        <v>4.5250000000000004</v>
      </c>
      <c r="S115">
        <f>SUMIFS(AnnualProduction!T$2:T$9924,AnnualProduction!$B$2:$B$9924,$A115)</f>
        <v>4.5250000000000004</v>
      </c>
      <c r="T115">
        <f>SUMIFS(AnnualProduction!U$2:U$9924,AnnualProduction!$B$2:$B$9924,$A115)</f>
        <v>4.5250000000000004</v>
      </c>
      <c r="U115">
        <f>SUMIFS(AnnualProduction!V$2:V$9924,AnnualProduction!$B$2:$B$9924,$A115)</f>
        <v>4.5250000000000004</v>
      </c>
      <c r="V115">
        <f>SUMIFS(AnnualProduction!W$2:W$9924,AnnualProduction!$B$2:$B$9924,$A115)</f>
        <v>2.8333999999999997</v>
      </c>
      <c r="W115">
        <f>SUMIFS(AnnualProduction!X$2:X$9924,AnnualProduction!$B$2:$B$9924,$A115)</f>
        <v>2.3317999999999994</v>
      </c>
      <c r="X115">
        <f>SUMIFS(AnnualProduction!Y$2:Y$9924,AnnualProduction!$B$2:$B$9924,$A115)</f>
        <v>2.3317999999999994</v>
      </c>
      <c r="Y115">
        <f>SUMIFS(AnnualProduction!Z$2:Z$9924,AnnualProduction!$B$2:$B$9924,$A115)</f>
        <v>2.3317999999999994</v>
      </c>
      <c r="Z115">
        <f>SUMIFS(AnnualProduction!AA$2:AA$9924,AnnualProduction!$B$2:$B$9924,$A115)</f>
        <v>2.3317999999999994</v>
      </c>
      <c r="AA115">
        <f>SUMIFS(AnnualProduction!AB$2:AB$9924,AnnualProduction!$B$2:$B$9924,$A115)</f>
        <v>2.3317999999999994</v>
      </c>
      <c r="AB115">
        <f>SUMIFS(AnnualProduction!AC$2:AC$9924,AnnualProduction!$B$2:$B$9924,$A115)</f>
        <v>1.0010000000000001</v>
      </c>
      <c r="AC115">
        <f>SUMIFS(AnnualProduction!AD$2:AD$9924,AnnualProduction!$B$2:$B$9924,$A115)</f>
        <v>0.13719999999999996</v>
      </c>
      <c r="AD115">
        <f>SUMIFS(AnnualProduction!AE$2:AE$9924,AnnualProduction!$B$2:$B$9924,$A115)</f>
        <v>0.13719999999999996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8.8920999999999992</v>
      </c>
      <c r="D116">
        <f>SUMIFS(AnnualProduction!E$2:E$9924,AnnualProduction!$B$2:$B$9924,$A116)</f>
        <v>5.8179999999999996</v>
      </c>
      <c r="E116">
        <f>SUMIFS(AnnualProduction!F$2:F$9924,AnnualProduction!$B$2:$B$9924,$A116)</f>
        <v>9.0678000000000001</v>
      </c>
      <c r="F116">
        <f>SUMIFS(AnnualProduction!G$2:G$9924,AnnualProduction!$B$2:$B$9924,$A116)</f>
        <v>4.6939000000000002</v>
      </c>
      <c r="G116">
        <f>SUMIFS(AnnualProduction!H$2:H$9924,AnnualProduction!$B$2:$B$9924,$A116)</f>
        <v>4.8309999999999995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0</v>
      </c>
      <c r="W116">
        <f>SUMIFS(AnnualProduction!X$2:X$9924,AnnualProduction!$B$2:$B$9924,$A116)</f>
        <v>0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70.199799999999982</v>
      </c>
      <c r="D117">
        <f>SUMIFS(AnnualProduction!E$2:E$9924,AnnualProduction!$B$2:$B$9924,$A117)</f>
        <v>68.615899999999996</v>
      </c>
      <c r="E117">
        <f>SUMIFS(AnnualProduction!F$2:F$9924,AnnualProduction!$B$2:$B$9924,$A117)</f>
        <v>64.381999999999991</v>
      </c>
      <c r="F117">
        <f>SUMIFS(AnnualProduction!G$2:G$9924,AnnualProduction!$B$2:$B$9924,$A117)</f>
        <v>60.004899999999985</v>
      </c>
      <c r="G117">
        <f>SUMIFS(AnnualProduction!H$2:H$9924,AnnualProduction!$B$2:$B$9924,$A117)</f>
        <v>64.969099999999983</v>
      </c>
      <c r="H117">
        <f>SUMIFS(AnnualProduction!I$2:I$9924,AnnualProduction!$B$2:$B$9924,$A117)</f>
        <v>1.1576</v>
      </c>
      <c r="I117">
        <f>SUMIFS(AnnualProduction!J$2:J$9924,AnnualProduction!$B$2:$B$9924,$A117)</f>
        <v>1.62</v>
      </c>
      <c r="J117">
        <f>SUMIFS(AnnualProduction!K$2:K$9924,AnnualProduction!$B$2:$B$9924,$A117)</f>
        <v>0</v>
      </c>
      <c r="K117">
        <f>SUMIFS(AnnualProduction!L$2:L$9924,AnnualProduction!$B$2:$B$9924,$A117)</f>
        <v>0</v>
      </c>
      <c r="L117">
        <f>SUMIFS(AnnualProduction!M$2:M$9924,AnnualProduction!$B$2:$B$9924,$A117)</f>
        <v>0</v>
      </c>
      <c r="M117">
        <f>SUMIFS(AnnualProduction!N$2:N$9924,AnnualProduction!$B$2:$B$9924,$A117)</f>
        <v>0</v>
      </c>
      <c r="N117">
        <f>SUMIFS(AnnualProduction!O$2:O$9924,AnnualProduction!$B$2:$B$9924,$A117)</f>
        <v>0</v>
      </c>
      <c r="O117">
        <f>SUMIFS(AnnualProduction!P$2:P$9924,AnnualProduction!$B$2:$B$9924,$A117)</f>
        <v>0</v>
      </c>
      <c r="P117">
        <f>SUMIFS(AnnualProduction!Q$2:Q$9924,AnnualProduction!$B$2:$B$9924,$A117)</f>
        <v>0</v>
      </c>
      <c r="Q117">
        <f>SUMIFS(AnnualProduction!R$2:R$9924,AnnualProduction!$B$2:$B$9924,$A117)</f>
        <v>0</v>
      </c>
      <c r="R117">
        <f>SUMIFS(AnnualProduction!S$2:S$9924,AnnualProduction!$B$2:$B$9924,$A117)</f>
        <v>0</v>
      </c>
      <c r="S117">
        <f>SUMIFS(AnnualProduction!T$2:T$9924,AnnualProduction!$B$2:$B$9924,$A117)</f>
        <v>10.351600000000001</v>
      </c>
      <c r="T117">
        <f>SUMIFS(AnnualProduction!U$2:U$9924,AnnualProduction!$B$2:$B$9924,$A117)</f>
        <v>8.9188000000000027</v>
      </c>
      <c r="U117">
        <f>SUMIFS(AnnualProduction!V$2:V$9924,AnnualProduction!$B$2:$B$9924,$A117)</f>
        <v>5.0988000000000007</v>
      </c>
      <c r="V117">
        <f>SUMIFS(AnnualProduction!W$2:W$9924,AnnualProduction!$B$2:$B$9924,$A117)</f>
        <v>5.0702999999999996</v>
      </c>
      <c r="W117">
        <f>SUMIFS(AnnualProduction!X$2:X$9924,AnnualProduction!$B$2:$B$9924,$A117)</f>
        <v>2.5324</v>
      </c>
      <c r="X117">
        <f>SUMIFS(AnnualProduction!Y$2:Y$9924,AnnualProduction!$B$2:$B$9924,$A117)</f>
        <v>2.5324</v>
      </c>
      <c r="Y117">
        <f>SUMIFS(AnnualProduction!Z$2:Z$9924,AnnualProduction!$B$2:$B$9924,$A117)</f>
        <v>2.528</v>
      </c>
      <c r="Z117">
        <f>SUMIFS(AnnualProduction!AA$2:AA$9924,AnnualProduction!$B$2:$B$9924,$A117)</f>
        <v>2.528</v>
      </c>
      <c r="AA117">
        <f>SUMIFS(AnnualProduction!AB$2:AB$9924,AnnualProduction!$B$2:$B$9924,$A117)</f>
        <v>2.528</v>
      </c>
      <c r="AB117">
        <f>SUMIFS(AnnualProduction!AC$2:AC$9924,AnnualProduction!$B$2:$B$9924,$A117)</f>
        <v>2.528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A118" t="s">
        <v>266</v>
      </c>
      <c r="C118" s="48">
        <f>SUM(C101,C103,C104,C107:C108,C113:C115)/SUM(C101:C117)</f>
        <v>0.21249747883930806</v>
      </c>
      <c r="D118" s="48">
        <f t="shared" ref="D118:L118" si="7">SUM(D101,D103,D104,D107:D108,D113:D115)/SUM(D101:D117)</f>
        <v>0.2203879255959377</v>
      </c>
      <c r="E118" s="48">
        <f t="shared" si="7"/>
        <v>0.2213487716462981</v>
      </c>
      <c r="F118" s="48">
        <f t="shared" si="7"/>
        <v>0.22268799557075911</v>
      </c>
      <c r="G118" s="48">
        <f t="shared" si="7"/>
        <v>0.22210048359920345</v>
      </c>
      <c r="H118" s="48">
        <f t="shared" si="7"/>
        <v>0.23171193970331844</v>
      </c>
      <c r="I118" s="48">
        <f t="shared" si="7"/>
        <v>0.28297727859340183</v>
      </c>
      <c r="J118" s="48">
        <f t="shared" si="7"/>
        <v>0.26801222340640057</v>
      </c>
      <c r="K118" s="48">
        <f t="shared" si="7"/>
        <v>0.25440716236586897</v>
      </c>
      <c r="L118" s="48">
        <f t="shared" si="7"/>
        <v>0.24118304968694632</v>
      </c>
      <c r="M118" s="48">
        <f t="shared" ref="M118" si="8">SUM(M101,M103,M104,M107:M108,M113:M115)/SUM(M101:M117)</f>
        <v>0.22805853061212822</v>
      </c>
      <c r="N118" s="48">
        <f t="shared" ref="N118" si="9">SUM(N101,N103,N104,N107:N108,N113:N115)/SUM(N101:N117)</f>
        <v>0.21508121702173741</v>
      </c>
      <c r="O118" s="48">
        <f t="shared" ref="O118" si="10">SUM(O101,O103,O104,O107:O108,O113:O115)/SUM(O101:O117)</f>
        <v>0.20444521672892149</v>
      </c>
      <c r="P118" s="48">
        <f t="shared" ref="P118" si="11">SUM(P101,P103,P104,P107:P108,P113:P115)/SUM(P101:P117)</f>
        <v>0.18839797350128004</v>
      </c>
      <c r="Q118" s="48">
        <f t="shared" ref="Q118" si="12">SUM(Q101,Q103,Q104,Q107:Q108,Q113:Q115)/SUM(Q101:Q117)</f>
        <v>0.25889548210667884</v>
      </c>
      <c r="R118" s="48">
        <f t="shared" ref="R118" si="13">SUM(R101,R103,R104,R107:R108,R113:R115)/SUM(R101:R117)</f>
        <v>0.33165494748435764</v>
      </c>
      <c r="S118" s="48">
        <f t="shared" ref="S118" si="14">SUM(S101,S103,S104,S107:S108,S113:S115)/SUM(S101:S117)</f>
        <v>0.36048091081141331</v>
      </c>
      <c r="T118" s="48">
        <f t="shared" ref="T118:U118" si="15">SUM(T101,T103,T104,T107:T108,T113:T115)/SUM(T101:T117)</f>
        <v>0.34385209886240042</v>
      </c>
      <c r="U118" s="48">
        <f t="shared" si="15"/>
        <v>0.32864183528359403</v>
      </c>
      <c r="V118" s="48">
        <f t="shared" ref="V118" si="16">SUM(V101,V103,V104,V107:V108,V113:V115)/SUM(V101:V117)</f>
        <v>0.31276242101483936</v>
      </c>
      <c r="W118" s="48">
        <f t="shared" ref="W118" si="17">SUM(W101,W103,W104,W107:W108,W113:W115)/SUM(W101:W117)</f>
        <v>0.29962130874842435</v>
      </c>
      <c r="X118" s="48">
        <f t="shared" ref="X118" si="18">SUM(X101,X103,X104,X107:X108,X113:X115)/SUM(X101:X117)</f>
        <v>0.28847828221733729</v>
      </c>
      <c r="Y118" s="48">
        <f t="shared" ref="Y118" si="19">SUM(Y101,Y103,Y104,Y107:Y108,Y113:Y115)/SUM(Y101:Y117)</f>
        <v>0.27737791916879134</v>
      </c>
      <c r="Z118" s="48">
        <f t="shared" ref="Z118" si="20">SUM(Z101,Z103,Z104,Z107:Z108,Z113:Z115)/SUM(Z101:Z117)</f>
        <v>0.27031819327692808</v>
      </c>
      <c r="AA118" s="48">
        <f t="shared" ref="AA118" si="21">SUM(AA101,AA103,AA104,AA107:AA108,AA113:AA115)/SUM(AA101:AA117)</f>
        <v>0.26049979936145107</v>
      </c>
      <c r="AB118" s="48">
        <f t="shared" ref="AB118" si="22">SUM(AB101,AB103,AB104,AB107:AB108,AB113:AB115)/SUM(AB101:AB117)</f>
        <v>0.24982033763803757</v>
      </c>
      <c r="AC118" s="48">
        <f t="shared" ref="AC118:AD118" si="23">SUM(AC101,AC103,AC104,AC107:AC108,AC113:AC115)/SUM(AC101:AC117)</f>
        <v>0.23701301358986163</v>
      </c>
      <c r="AD118" s="48">
        <f t="shared" si="23"/>
        <v>0.2223508517558444</v>
      </c>
      <c r="AE118" s="48">
        <f t="shared" ref="AE118" si="24">SUM(AE101,AE103,AE104,AE107:AE108,AE113:AE115)/SUM(AE101:AE117)</f>
        <v>0.2171847032043068</v>
      </c>
      <c r="AF118" s="48">
        <f t="shared" ref="AF118" si="25">SUM(AF101,AF103,AF104,AF107:AF108,AF113:AF115)/SUM(AF101:AF117)</f>
        <v>0.19713369174195736</v>
      </c>
      <c r="AG118" s="48">
        <f t="shared" ref="AG118" si="26">SUM(AG101,AG103,AG104,AG107:AG108,AG113:AG115)/SUM(AG101:AG117)</f>
        <v>0.23248583116913504</v>
      </c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4">
        <v>0.48099999999999998</v>
      </c>
      <c r="D124" s="44">
        <v>0.48099999999999998</v>
      </c>
      <c r="E124" s="44">
        <v>0.48099999999999998</v>
      </c>
      <c r="F124" s="44">
        <v>0.48099999999999998</v>
      </c>
      <c r="G124" s="44">
        <v>0.48099999999999998</v>
      </c>
      <c r="H124" s="44">
        <v>0.48099999999999998</v>
      </c>
      <c r="I124" s="44">
        <v>0.50039999999999996</v>
      </c>
      <c r="J124" s="44">
        <v>0.51979999999999993</v>
      </c>
      <c r="K124" s="44">
        <v>0.5391999999999999</v>
      </c>
      <c r="L124" s="44">
        <v>0.55859999999999999</v>
      </c>
      <c r="M124" s="44">
        <v>0.57799999999999996</v>
      </c>
      <c r="N124" s="44">
        <v>0.57329999999999992</v>
      </c>
      <c r="O124" s="44">
        <v>0.56859999999999988</v>
      </c>
      <c r="P124" s="44">
        <v>0.56389999999999985</v>
      </c>
      <c r="Q124" s="44">
        <v>0.55919999999999992</v>
      </c>
      <c r="R124" s="44">
        <v>0.55449999999999999</v>
      </c>
      <c r="S124" s="44">
        <v>0.54979999999999996</v>
      </c>
      <c r="T124" s="44">
        <v>0.54509999999999992</v>
      </c>
      <c r="U124" s="44">
        <v>0.54039999999999999</v>
      </c>
      <c r="V124" s="44">
        <v>0.53570000000000007</v>
      </c>
      <c r="W124" s="44">
        <v>0.53100000000000003</v>
      </c>
      <c r="X124" s="44">
        <v>0.54349999999999998</v>
      </c>
      <c r="Y124" s="44">
        <v>0.55599999999999994</v>
      </c>
      <c r="Z124" s="44">
        <v>0.56850000000000001</v>
      </c>
      <c r="AA124" s="44">
        <v>0.58099999999999996</v>
      </c>
      <c r="AB124" s="44">
        <v>0.59349999999999992</v>
      </c>
      <c r="AC124" s="44">
        <v>0.60599999999999998</v>
      </c>
      <c r="AD124" s="44">
        <v>0.61850000000000005</v>
      </c>
      <c r="AE124" s="44">
        <v>0.63100000000000001</v>
      </c>
      <c r="AF124" s="44">
        <v>0.64349999999999996</v>
      </c>
      <c r="AG124" s="44">
        <v>0.65600000000000003</v>
      </c>
      <c r="AH124" s="44">
        <v>0.65600000000000003</v>
      </c>
      <c r="AI124" s="44">
        <v>0.65600000000000003</v>
      </c>
      <c r="AJ124" s="44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0.28110000000000002</v>
      </c>
      <c r="G131">
        <f>SUMIFS('New Capacity'!G$2:G$10000,'New Capacity'!$B$2:$B$10000,$A131)</f>
        <v>6.7000000000000002E-3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1.0224</v>
      </c>
      <c r="J131">
        <f>SUMIFS('New Capacity'!J$2:J$10000,'New Capacity'!$B$2:$B$10000,$A131)</f>
        <v>1.3028999999999999</v>
      </c>
      <c r="K131">
        <f>SUMIFS('New Capacity'!K$2:K$10000,'New Capacity'!$B$2:$B$10000,$A131)</f>
        <v>0.40279999999999999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0.14000000000000001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0.1085</v>
      </c>
      <c r="T131">
        <f>SUMIFS('New Capacity'!T$2:T$10000,'New Capacity'!$B$2:$B$10000,$A131)</f>
        <v>0.61019999999999996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4.5999999999999999E-3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</v>
      </c>
      <c r="K133">
        <f>SUMIFS('New Capacity'!K$2:K$10000,'New Capacity'!$B$2:$B$10000,$A133)</f>
        <v>1.0709</v>
      </c>
      <c r="L133">
        <f>SUMIFS('New Capacity'!L$2:L$10000,'New Capacity'!$B$2:$B$10000,$A133)</f>
        <v>1.4013</v>
      </c>
      <c r="M133">
        <f>SUMIFS('New Capacity'!M$2:M$10000,'New Capacity'!$B$2:$B$10000,$A133)</f>
        <v>0</v>
      </c>
      <c r="N133">
        <f>SUMIFS('New Capacity'!N$2:N$10000,'New Capacity'!$B$2:$B$10000,$A133)</f>
        <v>1.4285000000000001</v>
      </c>
      <c r="O133">
        <f>SUMIFS('New Capacity'!O$2:O$10000,'New Capacity'!$B$2:$B$10000,$A133)</f>
        <v>1.8525</v>
      </c>
      <c r="P133">
        <f>SUMIFS('New Capacity'!P$2:P$10000,'New Capacity'!$B$2:$B$10000,$A133)</f>
        <v>1.8049999999999999</v>
      </c>
      <c r="Q133">
        <f>SUMIFS('New Capacity'!Q$2:Q$10000,'New Capacity'!$B$2:$B$10000,$A133)</f>
        <v>1.8476999999999999</v>
      </c>
      <c r="R133">
        <f>SUMIFS('New Capacity'!R$2:R$10000,'New Capacity'!$B$2:$B$10000,$A133)</f>
        <v>0.96809999999999996</v>
      </c>
      <c r="S133">
        <f>SUMIFS('New Capacity'!S$2:S$10000,'New Capacity'!$B$2:$B$10000,$A133)</f>
        <v>2.0697000000000001</v>
      </c>
      <c r="T133">
        <f>SUMIFS('New Capacity'!T$2:T$10000,'New Capacity'!$B$2:$B$10000,$A133)</f>
        <v>2.1351</v>
      </c>
      <c r="U133">
        <f>SUMIFS('New Capacity'!U$2:U$10000,'New Capacity'!$B$2:$B$10000,$A133)</f>
        <v>2.0876999999999999</v>
      </c>
      <c r="V133">
        <f>SUMIFS('New Capacity'!V$2:V$10000,'New Capacity'!$B$2:$B$10000,$A133)</f>
        <v>2.3744999999999998</v>
      </c>
      <c r="W133">
        <f>SUMIFS('New Capacity'!W$2:W$10000,'New Capacity'!$B$2:$B$10000,$A133)</f>
        <v>3.0300000000000001E-2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1.0570999999999999</v>
      </c>
      <c r="AD133">
        <f>SUMIFS('New Capacity'!AD$2:AD$10000,'New Capacity'!$B$2:$B$10000,$A133)</f>
        <v>0.96250000000000002</v>
      </c>
      <c r="AE133">
        <f>SUMIFS('New Capacity'!AE$2:AE$10000,'New Capacity'!$B$2:$B$10000,$A133)</f>
        <v>0.22409999999999999</v>
      </c>
      <c r="AF133">
        <f>SUMIFS('New Capacity'!AF$2:AF$10000,'New Capacity'!$B$2:$B$10000,$A133)</f>
        <v>0.4284</v>
      </c>
      <c r="AG133">
        <f>SUMIFS('New Capacity'!AG$2:AG$10000,'New Capacity'!$B$2:$B$10000,$A133)</f>
        <v>12.633699999999999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2.5546000000000002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0</v>
      </c>
      <c r="V137">
        <f>SUMIFS('New Capacity'!V$2:V$10000,'New Capacity'!$B$2:$B$10000,$A137)</f>
        <v>0.9929</v>
      </c>
      <c r="W137">
        <f>SUMIFS('New Capacity'!W$2:W$10000,'New Capacity'!$B$2:$B$10000,$A137)</f>
        <v>3.0674999999999999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0.2185</v>
      </c>
      <c r="AD137">
        <f>SUMIFS('New Capacity'!AD$2:AD$10000,'New Capacity'!$B$2:$B$10000,$A137)</f>
        <v>6.9999999999999999E-4</v>
      </c>
      <c r="AE137">
        <f>SUMIFS('New Capacity'!AE$2:AE$10000,'New Capacity'!$B$2:$B$10000,$A137)</f>
        <v>1.34E-2</v>
      </c>
      <c r="AF137">
        <f>SUMIFS('New Capacity'!AF$2:AF$10000,'New Capacity'!$B$2:$B$10000,$A137)</f>
        <v>0.39250000000000002</v>
      </c>
      <c r="AG137">
        <f>SUMIFS('New Capacity'!AG$2:AG$10000,'New Capacity'!$B$2:$B$10000,$A137)</f>
        <v>5.0735999999999999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7.9589999999999996</v>
      </c>
      <c r="N141">
        <f>SUMIFS('New Capacity'!N$2:N$10000,'New Capacity'!$B$2:$B$10000,$A141)</f>
        <v>3.1223999999999998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0</v>
      </c>
      <c r="R141">
        <f>SUMIFS('New Capacity'!R$2:R$10000,'New Capacity'!$B$2:$B$10000,$A141)</f>
        <v>0</v>
      </c>
      <c r="S141">
        <f>SUMIFS('New Capacity'!S$2:S$10000,'New Capacity'!$B$2:$B$10000,$A141)</f>
        <v>2.9870999999999999</v>
      </c>
      <c r="T141">
        <f>SUMIFS('New Capacity'!T$2:T$10000,'New Capacity'!$B$2:$B$10000,$A141)</f>
        <v>10.622299999999999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4.2366000000000001</v>
      </c>
      <c r="X141" s="21">
        <f>SUMIFS('New Capacity'!X$2:X$10000,'New Capacity'!$B$2:$B$10000,$A141)</f>
        <v>0</v>
      </c>
      <c r="Y141">
        <f>SUMIFS('New Capacity'!Y$2:Y$10000,'New Capacity'!$B$2:$B$10000,$A141)</f>
        <v>0</v>
      </c>
      <c r="Z141">
        <f>SUMIFS('New Capacity'!Z$2:Z$10000,'New Capacity'!$B$2:$B$10000,$A141)</f>
        <v>0.12039999999999999</v>
      </c>
      <c r="AA141">
        <f>SUMIFS('New Capacity'!AA$2:AA$10000,'New Capacity'!$B$2:$B$10000,$A141)</f>
        <v>0.2175</v>
      </c>
      <c r="AB141">
        <f>SUMIFS('New Capacity'!AB$2:AB$10000,'New Capacity'!$B$2:$B$10000,$A141)</f>
        <v>0.40339999999999998</v>
      </c>
      <c r="AC141">
        <f>SUMIFS('New Capacity'!AC$2:AC$10000,'New Capacity'!$B$2:$B$10000,$A141)</f>
        <v>1.1085</v>
      </c>
      <c r="AD141">
        <f>SUMIFS('New Capacity'!AD$2:AD$10000,'New Capacity'!$B$2:$B$10000,$A141)</f>
        <v>0.49759999999999999</v>
      </c>
      <c r="AE141">
        <f>SUMIFS('New Capacity'!AE$2:AE$10000,'New Capacity'!$B$2:$B$10000,$A141)</f>
        <v>0.45600000000000002</v>
      </c>
      <c r="AF141">
        <f>SUMIFS('New Capacity'!AF$2:AF$10000,'New Capacity'!$B$2:$B$10000,$A141)</f>
        <v>0.4803</v>
      </c>
      <c r="AG141">
        <f>SUMIFS('New Capacity'!AG$2:AG$10000,'New Capacity'!$B$2:$B$10000,$A141)</f>
        <v>27.850300000000001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0.1552</v>
      </c>
      <c r="E143">
        <f>SUMIFS('New Capacity'!E$2:E$10000,'New Capacity'!$B$2:$B$10000,$A143)</f>
        <v>0</v>
      </c>
      <c r="F143">
        <f>SUMIFS('New Capacity'!F$2:F$10000,'New Capacity'!$B$2:$B$10000,$A143)</f>
        <v>2.46E-2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0.26269999999999999</v>
      </c>
      <c r="I146">
        <f>SUMIFS('New Capacity'!I$2:I$10000,'New Capacity'!$B$2:$B$10000,$A146)</f>
        <v>0.75239999999999996</v>
      </c>
      <c r="J146">
        <f>SUMIFS('New Capacity'!J$2:J$10000,'New Capacity'!$B$2:$B$10000,$A146)</f>
        <v>0.75239999999999996</v>
      </c>
      <c r="K146">
        <f>SUMIFS('New Capacity'!K$2:K$10000,'New Capacity'!$B$2:$B$10000,$A146)</f>
        <v>0.75239999999999996</v>
      </c>
      <c r="L146">
        <f>SUMIFS('New Capacity'!L$2:L$10000,'New Capacity'!$B$2:$B$10000,$A146)</f>
        <v>0.75239999999999996</v>
      </c>
      <c r="M146">
        <f>SUMIFS('New Capacity'!M$2:M$10000,'New Capacity'!$B$2:$B$10000,$A146)</f>
        <v>0.75239999999999996</v>
      </c>
      <c r="N146">
        <f>SUMIFS('New Capacity'!N$2:N$10000,'New Capacity'!$B$2:$B$10000,$A146)</f>
        <v>1.0521</v>
      </c>
      <c r="O146">
        <f>SUMIFS('New Capacity'!O$2:O$10000,'New Capacity'!$B$2:$B$10000,$A146)</f>
        <v>0.74629999999999996</v>
      </c>
      <c r="P146">
        <f>SUMIFS('New Capacity'!P$2:P$10000,'New Capacity'!$B$2:$B$10000,$A146)</f>
        <v>0.91610000000000003</v>
      </c>
      <c r="Q146">
        <f>SUMIFS('New Capacity'!Q$2:Q$10000,'New Capacity'!$B$2:$B$10000,$A146)</f>
        <v>0.94199999999999995</v>
      </c>
      <c r="R146">
        <f>SUMIFS('New Capacity'!R$2:R$10000,'New Capacity'!$B$2:$B$10000,$A146)</f>
        <v>0.94199999999999995</v>
      </c>
      <c r="S146">
        <f>SUMIFS('New Capacity'!S$2:S$10000,'New Capacity'!$B$2:$B$10000,$A146)</f>
        <v>1.1287</v>
      </c>
      <c r="T146">
        <f>SUMIFS('New Capacity'!T$2:T$10000,'New Capacity'!$B$2:$B$10000,$A146)</f>
        <v>1.1287</v>
      </c>
      <c r="U146">
        <f>SUMIFS('New Capacity'!U$2:U$10000,'New Capacity'!$B$2:$B$10000,$A146)</f>
        <v>1.0656000000000001</v>
      </c>
      <c r="V146">
        <f>SUMIFS('New Capacity'!V$2:V$10000,'New Capacity'!$B$2:$B$10000,$A146)</f>
        <v>1.0179</v>
      </c>
      <c r="W146">
        <f>SUMIFS('New Capacity'!W$2:W$10000,'New Capacity'!$B$2:$B$10000,$A146)</f>
        <v>1.0161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13.2166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27">C35</f>
        <v>3983.2703246258116</v>
      </c>
      <c r="D150" s="10">
        <f t="shared" ref="D150:AG150" si="28">D35</f>
        <v>4094.6926845366247</v>
      </c>
      <c r="E150" s="10">
        <f t="shared" si="28"/>
        <v>4526.0568672117079</v>
      </c>
      <c r="F150" s="10">
        <f t="shared" si="28"/>
        <v>4486.0330449539561</v>
      </c>
      <c r="G150" s="10">
        <f t="shared" si="28"/>
        <v>4730.4557063351685</v>
      </c>
      <c r="H150" s="10">
        <f t="shared" si="28"/>
        <v>4390.2596260462051</v>
      </c>
      <c r="I150" s="10">
        <f t="shared" si="28"/>
        <v>4385.7219643909002</v>
      </c>
      <c r="J150" s="10">
        <f t="shared" si="28"/>
        <v>4587.0730050529846</v>
      </c>
      <c r="K150" s="10">
        <f t="shared" si="28"/>
        <v>4768.0584480366579</v>
      </c>
      <c r="L150" s="10">
        <f t="shared" si="28"/>
        <v>4986.1190800191398</v>
      </c>
      <c r="M150" s="10">
        <f t="shared" si="28"/>
        <v>5081.5678913986912</v>
      </c>
      <c r="N150" s="10">
        <f t="shared" si="28"/>
        <v>5410.3646061584423</v>
      </c>
      <c r="O150" s="10">
        <f t="shared" si="28"/>
        <v>5707.8332990542485</v>
      </c>
      <c r="P150" s="10">
        <f t="shared" si="28"/>
        <v>6071.5550985441405</v>
      </c>
      <c r="Q150" s="10">
        <f t="shared" si="28"/>
        <v>5934.442050501646</v>
      </c>
      <c r="R150" s="10">
        <f t="shared" si="28"/>
        <v>5900.4883598835268</v>
      </c>
      <c r="S150" s="10">
        <f t="shared" si="28"/>
        <v>6016.5389292636937</v>
      </c>
      <c r="T150" s="10">
        <f t="shared" si="28"/>
        <v>6290.9118062580692</v>
      </c>
      <c r="U150" s="10">
        <f t="shared" si="28"/>
        <v>6522.9621062216602</v>
      </c>
      <c r="V150" s="10">
        <f t="shared" si="28"/>
        <v>6905.0302405384627</v>
      </c>
      <c r="W150" s="10">
        <f t="shared" si="28"/>
        <v>7409.3816667858582</v>
      </c>
      <c r="X150" s="10">
        <f t="shared" si="28"/>
        <v>7755.8917723018658</v>
      </c>
      <c r="Y150" s="10">
        <f t="shared" si="28"/>
        <v>8131.1396169741238</v>
      </c>
      <c r="Z150" s="10">
        <f t="shared" si="28"/>
        <v>8533.2408091612833</v>
      </c>
      <c r="AA150" s="10">
        <f t="shared" si="28"/>
        <v>8912.482547710395</v>
      </c>
      <c r="AB150" s="10">
        <f t="shared" si="28"/>
        <v>9265.136386009759</v>
      </c>
      <c r="AC150" s="10">
        <f t="shared" si="28"/>
        <v>9645.9267171700976</v>
      </c>
      <c r="AD150" s="10">
        <f t="shared" si="28"/>
        <v>9953.5774252915162</v>
      </c>
      <c r="AE150" s="10">
        <f t="shared" si="28"/>
        <v>10246.215674892317</v>
      </c>
      <c r="AF150" s="10">
        <f t="shared" si="28"/>
        <v>10654.988881026504</v>
      </c>
      <c r="AG150" s="10">
        <f t="shared" si="28"/>
        <v>10875.819649253917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234.83856007739999</v>
      </c>
      <c r="D151">
        <f t="shared" ref="D151:P151" si="29">SUM(D80:D97)</f>
        <v>756.46064974180001</v>
      </c>
      <c r="E151">
        <f t="shared" si="29"/>
        <v>918.84101295929997</v>
      </c>
      <c r="F151">
        <f t="shared" si="29"/>
        <v>1006.5689934077002</v>
      </c>
      <c r="G151">
        <f t="shared" si="29"/>
        <v>1158.3121801707</v>
      </c>
      <c r="H151">
        <f t="shared" si="29"/>
        <v>1276.2681208864001</v>
      </c>
      <c r="I151">
        <f t="shared" si="29"/>
        <v>1551.5726645174</v>
      </c>
      <c r="J151">
        <f t="shared" si="29"/>
        <v>1840.1869436697</v>
      </c>
      <c r="K151">
        <f t="shared" si="29"/>
        <v>2127.9653015143999</v>
      </c>
      <c r="L151">
        <f t="shared" si="29"/>
        <v>2414.7011988268996</v>
      </c>
      <c r="M151">
        <f t="shared" si="29"/>
        <v>3511.5425211237998</v>
      </c>
      <c r="N151">
        <f t="shared" si="29"/>
        <v>3593.6314325216999</v>
      </c>
      <c r="O151">
        <f t="shared" si="29"/>
        <v>3675.7203439197001</v>
      </c>
      <c r="P151">
        <f t="shared" si="29"/>
        <v>3760.2517395192999</v>
      </c>
      <c r="Q151">
        <f>SUM(Q80:Q97)</f>
        <v>4157.5206728452004</v>
      </c>
      <c r="R151">
        <f t="shared" ref="R151:AG151" si="30">SUM(R80:R97)</f>
        <v>4692.0394493741005</v>
      </c>
      <c r="S151">
        <f t="shared" si="30"/>
        <v>5110.557991121801</v>
      </c>
      <c r="T151">
        <f t="shared" si="30"/>
        <v>5814.8797120074014</v>
      </c>
      <c r="U151">
        <f t="shared" si="30"/>
        <v>6457.6504787857011</v>
      </c>
      <c r="V151">
        <f t="shared" si="30"/>
        <v>7018.5743665789005</v>
      </c>
      <c r="W151">
        <f t="shared" si="30"/>
        <v>7555.1620830571001</v>
      </c>
      <c r="X151">
        <f t="shared" si="30"/>
        <v>7857.2343021017005</v>
      </c>
      <c r="Y151">
        <f t="shared" si="30"/>
        <v>8182.3335141837997</v>
      </c>
      <c r="Z151">
        <f t="shared" si="30"/>
        <v>8490.2444631406015</v>
      </c>
      <c r="AA151">
        <f t="shared" si="30"/>
        <v>8817.1005754234011</v>
      </c>
      <c r="AB151">
        <f t="shared" si="30"/>
        <v>9152.6519840628007</v>
      </c>
      <c r="AC151">
        <f t="shared" si="30"/>
        <v>9597.9072872010001</v>
      </c>
      <c r="AD151">
        <f t="shared" si="30"/>
        <v>10035.8608268606</v>
      </c>
      <c r="AE151">
        <f t="shared" si="30"/>
        <v>10489.625574009598</v>
      </c>
      <c r="AF151">
        <f t="shared" si="30"/>
        <v>10924.1261868532</v>
      </c>
      <c r="AG151">
        <f t="shared" si="30"/>
        <v>11615.939228947696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4218.1088847032115</v>
      </c>
      <c r="D153" s="10">
        <f t="shared" ref="D153:AG153" si="31">SUM(D150:D151)</f>
        <v>4851.1533342784251</v>
      </c>
      <c r="E153" s="10">
        <f t="shared" si="31"/>
        <v>5444.8978801710082</v>
      </c>
      <c r="F153" s="10">
        <f t="shared" si="31"/>
        <v>5492.602038361656</v>
      </c>
      <c r="G153" s="10">
        <f t="shared" si="31"/>
        <v>5888.7678865058688</v>
      </c>
      <c r="H153" s="10">
        <f t="shared" si="31"/>
        <v>5666.5277469326047</v>
      </c>
      <c r="I153" s="10">
        <f t="shared" si="31"/>
        <v>5937.2946289083002</v>
      </c>
      <c r="J153" s="10">
        <f t="shared" si="31"/>
        <v>6427.2599487226844</v>
      </c>
      <c r="K153" s="10">
        <f t="shared" si="31"/>
        <v>6896.0237495510573</v>
      </c>
      <c r="L153" s="10">
        <f t="shared" si="31"/>
        <v>7400.8202788460394</v>
      </c>
      <c r="M153" s="10">
        <f t="shared" si="31"/>
        <v>8593.110412522492</v>
      </c>
      <c r="N153" s="10">
        <f t="shared" si="31"/>
        <v>9003.9960386801431</v>
      </c>
      <c r="O153" s="10">
        <f t="shared" si="31"/>
        <v>9383.5536429739477</v>
      </c>
      <c r="P153" s="10">
        <f t="shared" si="31"/>
        <v>9831.8068380634395</v>
      </c>
      <c r="Q153" s="10">
        <f>SUM(Q150:Q151)</f>
        <v>10091.962723346845</v>
      </c>
      <c r="R153" s="10">
        <f t="shared" si="31"/>
        <v>10592.527809257626</v>
      </c>
      <c r="S153" s="10">
        <f t="shared" si="31"/>
        <v>11127.096920385495</v>
      </c>
      <c r="T153" s="10">
        <f t="shared" si="31"/>
        <v>12105.791518265471</v>
      </c>
      <c r="U153" s="10">
        <f t="shared" si="31"/>
        <v>12980.612585007362</v>
      </c>
      <c r="V153" s="10">
        <f t="shared" si="31"/>
        <v>13923.604607117362</v>
      </c>
      <c r="W153" s="10">
        <f t="shared" si="31"/>
        <v>14964.543749842958</v>
      </c>
      <c r="X153" s="10">
        <f t="shared" si="31"/>
        <v>15613.126074403566</v>
      </c>
      <c r="Y153" s="10">
        <f t="shared" si="31"/>
        <v>16313.473131157923</v>
      </c>
      <c r="Z153" s="10">
        <f t="shared" si="31"/>
        <v>17023.485272301885</v>
      </c>
      <c r="AA153" s="10">
        <f t="shared" si="31"/>
        <v>17729.583123133794</v>
      </c>
      <c r="AB153" s="10">
        <f t="shared" si="31"/>
        <v>18417.788370072558</v>
      </c>
      <c r="AC153" s="10">
        <f t="shared" si="31"/>
        <v>19243.8340043711</v>
      </c>
      <c r="AD153" s="10">
        <f t="shared" si="31"/>
        <v>19989.438252152118</v>
      </c>
      <c r="AE153" s="10">
        <f t="shared" si="31"/>
        <v>20735.841248901917</v>
      </c>
      <c r="AF153" s="10">
        <f t="shared" si="31"/>
        <v>21579.115067879706</v>
      </c>
      <c r="AG153" s="10">
        <f t="shared" si="31"/>
        <v>22491.758878201614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101777.4167480886</v>
      </c>
      <c r="D154">
        <f>SUM(D101:D117)*'Operation Life Time'!$K$2</f>
        <v>106114.2778626692</v>
      </c>
      <c r="E154">
        <f>SUM(E101:E117)*'Operation Life Time'!$K$2</f>
        <v>111516.69453365781</v>
      </c>
      <c r="F154">
        <f>SUM(F101:F117)*'Operation Life Time'!$K$2</f>
        <v>118003.66676106959</v>
      </c>
      <c r="G154">
        <f>SUM(G101:G117)*'Operation Life Time'!$K$2</f>
        <v>126941.66676822002</v>
      </c>
      <c r="H154">
        <f>SUM(H101:H117)*'Operation Life Time'!$K$2</f>
        <v>121134.3612080186</v>
      </c>
      <c r="I154">
        <f>SUM(I101:I117)*'Operation Life Time'!$K$2</f>
        <v>125377.36121141305</v>
      </c>
      <c r="J154">
        <f>SUM(J101:J117)*'Operation Life Time'!$K$2</f>
        <v>132378.08343923581</v>
      </c>
      <c r="K154">
        <f>SUM(K101:K117)*'Operation Life Time'!$K$2</f>
        <v>139457.33344489921</v>
      </c>
      <c r="L154">
        <f>SUM(L101:L117)*'Operation Life Time'!$K$2</f>
        <v>147103.80567323862</v>
      </c>
      <c r="M154">
        <f>SUM(M101:M117)*'Operation Life Time'!$K$2</f>
        <v>155345.11123538716</v>
      </c>
      <c r="N154">
        <f>SUM(N101:N117)*'Operation Life Time'!$K$2</f>
        <v>164718.13902066337</v>
      </c>
      <c r="O154">
        <f>SUM(O101:O117)*'Operation Life Time'!$K$2</f>
        <v>173287.38902751877</v>
      </c>
      <c r="P154">
        <f>SUM(P101:P117)*'Operation Life Time'!$K$2</f>
        <v>181539.16681189797</v>
      </c>
      <c r="Q154">
        <f>SUM(Q101:Q117)*'Operation Life Time'!$K$2</f>
        <v>187795.86126134775</v>
      </c>
      <c r="R154">
        <f>SUM(R101:R117)*'Operation Life Time'!$K$2</f>
        <v>195105.88904497353</v>
      </c>
      <c r="S154">
        <f>SUM(S101:S117)*'Operation Life Time'!$K$2</f>
        <v>204969.86127508699</v>
      </c>
      <c r="T154">
        <f>SUM(T101:T117)*'Operation Life Time'!$K$2</f>
        <v>214882.27794968357</v>
      </c>
      <c r="U154">
        <f>SUM(U101:U117)*'Operation Life Time'!$K$2</f>
        <v>224827.50017986196</v>
      </c>
      <c r="V154">
        <f>SUM(V101:V117)*'Operation Life Time'!$K$2</f>
        <v>234739.94463223638</v>
      </c>
      <c r="W154">
        <f>SUM(W101:W117)*'Operation Life Time'!$K$2</f>
        <v>244570.38908454523</v>
      </c>
      <c r="X154">
        <f>SUM(X101:X117)*'Operation Life Time'!$K$2</f>
        <v>254017.38909210279</v>
      </c>
      <c r="Y154">
        <f>SUM(Y101:Y117)*'Operation Life Time'!$K$2</f>
        <v>264182.88910023519</v>
      </c>
      <c r="Z154">
        <f>SUM(Z101:Z117)*'Operation Life Time'!$K$2</f>
        <v>274370.27799727395</v>
      </c>
      <c r="AA154">
        <f>SUM(AA101:AA117)*'Operation Life Time'!$K$2</f>
        <v>284577.52800543979</v>
      </c>
      <c r="AB154">
        <f>SUM(AB101:AB117)*'Operation Life Time'!$K$2</f>
        <v>294804.5280136214</v>
      </c>
      <c r="AC154">
        <f>SUM(AC101:AC117)*'Operation Life Time'!$K$2</f>
        <v>305411.5002443291</v>
      </c>
      <c r="AD154">
        <f>SUM(AD101:AD117)*'Operation Life Time'!$K$2</f>
        <v>316033.44469727128</v>
      </c>
      <c r="AE154">
        <f>SUM(AE101:AE117)*'Operation Life Time'!$K$2</f>
        <v>326669.722483558</v>
      </c>
      <c r="AF154">
        <f>SUM(AF101:AF117)*'Operation Life Time'!$K$2</f>
        <v>337319.30582541093</v>
      </c>
      <c r="AG154">
        <f>SUM(AG101:AG117)*'Operation Life Time'!$K$2</f>
        <v>352549.08361537266</v>
      </c>
    </row>
    <row r="155" spans="1:58" ht="15" thickBot="1">
      <c r="A155" s="14" t="s">
        <v>24</v>
      </c>
      <c r="C155" s="26">
        <f>(C153/C154)</f>
        <v>4.1444448282112925E-2</v>
      </c>
      <c r="D155" s="26">
        <f t="shared" ref="D155:AG155" si="32">(D153/D154)</f>
        <v>4.5716311056243367E-2</v>
      </c>
      <c r="E155" s="26">
        <f t="shared" si="32"/>
        <v>4.8825854307649311E-2</v>
      </c>
      <c r="F155" s="26">
        <f t="shared" si="32"/>
        <v>4.6546028518613052E-2</v>
      </c>
      <c r="G155" s="26">
        <f t="shared" si="32"/>
        <v>4.6389558577783915E-2</v>
      </c>
      <c r="H155" s="26">
        <f t="shared" si="32"/>
        <v>4.6778863490283581E-2</v>
      </c>
      <c r="I155" s="26">
        <f t="shared" si="32"/>
        <v>4.7355396313507915E-2</v>
      </c>
      <c r="J155" s="26">
        <f t="shared" si="32"/>
        <v>4.8552296435632608E-2</v>
      </c>
      <c r="K155" s="26">
        <f t="shared" si="32"/>
        <v>4.9448986146545928E-2</v>
      </c>
      <c r="L155" s="26">
        <f t="shared" si="32"/>
        <v>5.031018908705507E-2</v>
      </c>
      <c r="M155" s="26">
        <f t="shared" si="32"/>
        <v>5.5316259032456808E-2</v>
      </c>
      <c r="N155" s="26">
        <f t="shared" si="32"/>
        <v>5.4663051028949645E-2</v>
      </c>
      <c r="O155" s="26">
        <f t="shared" si="32"/>
        <v>5.4150239643138712E-2</v>
      </c>
      <c r="P155" s="26">
        <f t="shared" si="32"/>
        <v>5.4158047603306884E-2</v>
      </c>
      <c r="Q155" s="26">
        <f>(Q153/Q154)</f>
        <v>5.3739004978934427E-2</v>
      </c>
      <c r="R155" s="26">
        <f t="shared" si="32"/>
        <v>5.4291174198314231E-2</v>
      </c>
      <c r="S155" s="26">
        <f t="shared" si="32"/>
        <v>5.4286502665150289E-2</v>
      </c>
      <c r="T155" s="26">
        <f t="shared" si="32"/>
        <v>5.6336853991747704E-2</v>
      </c>
      <c r="U155" s="26">
        <f t="shared" si="32"/>
        <v>5.7735875614072452E-2</v>
      </c>
      <c r="V155" s="26">
        <f t="shared" si="32"/>
        <v>5.9315020410911613E-2</v>
      </c>
      <c r="W155" s="26">
        <f t="shared" si="32"/>
        <v>6.1187062775084698E-2</v>
      </c>
      <c r="X155" s="26">
        <f t="shared" si="32"/>
        <v>6.1464792352237299E-2</v>
      </c>
      <c r="Y155" s="26">
        <f t="shared" si="32"/>
        <v>6.1750680321193449E-2</v>
      </c>
      <c r="Z155" s="26">
        <f t="shared" si="32"/>
        <v>6.2045661055426068E-2</v>
      </c>
      <c r="AA155" s="26">
        <f t="shared" si="32"/>
        <v>6.2301416585482772E-2</v>
      </c>
      <c r="AB155" s="26">
        <f t="shared" si="32"/>
        <v>6.247457762664204E-2</v>
      </c>
      <c r="AC155" s="26">
        <f t="shared" si="32"/>
        <v>6.3009526455212198E-2</v>
      </c>
      <c r="AD155" s="26">
        <f t="shared" si="32"/>
        <v>6.3251021648357567E-2</v>
      </c>
      <c r="AE155" s="26">
        <f t="shared" si="32"/>
        <v>6.3476471254374056E-2</v>
      </c>
      <c r="AF155" s="26">
        <f t="shared" si="32"/>
        <v>6.3972368895626103E-2</v>
      </c>
      <c r="AG155" s="26">
        <f t="shared" si="32"/>
        <v>6.3797524723507401E-2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33">C4</f>
        <v>10162.892500000002</v>
      </c>
      <c r="D159">
        <f t="shared" si="33"/>
        <v>6155.3582999999999</v>
      </c>
      <c r="E159">
        <f t="shared" si="33"/>
        <v>6401.8118000000004</v>
      </c>
      <c r="F159">
        <f t="shared" si="33"/>
        <v>6582.7586000000001</v>
      </c>
      <c r="G159">
        <f t="shared" si="33"/>
        <v>6991.1588999999994</v>
      </c>
      <c r="H159">
        <f t="shared" si="33"/>
        <v>5841.0002999999997</v>
      </c>
      <c r="I159">
        <f t="shared" si="33"/>
        <v>5978.6581000000006</v>
      </c>
      <c r="J159">
        <f t="shared" si="33"/>
        <v>6331.6684999999998</v>
      </c>
      <c r="K159">
        <f t="shared" si="33"/>
        <v>6715.5209999999988</v>
      </c>
      <c r="L159">
        <f t="shared" si="33"/>
        <v>7083.4495999999999</v>
      </c>
      <c r="M159">
        <f t="shared" si="33"/>
        <v>7383.8752999999997</v>
      </c>
      <c r="N159">
        <f t="shared" si="33"/>
        <v>7925.4976999999999</v>
      </c>
      <c r="O159">
        <f t="shared" si="33"/>
        <v>8332.1008999999995</v>
      </c>
      <c r="P159">
        <f t="shared" si="33"/>
        <v>8474.8616000000002</v>
      </c>
      <c r="Q159">
        <f t="shared" si="33"/>
        <v>3281.8289</v>
      </c>
      <c r="R159">
        <f t="shared" si="33"/>
        <v>3639.0070999999998</v>
      </c>
      <c r="S159">
        <f t="shared" si="33"/>
        <v>4299.0820999999996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4218.1088847032115</v>
      </c>
      <c r="D162" s="10">
        <f t="shared" ref="D162:S162" si="34">SUM(D150:D151)</f>
        <v>4851.1533342784251</v>
      </c>
      <c r="E162" s="10">
        <f t="shared" si="34"/>
        <v>5444.8978801710082</v>
      </c>
      <c r="F162" s="10">
        <f t="shared" si="34"/>
        <v>5492.602038361656</v>
      </c>
      <c r="G162" s="10">
        <f t="shared" si="34"/>
        <v>5888.7678865058688</v>
      </c>
      <c r="H162" s="10">
        <f t="shared" si="34"/>
        <v>5666.5277469326047</v>
      </c>
      <c r="I162" s="10">
        <f t="shared" si="34"/>
        <v>5937.2946289083002</v>
      </c>
      <c r="J162" s="10">
        <f t="shared" si="34"/>
        <v>6427.2599487226844</v>
      </c>
      <c r="K162" s="10">
        <f t="shared" si="34"/>
        <v>6896.0237495510573</v>
      </c>
      <c r="L162" s="10">
        <f t="shared" si="34"/>
        <v>7400.8202788460394</v>
      </c>
      <c r="M162" s="10">
        <f t="shared" si="34"/>
        <v>8593.110412522492</v>
      </c>
      <c r="N162" s="10">
        <f t="shared" si="34"/>
        <v>9003.9960386801431</v>
      </c>
      <c r="O162" s="10">
        <f t="shared" si="34"/>
        <v>9383.5536429739477</v>
      </c>
      <c r="P162" s="10">
        <f t="shared" si="34"/>
        <v>9831.8068380634395</v>
      </c>
      <c r="Q162" s="10">
        <f t="shared" si="34"/>
        <v>10091.962723346845</v>
      </c>
      <c r="R162" s="10">
        <f t="shared" si="34"/>
        <v>10592.527809257626</v>
      </c>
      <c r="S162" s="10">
        <f t="shared" si="34"/>
        <v>11127.096920385495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93022.052203539672</v>
      </c>
      <c r="D163">
        <f>(SUM(D102:D104)+SUM(D111:D116)+SUM(D118:D123)+D126+SUM(D107:D110))*'Operation Life Time'!$K$2</f>
        <v>97684.962824702394</v>
      </c>
      <c r="E163">
        <f>(SUM(E102:E104)+SUM(E111:E116)+SUM(E118:E123)+E126+SUM(E107:E110))*'Operation Life Time'!$K$2</f>
        <v>104465.67078041875</v>
      </c>
      <c r="F163">
        <f>(SUM(F102:F104)+SUM(F111:F116)+SUM(F118:F123)+F126+SUM(F107:F110))*'Operation Life Time'!$K$2</f>
        <v>112160.8727279428</v>
      </c>
      <c r="G163">
        <f>(SUM(G102:G104)+SUM(G111:G116)+SUM(G118:G123)+G126+SUM(G107:G110))*'Operation Life Time'!$K$2</f>
        <v>119761.42835958672</v>
      </c>
      <c r="H163">
        <f>(SUM(H102:H104)+SUM(H111:H116)+SUM(H118:H123)+H126+SUM(H107:H110))*'Operation Life Time'!$K$2</f>
        <v>114860.17814486127</v>
      </c>
      <c r="I163">
        <f>(SUM(I102:I104)+SUM(I111:I116)+SUM(I118:I123)+I126+SUM(I107:I110))*'Operation Life Time'!$K$2</f>
        <v>119067.85956597471</v>
      </c>
      <c r="J163">
        <f>(SUM(J102:J104)+SUM(J111:J116)+SUM(J118:J123)+J126+SUM(J107:J110))*'Operation Life Time'!$K$2</f>
        <v>113634.64365046506</v>
      </c>
      <c r="K163">
        <f>(SUM(K102:K104)+SUM(K111:K116)+SUM(K118:K123)+K126+SUM(K107:K110))*'Operation Life Time'!$K$2</f>
        <v>107879.16661918274</v>
      </c>
      <c r="L163">
        <f>(SUM(L102:L104)+SUM(L111:L116)+SUM(L118:L123)+L126+SUM(L107:L110))*'Operation Life Time'!$K$2</f>
        <v>102752.51762961505</v>
      </c>
      <c r="M163">
        <f>(SUM(M102:M104)+SUM(M111:M116)+SUM(M118:M123)+M126+SUM(M107:M110))*'Operation Life Time'!$K$2</f>
        <v>57518.34071979583</v>
      </c>
      <c r="N163">
        <f>(SUM(N102:N104)+SUM(N111:N116)+SUM(N118:N123)+N126+SUM(N107:N110))*'Operation Life Time'!$K$2</f>
        <v>64721.132692338506</v>
      </c>
      <c r="O163">
        <f>(SUM(O102:O104)+SUM(O111:O116)+SUM(O118:O123)+O126+SUM(O107:O110))*'Operation Life Time'!$K$2</f>
        <v>72127.575024015663</v>
      </c>
      <c r="P163">
        <f>(SUM(P102:P104)+SUM(P111:P116)+SUM(P118:P123)+P126+SUM(P107:P110))*'Operation Life Time'!$K$2</f>
        <v>78983.208682492477</v>
      </c>
      <c r="Q163">
        <f>(SUM(Q102:Q104)+SUM(Q111:Q116)+SUM(Q118:Q123)+Q126+SUM(Q107:Q110))*'Operation Life Time'!$K$2</f>
        <v>91653.299215296705</v>
      </c>
      <c r="R163">
        <f>(SUM(R102:R104)+SUM(R111:R116)+SUM(R118:R123)+R126+SUM(R107:R110))*'Operation Life Time'!$K$2</f>
        <v>102987.46251863563</v>
      </c>
      <c r="S163">
        <f>(SUM(S102:S104)+SUM(S111:S116)+SUM(S118:S123)+S126+SUM(S107:S110))*'Operation Life Time'!$K$2</f>
        <v>116886.53318151239</v>
      </c>
      <c r="W163"/>
    </row>
    <row r="164" spans="1:58" ht="15" hidden="1" thickBot="1">
      <c r="A164" s="14" t="s">
        <v>24</v>
      </c>
      <c r="C164" s="18">
        <f>(C162/C163)</f>
        <v>4.5345257224315504E-2</v>
      </c>
      <c r="D164" s="18">
        <f t="shared" ref="D164:S164" si="35">(D162/D163)</f>
        <v>4.9661208787926923E-2</v>
      </c>
      <c r="E164" s="18">
        <f t="shared" si="35"/>
        <v>5.2121408300875152E-2</v>
      </c>
      <c r="F164" s="18">
        <f t="shared" si="35"/>
        <v>4.8970749823643946E-2</v>
      </c>
      <c r="G164" s="18">
        <f t="shared" si="35"/>
        <v>4.9170822084926159E-2</v>
      </c>
      <c r="H164" s="18">
        <f t="shared" si="35"/>
        <v>4.9334136847550406E-2</v>
      </c>
      <c r="I164" s="18">
        <f t="shared" si="35"/>
        <v>4.9864796852407384E-2</v>
      </c>
      <c r="J164" s="18">
        <f t="shared" si="35"/>
        <v>5.6560743645156668E-2</v>
      </c>
      <c r="K164" s="18">
        <f t="shared" si="35"/>
        <v>6.3923591233275512E-2</v>
      </c>
      <c r="L164" s="18">
        <f t="shared" si="35"/>
        <v>7.2025683161587029E-2</v>
      </c>
      <c r="M164" s="18">
        <f t="shared" si="35"/>
        <v>0.14939774522329083</v>
      </c>
      <c r="N164" s="18">
        <f t="shared" si="35"/>
        <v>0.13911987729698694</v>
      </c>
      <c r="O164" s="18">
        <f t="shared" si="35"/>
        <v>0.13009661894011537</v>
      </c>
      <c r="P164" s="18">
        <f t="shared" si="35"/>
        <v>0.12447970906812211</v>
      </c>
      <c r="Q164" s="18">
        <f t="shared" si="35"/>
        <v>0.11011019581128753</v>
      </c>
      <c r="R164" s="18">
        <f t="shared" si="35"/>
        <v>0.1028525953568465</v>
      </c>
      <c r="S164" s="18">
        <f t="shared" si="35"/>
        <v>9.5195713462613296E-2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6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6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6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6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6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6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6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6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6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6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6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6">
      <c r="A220" s="30"/>
      <c r="W220"/>
    </row>
    <row r="221" spans="1:36">
      <c r="A221" s="30"/>
      <c r="W221"/>
    </row>
    <row r="222" spans="1:36">
      <c r="W222"/>
    </row>
    <row r="223" spans="1:36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6">
      <c r="A224" t="s">
        <v>132</v>
      </c>
      <c r="C224">
        <f>SUMIFS(UseByTech!C$2:C$10000,UseByTech!$B$2:$B$10000,$A224)</f>
        <v>18.003</v>
      </c>
      <c r="D224">
        <f>SUMIFS(UseByTech!D$2:D$10000,UseByTech!$B$2:$B$10000,$A224)</f>
        <v>20.811299999999999</v>
      </c>
      <c r="E224">
        <f>SUMIFS(UseByTech!E$2:E$10000,UseByTech!$B$2:$B$10000,$A224)</f>
        <v>19.039200000000001</v>
      </c>
      <c r="F224">
        <f>SUMIFS(UseByTech!F$2:F$10000,UseByTech!$B$2:$B$10000,$A224)</f>
        <v>20.2913</v>
      </c>
      <c r="G224">
        <f>SUMIFS(UseByTech!G$2:G$10000,UseByTech!$B$2:$B$10000,$A224)</f>
        <v>20.827399999999997</v>
      </c>
      <c r="H224">
        <f>SUMIFS(UseByTech!H$2:H$10000,UseByTech!$B$2:$B$10000,$A224)</f>
        <v>0</v>
      </c>
      <c r="I224">
        <f>SUMIFS(UseByTech!I$2:I$10000,UseByTech!$B$2:$B$10000,$A224)</f>
        <v>0</v>
      </c>
      <c r="J224">
        <f>SUMIFS(UseByTech!J$2:J$10000,UseByTech!$B$2:$B$10000,$A224)</f>
        <v>0</v>
      </c>
      <c r="K224">
        <f>SUMIFS(UseByTech!K$2:K$10000,UseByTech!$B$2:$B$10000,$A224)</f>
        <v>0</v>
      </c>
      <c r="L224">
        <f>SUMIFS(UseByTech!L$2:L$10000,UseByTech!$B$2:$B$10000,$A224)</f>
        <v>0</v>
      </c>
      <c r="M224">
        <f>SUMIFS(UseByTech!M$2:M$10000,UseByTech!$B$2:$B$10000,$A224)</f>
        <v>0</v>
      </c>
      <c r="N224">
        <f>SUMIFS(UseByTech!N$2:N$10000,UseByTech!$B$2:$B$10000,$A224)</f>
        <v>0</v>
      </c>
      <c r="O224">
        <f>SUMIFS(UseByTech!O$2:O$10000,UseByTech!$B$2:$B$10000,$A224)</f>
        <v>0</v>
      </c>
      <c r="P224">
        <f>SUMIFS(UseByTech!P$2:P$10000,UseByTech!$B$2:$B$10000,$A224)</f>
        <v>0</v>
      </c>
      <c r="Q224">
        <f>SUMIFS(UseByTech!Q$2:Q$10000,UseByTech!$B$2:$B$10000,$A224)</f>
        <v>0</v>
      </c>
      <c r="R224">
        <f>SUMIFS(UseByTech!R$2:R$10000,UseByTech!$B$2:$B$10000,$A224)</f>
        <v>0</v>
      </c>
      <c r="S224">
        <f>SUMIFS(UseByTech!S$2:S$10000,UseByTech!$B$2:$B$10000,$A224)</f>
        <v>0</v>
      </c>
      <c r="T224">
        <f>SUMIFS(UseByTech!T$2:T$10000,UseByTech!$B$2:$B$10000,$A224)</f>
        <v>0</v>
      </c>
      <c r="U224">
        <f>SUMIFS(UseByTech!U$2:U$10000,UseByTech!$B$2:$B$10000,$A224)</f>
        <v>0</v>
      </c>
      <c r="V224">
        <f>SUMIFS(UseByTech!V$2:V$10000,UseByTech!$B$2:$B$10000,$A224)</f>
        <v>0</v>
      </c>
      <c r="W224">
        <f>SUMIFS(UseByTech!W$2:W$10000,UseByTech!$B$2:$B$10000,$A224)</f>
        <v>0</v>
      </c>
      <c r="X224">
        <f>SUMIFS(UseByTech!X$2:X$10000,UseByTech!$B$2:$B$10000,$A224)</f>
        <v>0</v>
      </c>
      <c r="Y224">
        <f>SUMIFS(UseByTech!Y$2:Y$10000,UseByTech!$B$2:$B$10000,$A224)</f>
        <v>0</v>
      </c>
      <c r="Z224">
        <f>SUMIFS(UseByTech!Z$2:Z$10000,UseByTech!$B$2:$B$10000,$A224)</f>
        <v>0</v>
      </c>
      <c r="AA224">
        <f>SUMIFS(UseByTech!AA$2:AA$10000,UseByTech!$B$2:$B$10000,$A224)</f>
        <v>0</v>
      </c>
      <c r="AB224">
        <f>SUMIFS(UseByTech!AB$2:AB$10000,UseByTech!$B$2:$B$10000,$A224)</f>
        <v>0</v>
      </c>
      <c r="AC224">
        <f>SUMIFS(UseByTech!AC$2:AC$10000,UseByTech!$B$2:$B$10000,$A224)</f>
        <v>0</v>
      </c>
      <c r="AD224">
        <f>SUMIFS(UseByTech!AD$2:AD$10000,UseByTech!$B$2:$B$10000,$A224)</f>
        <v>0</v>
      </c>
      <c r="AE224">
        <f>SUMIFS(UseByTech!AE$2:AE$10000,UseByTech!$B$2:$B$10000,$A224)</f>
        <v>0</v>
      </c>
      <c r="AF224">
        <f>SUMIFS(UseByTech!AF$2:AF$10000,UseByTech!$B$2:$B$10000,$A224)</f>
        <v>0</v>
      </c>
      <c r="AG224">
        <f>SUMIFS(UseByTech!AG$2:AG$10000,UseByTech!$B$2:$B$10000,$A224)</f>
        <v>0</v>
      </c>
      <c r="AH224">
        <f>SUMIFS(UseByTech!AH$2:AH$10000,UseByTech!$B$2:$B$10000,$A224)</f>
        <v>0</v>
      </c>
      <c r="AI224">
        <f>SUMIFS(UseByTech!AI$2:AI$10000,UseByTech!$B$2:$B$10000,$A224)</f>
        <v>0</v>
      </c>
      <c r="AJ224">
        <f>SUMIFS(UseByTech!AJ$2:AJ$10000,UseByTech!$B$2:$B$10000,$A224)</f>
        <v>0</v>
      </c>
    </row>
    <row r="225" spans="1:36">
      <c r="A225" t="s">
        <v>133</v>
      </c>
      <c r="C225">
        <f>SUMIFS(UseByTech!C$2:C$10000,UseByTech!$B$2:$B$10000,$A225)</f>
        <v>657.53020000000004</v>
      </c>
      <c r="D225">
        <f>SUMIFS(UseByTech!D$2:D$10000,UseByTech!$B$2:$B$10000,$A225)</f>
        <v>701.28930000000003</v>
      </c>
      <c r="E225">
        <f>SUMIFS(UseByTech!E$2:E$10000,UseByTech!$B$2:$B$10000,$A225)</f>
        <v>750.76899999999989</v>
      </c>
      <c r="F225">
        <f>SUMIFS(UseByTech!F$2:F$10000,UseByTech!$B$2:$B$10000,$A225)</f>
        <v>833.54099999999994</v>
      </c>
      <c r="G225">
        <f>SUMIFS(UseByTech!G$2:G$10000,UseByTech!$B$2:$B$10000,$A225)</f>
        <v>896.88640000000032</v>
      </c>
      <c r="H225">
        <f>SUMIFS(UseByTech!H$2:H$10000,UseByTech!$B$2:$B$10000,$A225)</f>
        <v>823.47790000000009</v>
      </c>
      <c r="I225">
        <f>SUMIFS(UseByTech!I$2:I$10000,UseByTech!$B$2:$B$10000,$A225)</f>
        <v>784.80600000000004</v>
      </c>
      <c r="J225">
        <f>SUMIFS(UseByTech!J$2:J$10000,UseByTech!$B$2:$B$10000,$A225)</f>
        <v>728.73680000000013</v>
      </c>
      <c r="K225">
        <f>SUMIFS(UseByTech!K$2:K$10000,UseByTech!$B$2:$B$10000,$A225)</f>
        <v>672.69950000000006</v>
      </c>
      <c r="L225">
        <f>SUMIFS(UseByTech!L$2:L$10000,UseByTech!$B$2:$B$10000,$A225)</f>
        <v>616.6303999999999</v>
      </c>
      <c r="M225">
        <f>SUMIFS(UseByTech!M$2:M$10000,UseByTech!$B$2:$B$10000,$A225)</f>
        <v>105.13670000000002</v>
      </c>
      <c r="N225">
        <f>SUMIFS(UseByTech!N$2:N$10000,UseByTech!$B$2:$B$10000,$A225)</f>
        <v>185.23439999999997</v>
      </c>
      <c r="O225">
        <f>SUMIFS(UseByTech!O$2:O$10000,UseByTech!$B$2:$B$10000,$A225)</f>
        <v>267.62739999999997</v>
      </c>
      <c r="P225">
        <f>SUMIFS(UseByTech!P$2:P$10000,UseByTech!$B$2:$B$10000,$A225)</f>
        <v>357.6703</v>
      </c>
      <c r="Q225">
        <f>SUMIFS(UseByTech!Q$2:Q$10000,UseByTech!$B$2:$B$10000,$A225)</f>
        <v>336.35009999999994</v>
      </c>
      <c r="R225">
        <f>SUMIFS(UseByTech!R$2:R$10000,UseByTech!$B$2:$B$10000,$A225)</f>
        <v>280.28079999999994</v>
      </c>
      <c r="S225">
        <f>SUMIFS(UseByTech!S$2:S$10000,UseByTech!$B$2:$B$10000,$A225)</f>
        <v>224.24390000000002</v>
      </c>
      <c r="T225">
        <f>SUMIFS(UseByTech!T$2:T$10000,UseByTech!$B$2:$B$10000,$A225)</f>
        <v>168.1747</v>
      </c>
      <c r="U225">
        <f>SUMIFS(UseByTech!U$2:U$10000,UseByTech!$B$2:$B$10000,$A225)</f>
        <v>112.10610000000001</v>
      </c>
      <c r="V225">
        <f>SUMIFS(UseByTech!V$2:V$10000,UseByTech!$B$2:$B$10000,$A225)</f>
        <v>56.068800000000003</v>
      </c>
      <c r="W225">
        <f>SUMIFS(UseByTech!W$2:W$10000,UseByTech!$B$2:$B$10000,$A225)</f>
        <v>0</v>
      </c>
      <c r="X225">
        <f>SUMIFS(UseByTech!X$2:X$10000,UseByTech!$B$2:$B$10000,$A225)</f>
        <v>0</v>
      </c>
      <c r="Y225">
        <f>SUMIFS(UseByTech!Y$2:Y$10000,UseByTech!$B$2:$B$10000,$A225)</f>
        <v>0</v>
      </c>
      <c r="Z225">
        <f>SUMIFS(UseByTech!Z$2:Z$10000,UseByTech!$B$2:$B$10000,$A225)</f>
        <v>0</v>
      </c>
      <c r="AA225">
        <f>SUMIFS(UseByTech!AA$2:AA$10000,UseByTech!$B$2:$B$10000,$A225)</f>
        <v>0</v>
      </c>
      <c r="AB225">
        <f>SUMIFS(UseByTech!AB$2:AB$10000,UseByTech!$B$2:$B$10000,$A225)</f>
        <v>0</v>
      </c>
      <c r="AC225">
        <f>SUMIFS(UseByTech!AC$2:AC$10000,UseByTech!$B$2:$B$10000,$A225)</f>
        <v>0</v>
      </c>
      <c r="AD225">
        <f>SUMIFS(UseByTech!AD$2:AD$10000,UseByTech!$B$2:$B$10000,$A225)</f>
        <v>0</v>
      </c>
      <c r="AE225">
        <f>SUMIFS(UseByTech!AE$2:AE$10000,UseByTech!$B$2:$B$10000,$A225)</f>
        <v>0</v>
      </c>
      <c r="AF225">
        <f>SUMIFS(UseByTech!AF$2:AF$10000,UseByTech!$B$2:$B$10000,$A225)</f>
        <v>0</v>
      </c>
      <c r="AG225">
        <f>SUMIFS(UseByTech!AG$2:AG$10000,UseByTech!$B$2:$B$10000,$A225)</f>
        <v>0</v>
      </c>
      <c r="AH225">
        <f>SUMIFS(UseByTech!AH$2:AH$10000,UseByTech!$B$2:$B$10000,$A225)</f>
        <v>0</v>
      </c>
      <c r="AI225">
        <f>SUMIFS(UseByTech!AI$2:AI$10000,UseByTech!$B$2:$B$10000,$A225)</f>
        <v>0</v>
      </c>
      <c r="AJ225">
        <f>SUMIFS(UseByTech!AJ$2:AJ$10000,UseByTech!$B$2:$B$10000,$A225)</f>
        <v>0</v>
      </c>
    </row>
    <row r="226" spans="1:36">
      <c r="A226" t="s">
        <v>138</v>
      </c>
      <c r="C226">
        <f>SUMIFS(UseByTech!C$2:C$10000,UseByTech!$B$2:$B$10000,$A226)</f>
        <v>0</v>
      </c>
      <c r="D226">
        <f>SUMIFS(UseByTech!D$2:D$10000,UseByTech!$B$2:$B$10000,$A226)</f>
        <v>0</v>
      </c>
      <c r="E226">
        <f>SUMIFS(UseByTech!E$2:E$10000,UseByTech!$B$2:$B$10000,$A226)</f>
        <v>0</v>
      </c>
      <c r="F226">
        <f>SUMIFS(UseByTech!F$2:F$10000,UseByTech!$B$2:$B$10000,$A226)</f>
        <v>0</v>
      </c>
      <c r="G226">
        <f>SUMIFS(UseByTech!G$2:G$10000,UseByTech!$B$2:$B$10000,$A226)</f>
        <v>0</v>
      </c>
      <c r="H226">
        <f>SUMIFS(UseByTech!H$2:H$10000,UseByTech!$B$2:$B$10000,$A226)</f>
        <v>0</v>
      </c>
      <c r="I226">
        <f>SUMIFS(UseByTech!I$2:I$10000,UseByTech!$B$2:$B$10000,$A226)</f>
        <v>0</v>
      </c>
      <c r="J226">
        <f>SUMIFS(UseByTech!J$2:J$10000,UseByTech!$B$2:$B$10000,$A226)</f>
        <v>0</v>
      </c>
      <c r="K226">
        <f>SUMIFS(UseByTech!K$2:K$10000,UseByTech!$B$2:$B$10000,$A226)</f>
        <v>0</v>
      </c>
      <c r="L226">
        <f>SUMIFS(UseByTech!L$2:L$10000,UseByTech!$B$2:$B$10000,$A226)</f>
        <v>0</v>
      </c>
      <c r="M226">
        <f>SUMIFS(UseByTech!M$2:M$10000,UseByTech!$B$2:$B$10000,$A226)</f>
        <v>0</v>
      </c>
      <c r="N226">
        <f>SUMIFS(UseByTech!N$2:N$10000,UseByTech!$B$2:$B$10000,$A226)</f>
        <v>0</v>
      </c>
      <c r="O226">
        <f>SUMIFS(UseByTech!O$2:O$10000,UseByTech!$B$2:$B$10000,$A226)</f>
        <v>0</v>
      </c>
      <c r="P226">
        <f>SUMIFS(UseByTech!P$2:P$10000,UseByTech!$B$2:$B$10000,$A226)</f>
        <v>0</v>
      </c>
      <c r="Q226">
        <f>SUMIFS(UseByTech!Q$2:Q$10000,UseByTech!$B$2:$B$10000,$A226)</f>
        <v>0</v>
      </c>
      <c r="R226">
        <f>SUMIFS(UseByTech!R$2:R$10000,UseByTech!$B$2:$B$10000,$A226)</f>
        <v>0</v>
      </c>
      <c r="S226">
        <f>SUMIFS(UseByTech!S$2:S$10000,UseByTech!$B$2:$B$10000,$A226)</f>
        <v>0</v>
      </c>
      <c r="T226">
        <f>SUMIFS(UseByTech!T$2:T$10000,UseByTech!$B$2:$B$10000,$A226)</f>
        <v>0</v>
      </c>
      <c r="U226">
        <f>SUMIFS(UseByTech!U$2:U$10000,UseByTech!$B$2:$B$10000,$A226)</f>
        <v>0</v>
      </c>
      <c r="V226">
        <f>SUMIFS(UseByTech!V$2:V$10000,UseByTech!$B$2:$B$10000,$A226)</f>
        <v>0</v>
      </c>
      <c r="W226">
        <f>SUMIFS(UseByTech!W$2:W$10000,UseByTech!$B$2:$B$10000,$A226)</f>
        <v>0</v>
      </c>
      <c r="X226">
        <f>SUMIFS(UseByTech!X$2:X$10000,UseByTech!$B$2:$B$10000,$A226)</f>
        <v>0</v>
      </c>
      <c r="Y226">
        <f>SUMIFS(UseByTech!Y$2:Y$10000,UseByTech!$B$2:$B$10000,$A226)</f>
        <v>0</v>
      </c>
      <c r="Z226">
        <f>SUMIFS(UseByTech!Z$2:Z$10000,UseByTech!$B$2:$B$10000,$A226)</f>
        <v>0</v>
      </c>
      <c r="AA226">
        <f>SUMIFS(UseByTech!AA$2:AA$10000,UseByTech!$B$2:$B$10000,$A226)</f>
        <v>0</v>
      </c>
      <c r="AB226">
        <f>SUMIFS(UseByTech!AB$2:AB$10000,UseByTech!$B$2:$B$10000,$A226)</f>
        <v>0</v>
      </c>
      <c r="AC226">
        <f>SUMIFS(UseByTech!AC$2:AC$10000,UseByTech!$B$2:$B$10000,$A226)</f>
        <v>0</v>
      </c>
      <c r="AD226">
        <f>SUMIFS(UseByTech!AD$2:AD$10000,UseByTech!$B$2:$B$10000,$A226)</f>
        <v>0</v>
      </c>
      <c r="AE226">
        <f>SUMIFS(UseByTech!AE$2:AE$10000,UseByTech!$B$2:$B$10000,$A226)</f>
        <v>0</v>
      </c>
      <c r="AF226">
        <f>SUMIFS(UseByTech!AF$2:AF$10000,UseByTech!$B$2:$B$10000,$A226)</f>
        <v>0</v>
      </c>
      <c r="AG226">
        <f>SUMIFS(UseByTech!AG$2:AG$10000,UseByTech!$B$2:$B$10000,$A226)</f>
        <v>0</v>
      </c>
      <c r="AH226">
        <f>SUMIFS(UseByTech!AH$2:AH$10000,UseByTech!$B$2:$B$10000,$A226)</f>
        <v>0</v>
      </c>
      <c r="AI226">
        <f>SUMIFS(UseByTech!AI$2:AI$10000,UseByTech!$B$2:$B$10000,$A226)</f>
        <v>0</v>
      </c>
      <c r="AJ226">
        <f>SUMIFS(UseByTech!AJ$2:AJ$10000,UseByTech!$B$2:$B$10000,$A226)</f>
        <v>0</v>
      </c>
    </row>
    <row r="227" spans="1:36">
      <c r="A227" t="s">
        <v>141</v>
      </c>
      <c r="C227">
        <f>SUMIFS(UseByTech!C$2:C$10000,UseByTech!$B$2:$B$10000,$A227)</f>
        <v>0</v>
      </c>
      <c r="D227">
        <f>SUMIFS(UseByTech!D$2:D$10000,UseByTech!$B$2:$B$10000,$A227)</f>
        <v>0</v>
      </c>
      <c r="E227">
        <f>SUMIFS(UseByTech!E$2:E$10000,UseByTech!$B$2:$B$10000,$A227)</f>
        <v>0</v>
      </c>
      <c r="F227">
        <f>SUMIFS(UseByTech!F$2:F$10000,UseByTech!$B$2:$B$10000,$A227)</f>
        <v>0</v>
      </c>
      <c r="G227">
        <f>SUMIFS(UseByTech!G$2:G$10000,UseByTech!$B$2:$B$10000,$A227)</f>
        <v>0</v>
      </c>
      <c r="H227">
        <f>SUMIFS(UseByTech!H$2:H$10000,UseByTech!$B$2:$B$10000,$A227)</f>
        <v>0</v>
      </c>
      <c r="I227">
        <f>SUMIFS(UseByTech!I$2:I$10000,UseByTech!$B$2:$B$10000,$A227)</f>
        <v>0</v>
      </c>
      <c r="J227">
        <f>SUMIFS(UseByTech!J$2:J$10000,UseByTech!$B$2:$B$10000,$A227)</f>
        <v>0</v>
      </c>
      <c r="K227">
        <f>SUMIFS(UseByTech!K$2:K$10000,UseByTech!$B$2:$B$10000,$A227)</f>
        <v>0</v>
      </c>
      <c r="L227">
        <f>SUMIFS(UseByTech!L$2:L$10000,UseByTech!$B$2:$B$10000,$A227)</f>
        <v>0</v>
      </c>
      <c r="M227">
        <f>SUMIFS(UseByTech!M$2:M$10000,UseByTech!$B$2:$B$10000,$A227)</f>
        <v>0</v>
      </c>
      <c r="N227">
        <f>SUMIFS(UseByTech!N$2:N$10000,UseByTech!$B$2:$B$10000,$A227)</f>
        <v>0</v>
      </c>
      <c r="O227">
        <f>SUMIFS(UseByTech!O$2:O$10000,UseByTech!$B$2:$B$10000,$A227)</f>
        <v>0</v>
      </c>
      <c r="P227">
        <f>SUMIFS(UseByTech!P$2:P$10000,UseByTech!$B$2:$B$10000,$A227)</f>
        <v>0</v>
      </c>
      <c r="Q227">
        <f>SUMIFS(UseByTech!Q$2:Q$10000,UseByTech!$B$2:$B$10000,$A227)</f>
        <v>0</v>
      </c>
      <c r="R227">
        <f>SUMIFS(UseByTech!R$2:R$10000,UseByTech!$B$2:$B$10000,$A227)</f>
        <v>0</v>
      </c>
      <c r="S227">
        <f>SUMIFS(UseByTech!S$2:S$10000,UseByTech!$B$2:$B$10000,$A227)</f>
        <v>0</v>
      </c>
      <c r="T227">
        <f>SUMIFS(UseByTech!T$2:T$10000,UseByTech!$B$2:$B$10000,$A227)</f>
        <v>0</v>
      </c>
      <c r="U227">
        <f>SUMIFS(UseByTech!U$2:U$10000,UseByTech!$B$2:$B$10000,$A227)</f>
        <v>0</v>
      </c>
      <c r="V227">
        <f>SUMIFS(UseByTech!V$2:V$10000,UseByTech!$B$2:$B$10000,$A227)</f>
        <v>0</v>
      </c>
      <c r="W227">
        <f>SUMIFS(UseByTech!W$2:W$10000,UseByTech!$B$2:$B$10000,$A227)</f>
        <v>0</v>
      </c>
      <c r="X227">
        <f>SUMIFS(UseByTech!X$2:X$10000,UseByTech!$B$2:$B$10000,$A227)</f>
        <v>0</v>
      </c>
      <c r="Y227">
        <f>SUMIFS(UseByTech!Y$2:Y$10000,UseByTech!$B$2:$B$10000,$A227)</f>
        <v>0</v>
      </c>
      <c r="Z227">
        <f>SUMIFS(UseByTech!Z$2:Z$10000,UseByTech!$B$2:$B$10000,$A227)</f>
        <v>0</v>
      </c>
      <c r="AA227">
        <f>SUMIFS(UseByTech!AA$2:AA$10000,UseByTech!$B$2:$B$10000,$A227)</f>
        <v>0</v>
      </c>
      <c r="AB227">
        <f>SUMIFS(UseByTech!AB$2:AB$10000,UseByTech!$B$2:$B$10000,$A227)</f>
        <v>0</v>
      </c>
      <c r="AC227">
        <f>SUMIFS(UseByTech!AC$2:AC$10000,UseByTech!$B$2:$B$10000,$A227)</f>
        <v>0</v>
      </c>
      <c r="AD227">
        <f>SUMIFS(UseByTech!AD$2:AD$10000,UseByTech!$B$2:$B$10000,$A227)</f>
        <v>0</v>
      </c>
      <c r="AE227">
        <f>SUMIFS(UseByTech!AE$2:AE$10000,UseByTech!$B$2:$B$10000,$A227)</f>
        <v>0</v>
      </c>
      <c r="AF227">
        <f>SUMIFS(UseByTech!AF$2:AF$10000,UseByTech!$B$2:$B$10000,$A227)</f>
        <v>0</v>
      </c>
      <c r="AG227">
        <f>SUMIFS(UseByTech!AG$2:AG$10000,UseByTech!$B$2:$B$10000,$A227)</f>
        <v>0</v>
      </c>
      <c r="AH227">
        <f>SUMIFS(UseByTech!AH$2:AH$10000,UseByTech!$B$2:$B$10000,$A227)</f>
        <v>0</v>
      </c>
      <c r="AI227">
        <f>SUMIFS(UseByTech!AI$2:AI$10000,UseByTech!$B$2:$B$10000,$A227)</f>
        <v>0</v>
      </c>
      <c r="AJ227">
        <f>SUMIFS(UseByTech!AJ$2:AJ$10000,UseByTech!$B$2:$B$10000,$A227)</f>
        <v>0</v>
      </c>
    </row>
    <row r="228" spans="1:36">
      <c r="A228" t="s">
        <v>142</v>
      </c>
      <c r="C228">
        <f>SUMIFS(UseByTech!C$2:C$10000,UseByTech!$B$2:$B$10000,$A228)</f>
        <v>0</v>
      </c>
      <c r="D228">
        <f>SUMIFS(UseByTech!D$2:D$10000,UseByTech!$B$2:$B$10000,$A228)</f>
        <v>0</v>
      </c>
      <c r="E228">
        <f>SUMIFS(UseByTech!E$2:E$10000,UseByTech!$B$2:$B$10000,$A228)</f>
        <v>0</v>
      </c>
      <c r="F228">
        <f>SUMIFS(UseByTech!F$2:F$10000,UseByTech!$B$2:$B$10000,$A228)</f>
        <v>0</v>
      </c>
      <c r="G228">
        <f>SUMIFS(UseByTech!G$2:G$10000,UseByTech!$B$2:$B$10000,$A228)</f>
        <v>0</v>
      </c>
      <c r="H228">
        <f>SUMIFS(UseByTech!H$2:H$10000,UseByTech!$B$2:$B$10000,$A228)</f>
        <v>150.88200000000003</v>
      </c>
      <c r="I228">
        <f>SUMIFS(UseByTech!I$2:I$10000,UseByTech!$B$2:$B$10000,$A228)</f>
        <v>150.88200000000003</v>
      </c>
      <c r="J228">
        <f>SUMIFS(UseByTech!J$2:J$10000,UseByTech!$B$2:$B$10000,$A228)</f>
        <v>257.45520000000005</v>
      </c>
      <c r="K228">
        <f>SUMIFS(UseByTech!K$2:K$10000,UseByTech!$B$2:$B$10000,$A228)</f>
        <v>363.62219999999991</v>
      </c>
      <c r="L228">
        <f>SUMIFS(UseByTech!L$2:L$10000,UseByTech!$B$2:$B$10000,$A228)</f>
        <v>469.28520000000015</v>
      </c>
      <c r="M228">
        <f>SUMIFS(UseByTech!M$2:M$10000,UseByTech!$B$2:$B$10000,$A228)</f>
        <v>909.67849999999976</v>
      </c>
      <c r="N228">
        <f>SUMIFS(UseByTech!N$2:N$10000,UseByTech!$B$2:$B$10000,$A228)</f>
        <v>928.47589999999968</v>
      </c>
      <c r="O228">
        <f>SUMIFS(UseByTech!O$2:O$10000,UseByTech!$B$2:$B$10000,$A228)</f>
        <v>938.99299999999982</v>
      </c>
      <c r="P228">
        <f>SUMIFS(UseByTech!P$2:P$10000,UseByTech!$B$2:$B$10000,$A228)</f>
        <v>951.41819999999973</v>
      </c>
      <c r="Q228">
        <f>SUMIFS(UseByTech!Q$2:Q$10000,UseByTech!$B$2:$B$10000,$A228)</f>
        <v>899.81519999999978</v>
      </c>
      <c r="R228">
        <f>SUMIFS(UseByTech!R$2:R$10000,UseByTech!$B$2:$B$10000,$A228)</f>
        <v>867.86659999999983</v>
      </c>
      <c r="S228">
        <f>SUMIFS(UseByTech!S$2:S$10000,UseByTech!$B$2:$B$10000,$A228)</f>
        <v>812.08099999999979</v>
      </c>
      <c r="T228">
        <f>SUMIFS(UseByTech!T$2:T$10000,UseByTech!$B$2:$B$10000,$A228)</f>
        <v>776.39019999999982</v>
      </c>
      <c r="U228">
        <f>SUMIFS(UseByTech!U$2:U$10000,UseByTech!$B$2:$B$10000,$A228)</f>
        <v>717.34519999999986</v>
      </c>
      <c r="V228">
        <f>SUMIFS(UseByTech!V$2:V$10000,UseByTech!$B$2:$B$10000,$A228)</f>
        <v>698.99729999999988</v>
      </c>
      <c r="W228">
        <f>SUMIFS(UseByTech!W$2:W$10000,UseByTech!$B$2:$B$10000,$A228)</f>
        <v>696.50169999999991</v>
      </c>
      <c r="X228">
        <f>SUMIFS(UseByTech!X$2:X$10000,UseByTech!$B$2:$B$10000,$A228)</f>
        <v>701.96929999999975</v>
      </c>
      <c r="Y228">
        <f>SUMIFS(UseByTech!Y$2:Y$10000,UseByTech!$B$2:$B$10000,$A228)</f>
        <v>707.92549999999983</v>
      </c>
      <c r="Z228">
        <f>SUMIFS(UseByTech!Z$2:Z$10000,UseByTech!$B$2:$B$10000,$A228)</f>
        <v>717.63899999999978</v>
      </c>
      <c r="AA228">
        <f>SUMIFS(UseByTech!AA$2:AA$10000,UseByTech!$B$2:$B$10000,$A228)</f>
        <v>723.47659999999996</v>
      </c>
      <c r="AB228">
        <f>SUMIFS(UseByTech!AB$2:AB$10000,UseByTech!$B$2:$B$10000,$A228)</f>
        <v>723.17279999999994</v>
      </c>
      <c r="AC228">
        <f>SUMIFS(UseByTech!AC$2:AC$10000,UseByTech!$B$2:$B$10000,$A228)</f>
        <v>677.1296000000001</v>
      </c>
      <c r="AD228">
        <f>SUMIFS(UseByTech!AD$2:AD$10000,UseByTech!$B$2:$B$10000,$A228)</f>
        <v>615.89060000000006</v>
      </c>
      <c r="AE228">
        <f>SUMIFS(UseByTech!AE$2:AE$10000,UseByTech!$B$2:$B$10000,$A228)</f>
        <v>594.77520000000004</v>
      </c>
      <c r="AF228">
        <f>SUMIFS(UseByTech!AF$2:AF$10000,UseByTech!$B$2:$B$10000,$A228)</f>
        <v>571.8655</v>
      </c>
      <c r="AG228">
        <f>SUMIFS(UseByTech!AG$2:AG$10000,UseByTech!$B$2:$B$10000,$A228)</f>
        <v>509.08069999999992</v>
      </c>
      <c r="AH228">
        <f>SUMIFS(UseByTech!AH$2:AH$10000,UseByTech!$B$2:$B$10000,$A228)</f>
        <v>495.09579999999994</v>
      </c>
      <c r="AI228">
        <f>SUMIFS(UseByTech!AI$2:AI$10000,UseByTech!$B$2:$B$10000,$A228)</f>
        <v>463.9289999999998</v>
      </c>
      <c r="AJ228">
        <f>SUMIFS(UseByTech!AJ$2:AJ$10000,UseByTech!$B$2:$B$10000,$A228)</f>
        <v>385.27199999999988</v>
      </c>
    </row>
    <row r="229" spans="1:36">
      <c r="A229" t="s">
        <v>143</v>
      </c>
      <c r="C229">
        <f>SUMIFS(UseByTech!C$2:C$10000,UseByTech!$B$2:$B$10000,$A229)</f>
        <v>0</v>
      </c>
      <c r="D229">
        <f>SUMIFS(UseByTech!D$2:D$10000,UseByTech!$B$2:$B$10000,$A229)</f>
        <v>0</v>
      </c>
      <c r="E229">
        <f>SUMIFS(UseByTech!E$2:E$10000,UseByTech!$B$2:$B$10000,$A229)</f>
        <v>0</v>
      </c>
      <c r="F229">
        <f>SUMIFS(UseByTech!F$2:F$10000,UseByTech!$B$2:$B$10000,$A229)</f>
        <v>0</v>
      </c>
      <c r="G229">
        <f>SUMIFS(UseByTech!G$2:G$10000,UseByTech!$B$2:$B$10000,$A229)</f>
        <v>0</v>
      </c>
      <c r="H229">
        <f>SUMIFS(UseByTech!H$2:H$10000,UseByTech!$B$2:$B$10000,$A229)</f>
        <v>0</v>
      </c>
      <c r="I229">
        <f>SUMIFS(UseByTech!I$2:I$10000,UseByTech!$B$2:$B$10000,$A229)</f>
        <v>0</v>
      </c>
      <c r="J229">
        <f>SUMIFS(UseByTech!J$2:J$10000,UseByTech!$B$2:$B$10000,$A229)</f>
        <v>0</v>
      </c>
      <c r="K229">
        <f>SUMIFS(UseByTech!K$2:K$10000,UseByTech!$B$2:$B$10000,$A229)</f>
        <v>0</v>
      </c>
      <c r="L229">
        <f>SUMIFS(UseByTech!L$2:L$10000,UseByTech!$B$2:$B$10000,$A229)</f>
        <v>0</v>
      </c>
      <c r="M229">
        <f>SUMIFS(UseByTech!M$2:M$10000,UseByTech!$B$2:$B$10000,$A229)</f>
        <v>0</v>
      </c>
      <c r="N229">
        <f>SUMIFS(UseByTech!N$2:N$10000,UseByTech!$B$2:$B$10000,$A229)</f>
        <v>0</v>
      </c>
      <c r="O229">
        <f>SUMIFS(UseByTech!O$2:O$10000,UseByTech!$B$2:$B$10000,$A229)</f>
        <v>0</v>
      </c>
      <c r="P229">
        <f>SUMIFS(UseByTech!P$2:P$10000,UseByTech!$B$2:$B$10000,$A229)</f>
        <v>0</v>
      </c>
      <c r="Q229">
        <f>SUMIFS(UseByTech!Q$2:Q$10000,UseByTech!$B$2:$B$10000,$A229)</f>
        <v>0</v>
      </c>
      <c r="R229">
        <f>SUMIFS(UseByTech!R$2:R$10000,UseByTech!$B$2:$B$10000,$A229)</f>
        <v>0</v>
      </c>
      <c r="S229">
        <f>SUMIFS(UseByTech!S$2:S$10000,UseByTech!$B$2:$B$10000,$A229)</f>
        <v>0</v>
      </c>
      <c r="T229">
        <f>SUMIFS(UseByTech!T$2:T$10000,UseByTech!$B$2:$B$10000,$A229)</f>
        <v>0</v>
      </c>
      <c r="U229">
        <f>SUMIFS(UseByTech!U$2:U$10000,UseByTech!$B$2:$B$10000,$A229)</f>
        <v>0</v>
      </c>
      <c r="V229">
        <f>SUMIFS(UseByTech!V$2:V$10000,UseByTech!$B$2:$B$10000,$A229)</f>
        <v>0</v>
      </c>
      <c r="W229">
        <f>SUMIFS(UseByTech!W$2:W$10000,UseByTech!$B$2:$B$10000,$A229)</f>
        <v>0</v>
      </c>
      <c r="X229">
        <f>SUMIFS(UseByTech!X$2:X$10000,UseByTech!$B$2:$B$10000,$A229)</f>
        <v>0</v>
      </c>
      <c r="Y229">
        <f>SUMIFS(UseByTech!Y$2:Y$10000,UseByTech!$B$2:$B$10000,$A229)</f>
        <v>0</v>
      </c>
      <c r="Z229">
        <f>SUMIFS(UseByTech!Z$2:Z$10000,UseByTech!$B$2:$B$10000,$A229)</f>
        <v>0</v>
      </c>
      <c r="AA229">
        <f>SUMIFS(UseByTech!AA$2:AA$10000,UseByTech!$B$2:$B$10000,$A229)</f>
        <v>0</v>
      </c>
      <c r="AB229">
        <f>SUMIFS(UseByTech!AB$2:AB$10000,UseByTech!$B$2:$B$10000,$A229)</f>
        <v>0</v>
      </c>
      <c r="AC229">
        <f>SUMIFS(UseByTech!AC$2:AC$10000,UseByTech!$B$2:$B$10000,$A229)</f>
        <v>0</v>
      </c>
      <c r="AD229">
        <f>SUMIFS(UseByTech!AD$2:AD$10000,UseByTech!$B$2:$B$10000,$A229)</f>
        <v>0</v>
      </c>
      <c r="AE229">
        <f>SUMIFS(UseByTech!AE$2:AE$10000,UseByTech!$B$2:$B$10000,$A229)</f>
        <v>0</v>
      </c>
      <c r="AF229">
        <f>SUMIFS(UseByTech!AF$2:AF$10000,UseByTech!$B$2:$B$10000,$A229)</f>
        <v>0</v>
      </c>
      <c r="AG229">
        <f>SUMIFS(UseByTech!AG$2:AG$10000,UseByTech!$B$2:$B$10000,$A229)</f>
        <v>0</v>
      </c>
      <c r="AH229">
        <f>SUMIFS(UseByTech!AH$2:AH$10000,UseByTech!$B$2:$B$10000,$A229)</f>
        <v>0</v>
      </c>
      <c r="AI229">
        <f>SUMIFS(UseByTech!AI$2:AI$10000,UseByTech!$B$2:$B$10000,$A229)</f>
        <v>0</v>
      </c>
      <c r="AJ229">
        <f>SUMIFS(UseByTech!AJ$2:AJ$10000,UseByTech!$B$2:$B$10000,$A229)</f>
        <v>0</v>
      </c>
    </row>
    <row r="230" spans="1:36">
      <c r="A230" t="s">
        <v>144</v>
      </c>
      <c r="C230">
        <f>SUMIFS(UseByTech!C$2:C$10000,UseByTech!$B$2:$B$10000,$A230)</f>
        <v>0</v>
      </c>
      <c r="D230">
        <f>SUMIFS(UseByTech!D$2:D$10000,UseByTech!$B$2:$B$10000,$A230)</f>
        <v>0</v>
      </c>
      <c r="E230">
        <f>SUMIFS(UseByTech!E$2:E$10000,UseByTech!$B$2:$B$10000,$A230)</f>
        <v>0</v>
      </c>
      <c r="F230">
        <f>SUMIFS(UseByTech!F$2:F$10000,UseByTech!$B$2:$B$10000,$A230)</f>
        <v>0</v>
      </c>
      <c r="G230">
        <f>SUMIFS(UseByTech!G$2:G$10000,UseByTech!$B$2:$B$10000,$A230)</f>
        <v>0</v>
      </c>
      <c r="H230">
        <f>SUMIFS(UseByTech!H$2:H$10000,UseByTech!$B$2:$B$10000,$A230)</f>
        <v>0</v>
      </c>
      <c r="I230">
        <f>SUMIFS(UseByTech!I$2:I$10000,UseByTech!$B$2:$B$10000,$A230)</f>
        <v>0</v>
      </c>
      <c r="J230">
        <f>SUMIFS(UseByTech!J$2:J$10000,UseByTech!$B$2:$B$10000,$A230)</f>
        <v>0</v>
      </c>
      <c r="K230">
        <f>SUMIFS(UseByTech!K$2:K$10000,UseByTech!$B$2:$B$10000,$A230)</f>
        <v>0</v>
      </c>
      <c r="L230">
        <f>SUMIFS(UseByTech!L$2:L$10000,UseByTech!$B$2:$B$10000,$A230)</f>
        <v>0</v>
      </c>
      <c r="M230">
        <f>SUMIFS(UseByTech!M$2:M$10000,UseByTech!$B$2:$B$10000,$A230)</f>
        <v>0</v>
      </c>
      <c r="N230">
        <f>SUMIFS(UseByTech!N$2:N$10000,UseByTech!$B$2:$B$10000,$A230)</f>
        <v>0</v>
      </c>
      <c r="O230">
        <f>SUMIFS(UseByTech!O$2:O$10000,UseByTech!$B$2:$B$10000,$A230)</f>
        <v>0</v>
      </c>
      <c r="P230">
        <f>SUMIFS(UseByTech!P$2:P$10000,UseByTech!$B$2:$B$10000,$A230)</f>
        <v>0</v>
      </c>
      <c r="Q230">
        <f>SUMIFS(UseByTech!Q$2:Q$10000,UseByTech!$B$2:$B$10000,$A230)</f>
        <v>0</v>
      </c>
      <c r="R230">
        <f>SUMIFS(UseByTech!R$2:R$10000,UseByTech!$B$2:$B$10000,$A230)</f>
        <v>0</v>
      </c>
      <c r="S230">
        <f>SUMIFS(UseByTech!S$2:S$10000,UseByTech!$B$2:$B$10000,$A230)</f>
        <v>0</v>
      </c>
      <c r="T230">
        <f>SUMIFS(UseByTech!T$2:T$10000,UseByTech!$B$2:$B$10000,$A230)</f>
        <v>0</v>
      </c>
      <c r="U230">
        <f>SUMIFS(UseByTech!U$2:U$10000,UseByTech!$B$2:$B$10000,$A230)</f>
        <v>0</v>
      </c>
      <c r="V230">
        <f>SUMIFS(UseByTech!V$2:V$10000,UseByTech!$B$2:$B$10000,$A230)</f>
        <v>0</v>
      </c>
      <c r="W230">
        <f>SUMIFS(UseByTech!W$2:W$10000,UseByTech!$B$2:$B$10000,$A230)</f>
        <v>0</v>
      </c>
      <c r="X230">
        <f>SUMIFS(UseByTech!X$2:X$10000,UseByTech!$B$2:$B$10000,$A230)</f>
        <v>0</v>
      </c>
      <c r="Y230">
        <f>SUMIFS(UseByTech!Y$2:Y$10000,UseByTech!$B$2:$B$10000,$A230)</f>
        <v>0</v>
      </c>
      <c r="Z230">
        <f>SUMIFS(UseByTech!Z$2:Z$10000,UseByTech!$B$2:$B$10000,$A230)</f>
        <v>0</v>
      </c>
      <c r="AA230">
        <f>SUMIFS(UseByTech!AA$2:AA$10000,UseByTech!$B$2:$B$10000,$A230)</f>
        <v>0</v>
      </c>
      <c r="AB230">
        <f>SUMIFS(UseByTech!AB$2:AB$10000,UseByTech!$B$2:$B$10000,$A230)</f>
        <v>0</v>
      </c>
      <c r="AC230">
        <f>SUMIFS(UseByTech!AC$2:AC$10000,UseByTech!$B$2:$B$10000,$A230)</f>
        <v>0</v>
      </c>
      <c r="AD230">
        <f>SUMIFS(UseByTech!AD$2:AD$10000,UseByTech!$B$2:$B$10000,$A230)</f>
        <v>0</v>
      </c>
      <c r="AE230">
        <f>SUMIFS(UseByTech!AE$2:AE$10000,UseByTech!$B$2:$B$10000,$A230)</f>
        <v>0</v>
      </c>
      <c r="AF230">
        <f>SUMIFS(UseByTech!AF$2:AF$10000,UseByTech!$B$2:$B$10000,$A230)</f>
        <v>0</v>
      </c>
      <c r="AG230">
        <f>SUMIFS(UseByTech!AG$2:AG$10000,UseByTech!$B$2:$B$10000,$A230)</f>
        <v>0</v>
      </c>
      <c r="AH230">
        <f>SUMIFS(UseByTech!AH$2:AH$10000,UseByTech!$B$2:$B$10000,$A230)</f>
        <v>0</v>
      </c>
      <c r="AI230">
        <f>SUMIFS(UseByTech!AI$2:AI$10000,UseByTech!$B$2:$B$10000,$A230)</f>
        <v>0</v>
      </c>
      <c r="AJ230">
        <f>SUMIFS(UseByTech!AJ$2:AJ$10000,UseByTech!$B$2:$B$10000,$A230)</f>
        <v>0</v>
      </c>
    </row>
    <row r="231" spans="1:36">
      <c r="A231" t="s">
        <v>145</v>
      </c>
      <c r="C231">
        <f>SUMIFS(UseByTech!C$2:C$10000,UseByTech!$B$2:$B$10000,$A231)</f>
        <v>0</v>
      </c>
      <c r="D231">
        <f>SUMIFS(UseByTech!D$2:D$10000,UseByTech!$B$2:$B$10000,$A231)</f>
        <v>0</v>
      </c>
      <c r="E231">
        <f>SUMIFS(UseByTech!E$2:E$10000,UseByTech!$B$2:$B$10000,$A231)</f>
        <v>0</v>
      </c>
      <c r="F231">
        <f>SUMIFS(UseByTech!F$2:F$10000,UseByTech!$B$2:$B$10000,$A231)</f>
        <v>0</v>
      </c>
      <c r="G231">
        <f>SUMIFS(UseByTech!G$2:G$10000,UseByTech!$B$2:$B$10000,$A231)</f>
        <v>0</v>
      </c>
      <c r="H231">
        <f>SUMIFS(UseByTech!H$2:H$10000,UseByTech!$B$2:$B$10000,$A231)</f>
        <v>0</v>
      </c>
      <c r="I231">
        <f>SUMIFS(UseByTech!I$2:I$10000,UseByTech!$B$2:$B$10000,$A231)</f>
        <v>0</v>
      </c>
      <c r="J231">
        <f>SUMIFS(UseByTech!J$2:J$10000,UseByTech!$B$2:$B$10000,$A231)</f>
        <v>0</v>
      </c>
      <c r="K231">
        <f>SUMIFS(UseByTech!K$2:K$10000,UseByTech!$B$2:$B$10000,$A231)</f>
        <v>0</v>
      </c>
      <c r="L231">
        <f>SUMIFS(UseByTech!L$2:L$10000,UseByTech!$B$2:$B$10000,$A231)</f>
        <v>0</v>
      </c>
      <c r="M231">
        <f>SUMIFS(UseByTech!M$2:M$10000,UseByTech!$B$2:$B$10000,$A231)</f>
        <v>0</v>
      </c>
      <c r="N231">
        <f>SUMIFS(UseByTech!N$2:N$10000,UseByTech!$B$2:$B$10000,$A231)</f>
        <v>0</v>
      </c>
      <c r="O231">
        <f>SUMIFS(UseByTech!O$2:O$10000,UseByTech!$B$2:$B$10000,$A231)</f>
        <v>0</v>
      </c>
      <c r="P231">
        <f>SUMIFS(UseByTech!P$2:P$10000,UseByTech!$B$2:$B$10000,$A231)</f>
        <v>0</v>
      </c>
      <c r="Q231">
        <f>SUMIFS(UseByTech!Q$2:Q$10000,UseByTech!$B$2:$B$10000,$A231)</f>
        <v>0</v>
      </c>
      <c r="R231">
        <f>SUMIFS(UseByTech!R$2:R$10000,UseByTech!$B$2:$B$10000,$A231)</f>
        <v>0</v>
      </c>
      <c r="S231">
        <f>SUMIFS(UseByTech!S$2:S$10000,UseByTech!$B$2:$B$10000,$A231)</f>
        <v>0</v>
      </c>
      <c r="T231">
        <f>SUMIFS(UseByTech!T$2:T$10000,UseByTech!$B$2:$B$10000,$A231)</f>
        <v>0</v>
      </c>
      <c r="U231">
        <f>SUMIFS(UseByTech!U$2:U$10000,UseByTech!$B$2:$B$10000,$A231)</f>
        <v>0</v>
      </c>
      <c r="V231">
        <f>SUMIFS(UseByTech!V$2:V$10000,UseByTech!$B$2:$B$10000,$A231)</f>
        <v>0</v>
      </c>
      <c r="W231">
        <f>SUMIFS(UseByTech!W$2:W$10000,UseByTech!$B$2:$B$10000,$A231)</f>
        <v>0</v>
      </c>
      <c r="X231">
        <f>SUMIFS(UseByTech!X$2:X$10000,UseByTech!$B$2:$B$10000,$A231)</f>
        <v>0</v>
      </c>
      <c r="Y231">
        <f>SUMIFS(UseByTech!Y$2:Y$10000,UseByTech!$B$2:$B$10000,$A231)</f>
        <v>0</v>
      </c>
      <c r="Z231">
        <f>SUMIFS(UseByTech!Z$2:Z$10000,UseByTech!$B$2:$B$10000,$A231)</f>
        <v>0</v>
      </c>
      <c r="AA231">
        <f>SUMIFS(UseByTech!AA$2:AA$10000,UseByTech!$B$2:$B$10000,$A231)</f>
        <v>0</v>
      </c>
      <c r="AB231">
        <f>SUMIFS(UseByTech!AB$2:AB$10000,UseByTech!$B$2:$B$10000,$A231)</f>
        <v>0</v>
      </c>
      <c r="AC231">
        <f>SUMIFS(UseByTech!AC$2:AC$10000,UseByTech!$B$2:$B$10000,$A231)</f>
        <v>0</v>
      </c>
      <c r="AD231">
        <f>SUMIFS(UseByTech!AD$2:AD$10000,UseByTech!$B$2:$B$10000,$A231)</f>
        <v>0</v>
      </c>
      <c r="AE231">
        <f>SUMIFS(UseByTech!AE$2:AE$10000,UseByTech!$B$2:$B$10000,$A231)</f>
        <v>0</v>
      </c>
      <c r="AF231">
        <f>SUMIFS(UseByTech!AF$2:AF$10000,UseByTech!$B$2:$B$10000,$A231)</f>
        <v>0</v>
      </c>
      <c r="AG231">
        <f>SUMIFS(UseByTech!AG$2:AG$10000,UseByTech!$B$2:$B$10000,$A231)</f>
        <v>0</v>
      </c>
      <c r="AH231">
        <f>SUMIFS(UseByTech!AH$2:AH$10000,UseByTech!$B$2:$B$10000,$A231)</f>
        <v>0</v>
      </c>
      <c r="AI231">
        <f>SUMIFS(UseByTech!AI$2:AI$10000,UseByTech!$B$2:$B$10000,$A231)</f>
        <v>0</v>
      </c>
      <c r="AJ231">
        <f>SUMIFS(UseByTech!AJ$2:AJ$10000,UseByTech!$B$2:$B$10000,$A231)</f>
        <v>0</v>
      </c>
    </row>
    <row r="232" spans="1:36">
      <c r="A232" t="s">
        <v>146</v>
      </c>
      <c r="C232">
        <f>SUMIFS(UseByTech!C$2:C$10000,UseByTech!$B$2:$B$10000,$A232)</f>
        <v>0</v>
      </c>
      <c r="D232">
        <f>SUMIFS(UseByTech!D$2:D$10000,UseByTech!$B$2:$B$10000,$A232)</f>
        <v>0</v>
      </c>
      <c r="E232">
        <f>SUMIFS(UseByTech!E$2:E$10000,UseByTech!$B$2:$B$10000,$A232)</f>
        <v>0</v>
      </c>
      <c r="F232">
        <f>SUMIFS(UseByTech!F$2:F$10000,UseByTech!$B$2:$B$10000,$A232)</f>
        <v>0</v>
      </c>
      <c r="G232">
        <f>SUMIFS(UseByTech!G$2:G$10000,UseByTech!$B$2:$B$10000,$A232)</f>
        <v>0</v>
      </c>
      <c r="H232">
        <f>SUMIFS(UseByTech!H$2:H$10000,UseByTech!$B$2:$B$10000,$A232)</f>
        <v>9.1433999999999997</v>
      </c>
      <c r="I232">
        <f>SUMIFS(UseByTech!I$2:I$10000,UseByTech!$B$2:$B$10000,$A232)</f>
        <v>9.8917999999999999</v>
      </c>
      <c r="J232">
        <f>SUMIFS(UseByTech!J$2:J$10000,UseByTech!$B$2:$B$10000,$A232)</f>
        <v>6.6334</v>
      </c>
      <c r="K232">
        <f>SUMIFS(UseByTech!K$2:K$10000,UseByTech!$B$2:$B$10000,$A232)</f>
        <v>1.4340000000000002</v>
      </c>
      <c r="L232">
        <f>SUMIFS(UseByTech!L$2:L$10000,UseByTech!$B$2:$B$10000,$A232)</f>
        <v>0</v>
      </c>
      <c r="M232">
        <f>SUMIFS(UseByTech!M$2:M$10000,UseByTech!$B$2:$B$10000,$A232)</f>
        <v>0</v>
      </c>
      <c r="N232">
        <f>SUMIFS(UseByTech!N$2:N$10000,UseByTech!$B$2:$B$10000,$A232)</f>
        <v>0</v>
      </c>
      <c r="O232">
        <f>SUMIFS(UseByTech!O$2:O$10000,UseByTech!$B$2:$B$10000,$A232)</f>
        <v>0</v>
      </c>
      <c r="P232">
        <f>SUMIFS(UseByTech!P$2:P$10000,UseByTech!$B$2:$B$10000,$A232)</f>
        <v>0</v>
      </c>
      <c r="Q232">
        <f>SUMIFS(UseByTech!Q$2:Q$10000,UseByTech!$B$2:$B$10000,$A232)</f>
        <v>0</v>
      </c>
      <c r="R232">
        <f>SUMIFS(UseByTech!R$2:R$10000,UseByTech!$B$2:$B$10000,$A232)</f>
        <v>0.40239999999999987</v>
      </c>
      <c r="S232">
        <f>SUMIFS(UseByTech!S$2:S$10000,UseByTech!$B$2:$B$10000,$A232)</f>
        <v>29.212200000000006</v>
      </c>
      <c r="T232">
        <f>SUMIFS(UseByTech!T$2:T$10000,UseByTech!$B$2:$B$10000,$A232)</f>
        <v>26.225400000000004</v>
      </c>
      <c r="U232">
        <f>SUMIFS(UseByTech!U$2:U$10000,UseByTech!$B$2:$B$10000,$A232)</f>
        <v>19.244800000000005</v>
      </c>
      <c r="V232">
        <f>SUMIFS(UseByTech!V$2:V$10000,UseByTech!$B$2:$B$10000,$A232)</f>
        <v>42.614699999999992</v>
      </c>
      <c r="W232">
        <f>SUMIFS(UseByTech!W$2:W$10000,UseByTech!$B$2:$B$10000,$A232)</f>
        <v>76.997500000000002</v>
      </c>
      <c r="X232">
        <f>SUMIFS(UseByTech!X$2:X$10000,UseByTech!$B$2:$B$10000,$A232)</f>
        <v>86.536500000000004</v>
      </c>
      <c r="Y232">
        <f>SUMIFS(UseByTech!Y$2:Y$10000,UseByTech!$B$2:$B$10000,$A232)</f>
        <v>96.963399999999993</v>
      </c>
      <c r="Z232">
        <f>SUMIFS(UseByTech!Z$2:Z$10000,UseByTech!$B$2:$B$10000,$A232)</f>
        <v>114.2246</v>
      </c>
      <c r="AA232">
        <f>SUMIFS(UseByTech!AA$2:AA$10000,UseByTech!$B$2:$B$10000,$A232)</f>
        <v>124.42779999999999</v>
      </c>
      <c r="AB232">
        <f>SUMIFS(UseByTech!AB$2:AB$10000,UseByTech!$B$2:$B$10000,$A232)</f>
        <v>129.37350000000001</v>
      </c>
      <c r="AC232">
        <f>SUMIFS(UseByTech!AC$2:AC$10000,UseByTech!$B$2:$B$10000,$A232)</f>
        <v>135.93819999999999</v>
      </c>
      <c r="AD232">
        <f>SUMIFS(UseByTech!AD$2:AD$10000,UseByTech!$B$2:$B$10000,$A232)</f>
        <v>132.09160000000003</v>
      </c>
      <c r="AE232">
        <f>SUMIFS(UseByTech!AE$2:AE$10000,UseByTech!$B$2:$B$10000,$A232)</f>
        <v>127.36879999999999</v>
      </c>
      <c r="AF232">
        <f>SUMIFS(UseByTech!AF$2:AF$10000,UseByTech!$B$2:$B$10000,$A232)</f>
        <v>123.4196</v>
      </c>
      <c r="AG232">
        <f>SUMIFS(UseByTech!AG$2:AG$10000,UseByTech!$B$2:$B$10000,$A232)</f>
        <v>134.0162</v>
      </c>
      <c r="AH232">
        <f>SUMIFS(UseByTech!AH$2:AH$10000,UseByTech!$B$2:$B$10000,$A232)</f>
        <v>129.63460000000001</v>
      </c>
      <c r="AI232">
        <f>SUMIFS(UseByTech!AI$2:AI$10000,UseByTech!$B$2:$B$10000,$A232)</f>
        <v>133.9864</v>
      </c>
      <c r="AJ232">
        <f>SUMIFS(UseByTech!AJ$2:AJ$10000,UseByTech!$B$2:$B$10000,$A232)</f>
        <v>208.19179999999997</v>
      </c>
    </row>
    <row r="233" spans="1:36">
      <c r="A233" t="s">
        <v>147</v>
      </c>
      <c r="C233">
        <f>SUMIFS(UseByTech!C$2:C$10000,UseByTech!$B$2:$B$10000,$A233)</f>
        <v>0</v>
      </c>
      <c r="D233">
        <f>SUMIFS(UseByTech!D$2:D$10000,UseByTech!$B$2:$B$10000,$A233)</f>
        <v>0</v>
      </c>
      <c r="E233">
        <f>SUMIFS(UseByTech!E$2:E$10000,UseByTech!$B$2:$B$10000,$A233)</f>
        <v>0</v>
      </c>
      <c r="F233">
        <f>SUMIFS(UseByTech!F$2:F$10000,UseByTech!$B$2:$B$10000,$A233)</f>
        <v>0</v>
      </c>
      <c r="G233">
        <f>SUMIFS(UseByTech!G$2:G$10000,UseByTech!$B$2:$B$10000,$A233)</f>
        <v>0</v>
      </c>
      <c r="H233">
        <f>SUMIFS(UseByTech!H$2:H$10000,UseByTech!$B$2:$B$10000,$A233)</f>
        <v>0</v>
      </c>
      <c r="I233">
        <f>SUMIFS(UseByTech!I$2:I$10000,UseByTech!$B$2:$B$10000,$A233)</f>
        <v>0</v>
      </c>
      <c r="J233">
        <f>SUMIFS(UseByTech!J$2:J$10000,UseByTech!$B$2:$B$10000,$A233)</f>
        <v>0</v>
      </c>
      <c r="K233">
        <f>SUMIFS(UseByTech!K$2:K$10000,UseByTech!$B$2:$B$10000,$A233)</f>
        <v>0</v>
      </c>
      <c r="L233">
        <f>SUMIFS(UseByTech!L$2:L$10000,UseByTech!$B$2:$B$10000,$A233)</f>
        <v>0</v>
      </c>
      <c r="M233">
        <f>SUMIFS(UseByTech!M$2:M$10000,UseByTech!$B$2:$B$10000,$A233)</f>
        <v>0</v>
      </c>
      <c r="N233">
        <f>SUMIFS(UseByTech!N$2:N$10000,UseByTech!$B$2:$B$10000,$A233)</f>
        <v>0</v>
      </c>
      <c r="O233">
        <f>SUMIFS(UseByTech!O$2:O$10000,UseByTech!$B$2:$B$10000,$A233)</f>
        <v>0</v>
      </c>
      <c r="P233">
        <f>SUMIFS(UseByTech!P$2:P$10000,UseByTech!$B$2:$B$10000,$A233)</f>
        <v>0</v>
      </c>
      <c r="Q233">
        <f>SUMIFS(UseByTech!Q$2:Q$10000,UseByTech!$B$2:$B$10000,$A233)</f>
        <v>0</v>
      </c>
      <c r="R233">
        <f>SUMIFS(UseByTech!R$2:R$10000,UseByTech!$B$2:$B$10000,$A233)</f>
        <v>0</v>
      </c>
      <c r="S233">
        <f>SUMIFS(UseByTech!S$2:S$10000,UseByTech!$B$2:$B$10000,$A233)</f>
        <v>0</v>
      </c>
      <c r="T233">
        <f>SUMIFS(UseByTech!T$2:T$10000,UseByTech!$B$2:$B$10000,$A233)</f>
        <v>0</v>
      </c>
      <c r="U233">
        <f>SUMIFS(UseByTech!U$2:U$10000,UseByTech!$B$2:$B$10000,$A233)</f>
        <v>0</v>
      </c>
      <c r="V233">
        <f>SUMIFS(UseByTech!V$2:V$10000,UseByTech!$B$2:$B$10000,$A233)</f>
        <v>0</v>
      </c>
      <c r="W233">
        <f>SUMIFS(UseByTech!W$2:W$10000,UseByTech!$B$2:$B$10000,$A233)</f>
        <v>0</v>
      </c>
      <c r="X233">
        <f>SUMIFS(UseByTech!X$2:X$10000,UseByTech!$B$2:$B$10000,$A233)</f>
        <v>0</v>
      </c>
      <c r="Y233">
        <f>SUMIFS(UseByTech!Y$2:Y$10000,UseByTech!$B$2:$B$10000,$A233)</f>
        <v>0</v>
      </c>
      <c r="Z233">
        <f>SUMIFS(UseByTech!Z$2:Z$10000,UseByTech!$B$2:$B$10000,$A233)</f>
        <v>0</v>
      </c>
      <c r="AA233">
        <f>SUMIFS(UseByTech!AA$2:AA$10000,UseByTech!$B$2:$B$10000,$A233)</f>
        <v>0</v>
      </c>
      <c r="AB233">
        <f>SUMIFS(UseByTech!AB$2:AB$10000,UseByTech!$B$2:$B$10000,$A233)</f>
        <v>0</v>
      </c>
      <c r="AC233">
        <f>SUMIFS(UseByTech!AC$2:AC$10000,UseByTech!$B$2:$B$10000,$A233)</f>
        <v>0</v>
      </c>
      <c r="AD233">
        <f>SUMIFS(UseByTech!AD$2:AD$10000,UseByTech!$B$2:$B$10000,$A233)</f>
        <v>0</v>
      </c>
      <c r="AE233">
        <f>SUMIFS(UseByTech!AE$2:AE$10000,UseByTech!$B$2:$B$10000,$A233)</f>
        <v>0</v>
      </c>
      <c r="AF233">
        <f>SUMIFS(UseByTech!AF$2:AF$10000,UseByTech!$B$2:$B$10000,$A233)</f>
        <v>0</v>
      </c>
      <c r="AG233">
        <f>SUMIFS(UseByTech!AG$2:AG$10000,UseByTech!$B$2:$B$10000,$A233)</f>
        <v>0</v>
      </c>
      <c r="AH233">
        <f>SUMIFS(UseByTech!AH$2:AH$10000,UseByTech!$B$2:$B$10000,$A233)</f>
        <v>0</v>
      </c>
      <c r="AI233">
        <f>SUMIFS(UseByTech!AI$2:AI$10000,UseByTech!$B$2:$B$10000,$A233)</f>
        <v>0</v>
      </c>
      <c r="AJ233">
        <f>SUMIFS(UseByTech!AJ$2:AJ$10000,UseByTech!$B$2:$B$10000,$A233)</f>
        <v>0</v>
      </c>
    </row>
    <row r="234" spans="1:36">
      <c r="A234" t="s">
        <v>148</v>
      </c>
      <c r="C234">
        <f>SUMIFS(UseByTech!C$2:C$10000,UseByTech!$B$2:$B$10000,$A234)</f>
        <v>0</v>
      </c>
      <c r="D234">
        <f>SUMIFS(UseByTech!D$2:D$10000,UseByTech!$B$2:$B$10000,$A234)</f>
        <v>0</v>
      </c>
      <c r="E234">
        <f>SUMIFS(UseByTech!E$2:E$10000,UseByTech!$B$2:$B$10000,$A234)</f>
        <v>0</v>
      </c>
      <c r="F234">
        <f>SUMIFS(UseByTech!F$2:F$10000,UseByTech!$B$2:$B$10000,$A234)</f>
        <v>0</v>
      </c>
      <c r="G234">
        <f>SUMIFS(UseByTech!G$2:G$10000,UseByTech!$B$2:$B$10000,$A234)</f>
        <v>0</v>
      </c>
      <c r="H234">
        <f>SUMIFS(UseByTech!H$2:H$10000,UseByTech!$B$2:$B$10000,$A234)</f>
        <v>0</v>
      </c>
      <c r="I234">
        <f>SUMIFS(UseByTech!I$2:I$10000,UseByTech!$B$2:$B$10000,$A234)</f>
        <v>0</v>
      </c>
      <c r="J234">
        <f>SUMIFS(UseByTech!J$2:J$10000,UseByTech!$B$2:$B$10000,$A234)</f>
        <v>0</v>
      </c>
      <c r="K234">
        <f>SUMIFS(UseByTech!K$2:K$10000,UseByTech!$B$2:$B$10000,$A234)</f>
        <v>0</v>
      </c>
      <c r="L234">
        <f>SUMIFS(UseByTech!L$2:L$10000,UseByTech!$B$2:$B$10000,$A234)</f>
        <v>0</v>
      </c>
      <c r="M234">
        <f>SUMIFS(UseByTech!M$2:M$10000,UseByTech!$B$2:$B$10000,$A234)</f>
        <v>0</v>
      </c>
      <c r="N234">
        <f>SUMIFS(UseByTech!N$2:N$10000,UseByTech!$B$2:$B$10000,$A234)</f>
        <v>0</v>
      </c>
      <c r="O234">
        <f>SUMIFS(UseByTech!O$2:O$10000,UseByTech!$B$2:$B$10000,$A234)</f>
        <v>0</v>
      </c>
      <c r="P234">
        <f>SUMIFS(UseByTech!P$2:P$10000,UseByTech!$B$2:$B$10000,$A234)</f>
        <v>0</v>
      </c>
      <c r="Q234">
        <f>SUMIFS(UseByTech!Q$2:Q$10000,UseByTech!$B$2:$B$10000,$A234)</f>
        <v>0</v>
      </c>
      <c r="R234">
        <f>SUMIFS(UseByTech!R$2:R$10000,UseByTech!$B$2:$B$10000,$A234)</f>
        <v>0</v>
      </c>
      <c r="S234">
        <f>SUMIFS(UseByTech!S$2:S$10000,UseByTech!$B$2:$B$10000,$A234)</f>
        <v>0</v>
      </c>
      <c r="T234">
        <f>SUMIFS(UseByTech!T$2:T$10000,UseByTech!$B$2:$B$10000,$A234)</f>
        <v>0</v>
      </c>
      <c r="U234">
        <f>SUMIFS(UseByTech!U$2:U$10000,UseByTech!$B$2:$B$10000,$A234)</f>
        <v>0</v>
      </c>
      <c r="V234">
        <f>SUMIFS(UseByTech!V$2:V$10000,UseByTech!$B$2:$B$10000,$A234)</f>
        <v>0</v>
      </c>
      <c r="W234">
        <f>SUMIFS(UseByTech!W$2:W$10000,UseByTech!$B$2:$B$10000,$A234)</f>
        <v>0</v>
      </c>
      <c r="X234">
        <f>SUMIFS(UseByTech!X$2:X$10000,UseByTech!$B$2:$B$10000,$A234)</f>
        <v>0</v>
      </c>
      <c r="Y234">
        <f>SUMIFS(UseByTech!Y$2:Y$10000,UseByTech!$B$2:$B$10000,$A234)</f>
        <v>0</v>
      </c>
      <c r="Z234">
        <f>SUMIFS(UseByTech!Z$2:Z$10000,UseByTech!$B$2:$B$10000,$A234)</f>
        <v>0</v>
      </c>
      <c r="AA234">
        <f>SUMIFS(UseByTech!AA$2:AA$10000,UseByTech!$B$2:$B$10000,$A234)</f>
        <v>0</v>
      </c>
      <c r="AB234">
        <f>SUMIFS(UseByTech!AB$2:AB$10000,UseByTech!$B$2:$B$10000,$A234)</f>
        <v>0</v>
      </c>
      <c r="AC234">
        <f>SUMIFS(UseByTech!AC$2:AC$10000,UseByTech!$B$2:$B$10000,$A234)</f>
        <v>0</v>
      </c>
      <c r="AD234">
        <f>SUMIFS(UseByTech!AD$2:AD$10000,UseByTech!$B$2:$B$10000,$A234)</f>
        <v>0</v>
      </c>
      <c r="AE234">
        <f>SUMIFS(UseByTech!AE$2:AE$10000,UseByTech!$B$2:$B$10000,$A234)</f>
        <v>0</v>
      </c>
      <c r="AF234">
        <f>SUMIFS(UseByTech!AF$2:AF$10000,UseByTech!$B$2:$B$10000,$A234)</f>
        <v>0</v>
      </c>
      <c r="AG234">
        <f>SUMIFS(UseByTech!AG$2:AG$10000,UseByTech!$B$2:$B$10000,$A234)</f>
        <v>0</v>
      </c>
      <c r="AH234">
        <f>SUMIFS(UseByTech!AH$2:AH$10000,UseByTech!$B$2:$B$10000,$A234)</f>
        <v>0</v>
      </c>
      <c r="AI234">
        <f>SUMIFS(UseByTech!AI$2:AI$10000,UseByTech!$B$2:$B$10000,$A234)</f>
        <v>0</v>
      </c>
      <c r="AJ234">
        <f>SUMIFS(UseByTech!AJ$2:AJ$10000,UseByTech!$B$2:$B$10000,$A234)</f>
        <v>0</v>
      </c>
    </row>
    <row r="235" spans="1:36">
      <c r="A235" t="s">
        <v>149</v>
      </c>
      <c r="C235">
        <f>SUMIFS(UseByTech!C$2:C$10000,UseByTech!$B$2:$B$10000,$A235)</f>
        <v>0</v>
      </c>
      <c r="D235">
        <f>SUMIFS(UseByTech!D$2:D$10000,UseByTech!$B$2:$B$10000,$A235)</f>
        <v>0</v>
      </c>
      <c r="E235">
        <f>SUMIFS(UseByTech!E$2:E$10000,UseByTech!$B$2:$B$10000,$A235)</f>
        <v>0</v>
      </c>
      <c r="F235">
        <f>SUMIFS(UseByTech!F$2:F$10000,UseByTech!$B$2:$B$10000,$A235)</f>
        <v>0</v>
      </c>
      <c r="G235">
        <f>SUMIFS(UseByTech!G$2:G$10000,UseByTech!$B$2:$B$10000,$A235)</f>
        <v>0</v>
      </c>
      <c r="H235">
        <f>SUMIFS(UseByTech!H$2:H$10000,UseByTech!$B$2:$B$10000,$A235)</f>
        <v>0</v>
      </c>
      <c r="I235">
        <f>SUMIFS(UseByTech!I$2:I$10000,UseByTech!$B$2:$B$10000,$A235)</f>
        <v>0</v>
      </c>
      <c r="J235">
        <f>SUMIFS(UseByTech!J$2:J$10000,UseByTech!$B$2:$B$10000,$A235)</f>
        <v>0</v>
      </c>
      <c r="K235">
        <f>SUMIFS(UseByTech!K$2:K$10000,UseByTech!$B$2:$B$10000,$A235)</f>
        <v>0</v>
      </c>
      <c r="L235">
        <f>SUMIFS(UseByTech!L$2:L$10000,UseByTech!$B$2:$B$10000,$A235)</f>
        <v>0</v>
      </c>
      <c r="M235">
        <f>SUMIFS(UseByTech!M$2:M$10000,UseByTech!$B$2:$B$10000,$A235)</f>
        <v>0</v>
      </c>
      <c r="N235">
        <f>SUMIFS(UseByTech!N$2:N$10000,UseByTech!$B$2:$B$10000,$A235)</f>
        <v>0</v>
      </c>
      <c r="O235">
        <f>SUMIFS(UseByTech!O$2:O$10000,UseByTech!$B$2:$B$10000,$A235)</f>
        <v>0</v>
      </c>
      <c r="P235">
        <f>SUMIFS(UseByTech!P$2:P$10000,UseByTech!$B$2:$B$10000,$A235)</f>
        <v>0</v>
      </c>
      <c r="Q235">
        <f>SUMIFS(UseByTech!Q$2:Q$10000,UseByTech!$B$2:$B$10000,$A235)</f>
        <v>0</v>
      </c>
      <c r="R235">
        <f>SUMIFS(UseByTech!R$2:R$10000,UseByTech!$B$2:$B$10000,$A235)</f>
        <v>0</v>
      </c>
      <c r="S235">
        <f>SUMIFS(UseByTech!S$2:S$10000,UseByTech!$B$2:$B$10000,$A235)</f>
        <v>44.681399999999968</v>
      </c>
      <c r="T235">
        <f>SUMIFS(UseByTech!T$2:T$10000,UseByTech!$B$2:$B$10000,$A235)</f>
        <v>235.22280000000006</v>
      </c>
      <c r="U235">
        <f>SUMIFS(UseByTech!U$2:U$10000,UseByTech!$B$2:$B$10000,$A235)</f>
        <v>465.60900000000004</v>
      </c>
      <c r="V235">
        <f>SUMIFS(UseByTech!V$2:V$10000,UseByTech!$B$2:$B$10000,$A235)</f>
        <v>595.00979999999981</v>
      </c>
      <c r="W235">
        <f>SUMIFS(UseByTech!W$2:W$10000,UseByTech!$B$2:$B$10000,$A235)</f>
        <v>691.36380000000054</v>
      </c>
      <c r="X235">
        <f>SUMIFS(UseByTech!X$2:X$10000,UseByTech!$B$2:$B$10000,$A235)</f>
        <v>759.40080000000012</v>
      </c>
      <c r="Y235">
        <f>SUMIFS(UseByTech!Y$2:Y$10000,UseByTech!$B$2:$B$10000,$A235)</f>
        <v>832.28399999999999</v>
      </c>
      <c r="Z235">
        <f>SUMIFS(UseByTech!Z$2:Z$10000,UseByTech!$B$2:$B$10000,$A235)</f>
        <v>881.74740000000008</v>
      </c>
      <c r="AA235">
        <f>SUMIFS(UseByTech!AA$2:AA$10000,UseByTech!$B$2:$B$10000,$A235)</f>
        <v>955.83779999999967</v>
      </c>
      <c r="AB235">
        <f>SUMIFS(UseByTech!AB$2:AB$10000,UseByTech!$B$2:$B$10000,$A235)</f>
        <v>1049.7975999999999</v>
      </c>
      <c r="AC235">
        <f>SUMIFS(UseByTech!AC$2:AC$10000,UseByTech!$B$2:$B$10000,$A235)</f>
        <v>1211.4980000000003</v>
      </c>
      <c r="AD235">
        <f>SUMIFS(UseByTech!AD$2:AD$10000,UseByTech!$B$2:$B$10000,$A235)</f>
        <v>1408.8353999999999</v>
      </c>
      <c r="AE235">
        <f>SUMIFS(UseByTech!AE$2:AE$10000,UseByTech!$B$2:$B$10000,$A235)</f>
        <v>1535.0159999999996</v>
      </c>
      <c r="AF235">
        <f>SUMIFS(UseByTech!AF$2:AF$10000,UseByTech!$B$2:$B$10000,$A235)</f>
        <v>1710.7392</v>
      </c>
      <c r="AG235">
        <f>SUMIFS(UseByTech!AG$2:AG$10000,UseByTech!$B$2:$B$10000,$A235)</f>
        <v>1763.9894000000002</v>
      </c>
      <c r="AH235">
        <f>SUMIFS(UseByTech!AH$2:AH$10000,UseByTech!$B$2:$B$10000,$A235)</f>
        <v>1852.1100000000008</v>
      </c>
      <c r="AI235">
        <f>SUMIFS(UseByTech!AI$2:AI$10000,UseByTech!$B$2:$B$10000,$A235)</f>
        <v>2045.9797999999998</v>
      </c>
      <c r="AJ235">
        <f>SUMIFS(UseByTech!AJ$2:AJ$10000,UseByTech!$B$2:$B$10000,$A235)</f>
        <v>1955.4105999999992</v>
      </c>
    </row>
    <row r="236" spans="1:36">
      <c r="A236" t="s">
        <v>150</v>
      </c>
      <c r="C236">
        <f>SUMIFS(UseByTech!C$2:C$10000,UseByTech!$B$2:$B$10000,$A236)</f>
        <v>0</v>
      </c>
      <c r="D236">
        <f>SUMIFS(UseByTech!D$2:D$10000,UseByTech!$B$2:$B$10000,$A236)</f>
        <v>0</v>
      </c>
      <c r="E236">
        <f>SUMIFS(UseByTech!E$2:E$10000,UseByTech!$B$2:$B$10000,$A236)</f>
        <v>0</v>
      </c>
      <c r="F236">
        <f>SUMIFS(UseByTech!F$2:F$10000,UseByTech!$B$2:$B$10000,$A236)</f>
        <v>0</v>
      </c>
      <c r="G236">
        <f>SUMIFS(UseByTech!G$2:G$10000,UseByTech!$B$2:$B$10000,$A236)</f>
        <v>0</v>
      </c>
      <c r="H236">
        <f>SUMIFS(UseByTech!H$2:H$10000,UseByTech!$B$2:$B$10000,$A236)</f>
        <v>0</v>
      </c>
      <c r="I236">
        <f>SUMIFS(UseByTech!I$2:I$10000,UseByTech!$B$2:$B$10000,$A236)</f>
        <v>0</v>
      </c>
      <c r="J236">
        <f>SUMIFS(UseByTech!J$2:J$10000,UseByTech!$B$2:$B$10000,$A236)</f>
        <v>0</v>
      </c>
      <c r="K236">
        <f>SUMIFS(UseByTech!K$2:K$10000,UseByTech!$B$2:$B$10000,$A236)</f>
        <v>0</v>
      </c>
      <c r="L236">
        <f>SUMIFS(UseByTech!L$2:L$10000,UseByTech!$B$2:$B$10000,$A236)</f>
        <v>0</v>
      </c>
      <c r="M236">
        <f>SUMIFS(UseByTech!M$2:M$10000,UseByTech!$B$2:$B$10000,$A236)</f>
        <v>0</v>
      </c>
      <c r="N236">
        <f>SUMIFS(UseByTech!N$2:N$10000,UseByTech!$B$2:$B$10000,$A236)</f>
        <v>0</v>
      </c>
      <c r="O236">
        <f>SUMIFS(UseByTech!O$2:O$10000,UseByTech!$B$2:$B$10000,$A236)</f>
        <v>0</v>
      </c>
      <c r="P236">
        <f>SUMIFS(UseByTech!P$2:P$10000,UseByTech!$B$2:$B$10000,$A236)</f>
        <v>0</v>
      </c>
      <c r="Q236">
        <f>SUMIFS(UseByTech!Q$2:Q$10000,UseByTech!$B$2:$B$10000,$A236)</f>
        <v>0</v>
      </c>
      <c r="R236">
        <f>SUMIFS(UseByTech!R$2:R$10000,UseByTech!$B$2:$B$10000,$A236)</f>
        <v>0</v>
      </c>
      <c r="S236">
        <f>SUMIFS(UseByTech!S$2:S$10000,UseByTech!$B$2:$B$10000,$A236)</f>
        <v>0</v>
      </c>
      <c r="T236">
        <f>SUMIFS(UseByTech!T$2:T$10000,UseByTech!$B$2:$B$10000,$A236)</f>
        <v>0</v>
      </c>
      <c r="U236">
        <f>SUMIFS(UseByTech!U$2:U$10000,UseByTech!$B$2:$B$10000,$A236)</f>
        <v>0</v>
      </c>
      <c r="V236">
        <f>SUMIFS(UseByTech!V$2:V$10000,UseByTech!$B$2:$B$10000,$A236)</f>
        <v>0</v>
      </c>
      <c r="W236">
        <f>SUMIFS(UseByTech!W$2:W$10000,UseByTech!$B$2:$B$10000,$A236)</f>
        <v>0</v>
      </c>
      <c r="X236">
        <f>SUMIFS(UseByTech!X$2:X$10000,UseByTech!$B$2:$B$10000,$A236)</f>
        <v>0</v>
      </c>
      <c r="Y236">
        <f>SUMIFS(UseByTech!Y$2:Y$10000,UseByTech!$B$2:$B$10000,$A236)</f>
        <v>0</v>
      </c>
      <c r="Z236">
        <f>SUMIFS(UseByTech!Z$2:Z$10000,UseByTech!$B$2:$B$10000,$A236)</f>
        <v>0</v>
      </c>
      <c r="AA236">
        <f>SUMIFS(UseByTech!AA$2:AA$10000,UseByTech!$B$2:$B$10000,$A236)</f>
        <v>0</v>
      </c>
      <c r="AB236">
        <f>SUMIFS(UseByTech!AB$2:AB$10000,UseByTech!$B$2:$B$10000,$A236)</f>
        <v>0</v>
      </c>
      <c r="AC236">
        <f>SUMIFS(UseByTech!AC$2:AC$10000,UseByTech!$B$2:$B$10000,$A236)</f>
        <v>0</v>
      </c>
      <c r="AD236">
        <f>SUMIFS(UseByTech!AD$2:AD$10000,UseByTech!$B$2:$B$10000,$A236)</f>
        <v>0</v>
      </c>
      <c r="AE236">
        <f>SUMIFS(UseByTech!AE$2:AE$10000,UseByTech!$B$2:$B$10000,$A236)</f>
        <v>0</v>
      </c>
      <c r="AF236">
        <f>SUMIFS(UseByTech!AF$2:AF$10000,UseByTech!$B$2:$B$10000,$A236)</f>
        <v>0</v>
      </c>
      <c r="AG236">
        <f>SUMIFS(UseByTech!AG$2:AG$10000,UseByTech!$B$2:$B$10000,$A236)</f>
        <v>0</v>
      </c>
      <c r="AH236">
        <f>SUMIFS(UseByTech!AH$2:AH$10000,UseByTech!$B$2:$B$10000,$A236)</f>
        <v>0</v>
      </c>
      <c r="AI236">
        <f>SUMIFS(UseByTech!AI$2:AI$10000,UseByTech!$B$2:$B$10000,$A236)</f>
        <v>0</v>
      </c>
      <c r="AJ236">
        <f>SUMIFS(UseByTech!AJ$2:AJ$10000,UseByTech!$B$2:$B$10000,$A236)</f>
        <v>0</v>
      </c>
    </row>
    <row r="237" spans="1:36">
      <c r="A237" t="s">
        <v>151</v>
      </c>
      <c r="C237">
        <f>SUMIFS(UseByTech!C$2:C$10000,UseByTech!$B$2:$B$10000,$A237)</f>
        <v>0</v>
      </c>
      <c r="D237">
        <f>SUMIFS(UseByTech!D$2:D$10000,UseByTech!$B$2:$B$10000,$A237)</f>
        <v>0</v>
      </c>
      <c r="E237">
        <f>SUMIFS(UseByTech!E$2:E$10000,UseByTech!$B$2:$B$10000,$A237)</f>
        <v>0</v>
      </c>
      <c r="F237">
        <f>SUMIFS(UseByTech!F$2:F$10000,UseByTech!$B$2:$B$10000,$A237)</f>
        <v>0</v>
      </c>
      <c r="G237">
        <f>SUMIFS(UseByTech!G$2:G$10000,UseByTech!$B$2:$B$10000,$A237)</f>
        <v>0</v>
      </c>
      <c r="H237">
        <f>SUMIFS(UseByTech!H$2:H$10000,UseByTech!$B$2:$B$10000,$A237)</f>
        <v>0</v>
      </c>
      <c r="I237">
        <f>SUMIFS(UseByTech!I$2:I$10000,UseByTech!$B$2:$B$10000,$A237)</f>
        <v>0</v>
      </c>
      <c r="J237">
        <f>SUMIFS(UseByTech!J$2:J$10000,UseByTech!$B$2:$B$10000,$A237)</f>
        <v>0</v>
      </c>
      <c r="K237">
        <f>SUMIFS(UseByTech!K$2:K$10000,UseByTech!$B$2:$B$10000,$A237)</f>
        <v>0</v>
      </c>
      <c r="L237">
        <f>SUMIFS(UseByTech!L$2:L$10000,UseByTech!$B$2:$B$10000,$A237)</f>
        <v>0</v>
      </c>
      <c r="M237">
        <f>SUMIFS(UseByTech!M$2:M$10000,UseByTech!$B$2:$B$10000,$A237)</f>
        <v>0</v>
      </c>
      <c r="N237">
        <f>SUMIFS(UseByTech!N$2:N$10000,UseByTech!$B$2:$B$10000,$A237)</f>
        <v>0</v>
      </c>
      <c r="O237">
        <f>SUMIFS(UseByTech!O$2:O$10000,UseByTech!$B$2:$B$10000,$A237)</f>
        <v>0</v>
      </c>
      <c r="P237">
        <f>SUMIFS(UseByTech!P$2:P$10000,UseByTech!$B$2:$B$10000,$A237)</f>
        <v>0</v>
      </c>
      <c r="Q237">
        <f>SUMIFS(UseByTech!Q$2:Q$10000,UseByTech!$B$2:$B$10000,$A237)</f>
        <v>0</v>
      </c>
      <c r="R237">
        <f>SUMIFS(UseByTech!R$2:R$10000,UseByTech!$B$2:$B$10000,$A237)</f>
        <v>0</v>
      </c>
      <c r="S237">
        <f>SUMIFS(UseByTech!S$2:S$10000,UseByTech!$B$2:$B$10000,$A237)</f>
        <v>0</v>
      </c>
      <c r="T237">
        <f>SUMIFS(UseByTech!T$2:T$10000,UseByTech!$B$2:$B$10000,$A237)</f>
        <v>0</v>
      </c>
      <c r="U237">
        <f>SUMIFS(UseByTech!U$2:U$10000,UseByTech!$B$2:$B$10000,$A237)</f>
        <v>0</v>
      </c>
      <c r="V237">
        <f>SUMIFS(UseByTech!V$2:V$10000,UseByTech!$B$2:$B$10000,$A237)</f>
        <v>0</v>
      </c>
      <c r="W237">
        <f>SUMIFS(UseByTech!W$2:W$10000,UseByTech!$B$2:$B$10000,$A237)</f>
        <v>0</v>
      </c>
      <c r="X237">
        <f>SUMIFS(UseByTech!X$2:X$10000,UseByTech!$B$2:$B$10000,$A237)</f>
        <v>0</v>
      </c>
      <c r="Y237">
        <f>SUMIFS(UseByTech!Y$2:Y$10000,UseByTech!$B$2:$B$10000,$A237)</f>
        <v>0</v>
      </c>
      <c r="Z237">
        <f>SUMIFS(UseByTech!Z$2:Z$10000,UseByTech!$B$2:$B$10000,$A237)</f>
        <v>0</v>
      </c>
      <c r="AA237">
        <f>SUMIFS(UseByTech!AA$2:AA$10000,UseByTech!$B$2:$B$10000,$A237)</f>
        <v>0</v>
      </c>
      <c r="AB237">
        <f>SUMIFS(UseByTech!AB$2:AB$10000,UseByTech!$B$2:$B$10000,$A237)</f>
        <v>0</v>
      </c>
      <c r="AC237">
        <f>SUMIFS(UseByTech!AC$2:AC$10000,UseByTech!$B$2:$B$10000,$A237)</f>
        <v>0</v>
      </c>
      <c r="AD237">
        <f>SUMIFS(UseByTech!AD$2:AD$10000,UseByTech!$B$2:$B$10000,$A237)</f>
        <v>0</v>
      </c>
      <c r="AE237">
        <f>SUMIFS(UseByTech!AE$2:AE$10000,UseByTech!$B$2:$B$10000,$A237)</f>
        <v>0</v>
      </c>
      <c r="AF237">
        <f>SUMIFS(UseByTech!AF$2:AF$10000,UseByTech!$B$2:$B$10000,$A237)</f>
        <v>0</v>
      </c>
      <c r="AG237">
        <f>SUMIFS(UseByTech!AG$2:AG$10000,UseByTech!$B$2:$B$10000,$A237)</f>
        <v>0</v>
      </c>
      <c r="AH237">
        <f>SUMIFS(UseByTech!AH$2:AH$10000,UseByTech!$B$2:$B$10000,$A237)</f>
        <v>0</v>
      </c>
      <c r="AI237">
        <f>SUMIFS(UseByTech!AI$2:AI$10000,UseByTech!$B$2:$B$10000,$A237)</f>
        <v>0</v>
      </c>
      <c r="AJ237">
        <f>SUMIFS(UseByTech!AJ$2:AJ$10000,UseByTech!$B$2:$B$10000,$A237)</f>
        <v>0</v>
      </c>
    </row>
    <row r="238" spans="1:36">
      <c r="A238" t="s">
        <v>152</v>
      </c>
      <c r="C238">
        <f>SUMIFS(UseByTech!C$2:C$10000,UseByTech!$B$2:$B$10000,$A238)</f>
        <v>0</v>
      </c>
      <c r="D238">
        <f>SUMIFS(UseByTech!D$2:D$10000,UseByTech!$B$2:$B$10000,$A238)</f>
        <v>0</v>
      </c>
      <c r="E238">
        <f>SUMIFS(UseByTech!E$2:E$10000,UseByTech!$B$2:$B$10000,$A238)</f>
        <v>0</v>
      </c>
      <c r="F238">
        <f>SUMIFS(UseByTech!F$2:F$10000,UseByTech!$B$2:$B$10000,$A238)</f>
        <v>0</v>
      </c>
      <c r="G238">
        <f>SUMIFS(UseByTech!G$2:G$10000,UseByTech!$B$2:$B$10000,$A238)</f>
        <v>0</v>
      </c>
      <c r="H238">
        <f>SUMIFS(UseByTech!H$2:H$10000,UseByTech!$B$2:$B$10000,$A238)</f>
        <v>0</v>
      </c>
      <c r="I238">
        <f>SUMIFS(UseByTech!I$2:I$10000,UseByTech!$B$2:$B$10000,$A238)</f>
        <v>0</v>
      </c>
      <c r="J238">
        <f>SUMIFS(UseByTech!J$2:J$10000,UseByTech!$B$2:$B$10000,$A238)</f>
        <v>0</v>
      </c>
      <c r="K238">
        <f>SUMIFS(UseByTech!K$2:K$10000,UseByTech!$B$2:$B$10000,$A238)</f>
        <v>0</v>
      </c>
      <c r="L238">
        <f>SUMIFS(UseByTech!L$2:L$10000,UseByTech!$B$2:$B$10000,$A238)</f>
        <v>0</v>
      </c>
      <c r="M238">
        <f>SUMIFS(UseByTech!M$2:M$10000,UseByTech!$B$2:$B$10000,$A238)</f>
        <v>0</v>
      </c>
      <c r="N238">
        <f>SUMIFS(UseByTech!N$2:N$10000,UseByTech!$B$2:$B$10000,$A238)</f>
        <v>0</v>
      </c>
      <c r="O238">
        <f>SUMIFS(UseByTech!O$2:O$10000,UseByTech!$B$2:$B$10000,$A238)</f>
        <v>0</v>
      </c>
      <c r="P238">
        <f>SUMIFS(UseByTech!P$2:P$10000,UseByTech!$B$2:$B$10000,$A238)</f>
        <v>0</v>
      </c>
      <c r="Q238">
        <f>SUMIFS(UseByTech!Q$2:Q$10000,UseByTech!$B$2:$B$10000,$A238)</f>
        <v>0</v>
      </c>
      <c r="R238">
        <f>SUMIFS(UseByTech!R$2:R$10000,UseByTech!$B$2:$B$10000,$A238)</f>
        <v>0</v>
      </c>
      <c r="S238">
        <f>SUMIFS(UseByTech!S$2:S$10000,UseByTech!$B$2:$B$10000,$A238)</f>
        <v>0</v>
      </c>
      <c r="T238">
        <f>SUMIFS(UseByTech!T$2:T$10000,UseByTech!$B$2:$B$10000,$A238)</f>
        <v>0</v>
      </c>
      <c r="U238">
        <f>SUMIFS(UseByTech!U$2:U$10000,UseByTech!$B$2:$B$10000,$A238)</f>
        <v>0</v>
      </c>
      <c r="V238">
        <f>SUMIFS(UseByTech!V$2:V$10000,UseByTech!$B$2:$B$10000,$A238)</f>
        <v>0</v>
      </c>
      <c r="W238">
        <f>SUMIFS(UseByTech!W$2:W$10000,UseByTech!$B$2:$B$10000,$A238)</f>
        <v>0</v>
      </c>
      <c r="X238">
        <f>SUMIFS(UseByTech!X$2:X$10000,UseByTech!$B$2:$B$10000,$A238)</f>
        <v>0</v>
      </c>
      <c r="Y238">
        <f>SUMIFS(UseByTech!Y$2:Y$10000,UseByTech!$B$2:$B$10000,$A238)</f>
        <v>0</v>
      </c>
      <c r="Z238">
        <f>SUMIFS(UseByTech!Z$2:Z$10000,UseByTech!$B$2:$B$10000,$A238)</f>
        <v>0</v>
      </c>
      <c r="AA238">
        <f>SUMIFS(UseByTech!AA$2:AA$10000,UseByTech!$B$2:$B$10000,$A238)</f>
        <v>0</v>
      </c>
      <c r="AB238">
        <f>SUMIFS(UseByTech!AB$2:AB$10000,UseByTech!$B$2:$B$10000,$A238)</f>
        <v>0</v>
      </c>
      <c r="AC238">
        <f>SUMIFS(UseByTech!AC$2:AC$10000,UseByTech!$B$2:$B$10000,$A238)</f>
        <v>0</v>
      </c>
      <c r="AD238">
        <f>SUMIFS(UseByTech!AD$2:AD$10000,UseByTech!$B$2:$B$10000,$A238)</f>
        <v>0</v>
      </c>
      <c r="AE238">
        <f>SUMIFS(UseByTech!AE$2:AE$10000,UseByTech!$B$2:$B$10000,$A238)</f>
        <v>0</v>
      </c>
      <c r="AF238">
        <f>SUMIFS(UseByTech!AF$2:AF$10000,UseByTech!$B$2:$B$10000,$A238)</f>
        <v>0</v>
      </c>
      <c r="AG238">
        <f>SUMIFS(UseByTech!AG$2:AG$10000,UseByTech!$B$2:$B$10000,$A238)</f>
        <v>0</v>
      </c>
      <c r="AH238">
        <f>SUMIFS(UseByTech!AH$2:AH$10000,UseByTech!$B$2:$B$10000,$A238)</f>
        <v>0</v>
      </c>
      <c r="AI238">
        <f>SUMIFS(UseByTech!AI$2:AI$10000,UseByTech!$B$2:$B$10000,$A238)</f>
        <v>0</v>
      </c>
      <c r="AJ238">
        <f>SUMIFS(UseByTech!AJ$2:AJ$10000,UseByTech!$B$2:$B$10000,$A238)</f>
        <v>0</v>
      </c>
    </row>
    <row r="239" spans="1:36">
      <c r="A239" t="s">
        <v>135</v>
      </c>
      <c r="C239">
        <f>SUMIFS(UseByTech!C$2:C$10000,UseByTech!$B$2:$B$10000,$A239)</f>
        <v>46.398199999999989</v>
      </c>
      <c r="D239">
        <f>SUMIFS(UseByTech!D$2:D$10000,UseByTech!$B$2:$B$10000,$A239)</f>
        <v>30.358200000000004</v>
      </c>
      <c r="E239">
        <f>SUMIFS(UseByTech!E$2:E$10000,UseByTech!$B$2:$B$10000,$A239)</f>
        <v>47.316600000000008</v>
      </c>
      <c r="F239">
        <f>SUMIFS(UseByTech!F$2:F$10000,UseByTech!$B$2:$B$10000,$A239)</f>
        <v>24.493200000000005</v>
      </c>
      <c r="G239">
        <f>SUMIFS(UseByTech!G$2:G$10000,UseByTech!$B$2:$B$10000,$A239)</f>
        <v>25.207899999999999</v>
      </c>
      <c r="H239">
        <f>SUMIFS(UseByTech!H$2:H$10000,UseByTech!$B$2:$B$10000,$A239)</f>
        <v>0</v>
      </c>
      <c r="I239">
        <f>SUMIFS(UseByTech!I$2:I$10000,UseByTech!$B$2:$B$10000,$A239)</f>
        <v>0</v>
      </c>
      <c r="J239">
        <f>SUMIFS(UseByTech!J$2:J$10000,UseByTech!$B$2:$B$10000,$A239)</f>
        <v>0</v>
      </c>
      <c r="K239">
        <f>SUMIFS(UseByTech!K$2:K$10000,UseByTech!$B$2:$B$10000,$A239)</f>
        <v>0</v>
      </c>
      <c r="L239">
        <f>SUMIFS(UseByTech!L$2:L$10000,UseByTech!$B$2:$B$10000,$A239)</f>
        <v>0</v>
      </c>
      <c r="M239">
        <f>SUMIFS(UseByTech!M$2:M$10000,UseByTech!$B$2:$B$10000,$A239)</f>
        <v>0</v>
      </c>
      <c r="N239">
        <f>SUMIFS(UseByTech!N$2:N$10000,UseByTech!$B$2:$B$10000,$A239)</f>
        <v>0</v>
      </c>
      <c r="O239">
        <f>SUMIFS(UseByTech!O$2:O$10000,UseByTech!$B$2:$B$10000,$A239)</f>
        <v>0</v>
      </c>
      <c r="P239">
        <f>SUMIFS(UseByTech!P$2:P$10000,UseByTech!$B$2:$B$10000,$A239)</f>
        <v>0</v>
      </c>
      <c r="Q239">
        <f>SUMIFS(UseByTech!Q$2:Q$10000,UseByTech!$B$2:$B$10000,$A239)</f>
        <v>0</v>
      </c>
      <c r="R239">
        <f>SUMIFS(UseByTech!R$2:R$10000,UseByTech!$B$2:$B$10000,$A239)</f>
        <v>0</v>
      </c>
      <c r="S239">
        <f>SUMIFS(UseByTech!S$2:S$10000,UseByTech!$B$2:$B$10000,$A239)</f>
        <v>0</v>
      </c>
      <c r="T239">
        <f>SUMIFS(UseByTech!T$2:T$10000,UseByTech!$B$2:$B$10000,$A239)</f>
        <v>0</v>
      </c>
      <c r="U239">
        <f>SUMIFS(UseByTech!U$2:U$10000,UseByTech!$B$2:$B$10000,$A239)</f>
        <v>0</v>
      </c>
      <c r="V239">
        <f>SUMIFS(UseByTech!V$2:V$10000,UseByTech!$B$2:$B$10000,$A239)</f>
        <v>0</v>
      </c>
      <c r="W239">
        <f>SUMIFS(UseByTech!W$2:W$10000,UseByTech!$B$2:$B$10000,$A239)</f>
        <v>0</v>
      </c>
      <c r="X239">
        <f>SUMIFS(UseByTech!X$2:X$10000,UseByTech!$B$2:$B$10000,$A239)</f>
        <v>0</v>
      </c>
      <c r="Y239">
        <f>SUMIFS(UseByTech!Y$2:Y$10000,UseByTech!$B$2:$B$10000,$A239)</f>
        <v>0</v>
      </c>
      <c r="Z239">
        <f>SUMIFS(UseByTech!Z$2:Z$10000,UseByTech!$B$2:$B$10000,$A239)</f>
        <v>0</v>
      </c>
      <c r="AA239">
        <f>SUMIFS(UseByTech!AA$2:AA$10000,UseByTech!$B$2:$B$10000,$A239)</f>
        <v>0</v>
      </c>
      <c r="AB239">
        <f>SUMIFS(UseByTech!AB$2:AB$10000,UseByTech!$B$2:$B$10000,$A239)</f>
        <v>0</v>
      </c>
      <c r="AC239">
        <f>SUMIFS(UseByTech!AC$2:AC$10000,UseByTech!$B$2:$B$10000,$A239)</f>
        <v>0</v>
      </c>
      <c r="AD239">
        <f>SUMIFS(UseByTech!AD$2:AD$10000,UseByTech!$B$2:$B$10000,$A239)</f>
        <v>0</v>
      </c>
      <c r="AE239">
        <f>SUMIFS(UseByTech!AE$2:AE$10000,UseByTech!$B$2:$B$10000,$A239)</f>
        <v>0</v>
      </c>
      <c r="AF239">
        <f>SUMIFS(UseByTech!AF$2:AF$10000,UseByTech!$B$2:$B$10000,$A239)</f>
        <v>0</v>
      </c>
      <c r="AG239">
        <f>SUMIFS(UseByTech!AG$2:AG$10000,UseByTech!$B$2:$B$10000,$A239)</f>
        <v>0</v>
      </c>
      <c r="AH239">
        <f>SUMIFS(UseByTech!AH$2:AH$10000,UseByTech!$B$2:$B$10000,$A239)</f>
        <v>0</v>
      </c>
      <c r="AI239">
        <f>SUMIFS(UseByTech!AI$2:AI$10000,UseByTech!$B$2:$B$10000,$A239)</f>
        <v>0</v>
      </c>
      <c r="AJ239">
        <f>SUMIFS(UseByTech!AJ$2:AJ$10000,UseByTech!$B$2:$B$10000,$A239)</f>
        <v>0</v>
      </c>
    </row>
    <row r="240" spans="1:36">
      <c r="A240" t="s">
        <v>134</v>
      </c>
      <c r="C240">
        <f>SUMIFS(UseByTech!C$2:C$10000,UseByTech!$B$2:$B$10000,$A240)</f>
        <v>131.27699999999999</v>
      </c>
      <c r="D240">
        <f>SUMIFS(UseByTech!D$2:D$10000,UseByTech!$B$2:$B$10000,$A240)</f>
        <v>128.31489999999999</v>
      </c>
      <c r="E240">
        <f>SUMIFS(UseByTech!E$2:E$10000,UseByTech!$B$2:$B$10000,$A240)</f>
        <v>120.39699999999996</v>
      </c>
      <c r="F240">
        <f>SUMIFS(UseByTech!F$2:F$10000,UseByTech!$B$2:$B$10000,$A240)</f>
        <v>112.21179999999998</v>
      </c>
      <c r="G240">
        <f>SUMIFS(UseByTech!G$2:G$10000,UseByTech!$B$2:$B$10000,$A240)</f>
        <v>121.49469999999997</v>
      </c>
      <c r="H240">
        <f>SUMIFS(UseByTech!H$2:H$10000,UseByTech!$B$2:$B$10000,$A240)</f>
        <v>2.1646000000000001</v>
      </c>
      <c r="I240">
        <f>SUMIFS(UseByTech!I$2:I$10000,UseByTech!$B$2:$B$10000,$A240)</f>
        <v>3.0293999999999999</v>
      </c>
      <c r="J240">
        <f>SUMIFS(UseByTech!J$2:J$10000,UseByTech!$B$2:$B$10000,$A240)</f>
        <v>0</v>
      </c>
      <c r="K240">
        <f>SUMIFS(UseByTech!K$2:K$10000,UseByTech!$B$2:$B$10000,$A240)</f>
        <v>0</v>
      </c>
      <c r="L240">
        <f>SUMIFS(UseByTech!L$2:L$10000,UseByTech!$B$2:$B$10000,$A240)</f>
        <v>0</v>
      </c>
      <c r="M240">
        <f>SUMIFS(UseByTech!M$2:M$10000,UseByTech!$B$2:$B$10000,$A240)</f>
        <v>0</v>
      </c>
      <c r="N240">
        <f>SUMIFS(UseByTech!N$2:N$10000,UseByTech!$B$2:$B$10000,$A240)</f>
        <v>0</v>
      </c>
      <c r="O240">
        <f>SUMIFS(UseByTech!O$2:O$10000,UseByTech!$B$2:$B$10000,$A240)</f>
        <v>0</v>
      </c>
      <c r="P240">
        <f>SUMIFS(UseByTech!P$2:P$10000,UseByTech!$B$2:$B$10000,$A240)</f>
        <v>0</v>
      </c>
      <c r="Q240">
        <f>SUMIFS(UseByTech!Q$2:Q$10000,UseByTech!$B$2:$B$10000,$A240)</f>
        <v>0</v>
      </c>
      <c r="R240">
        <f>SUMIFS(UseByTech!R$2:R$10000,UseByTech!$B$2:$B$10000,$A240)</f>
        <v>0</v>
      </c>
      <c r="S240">
        <f>SUMIFS(UseByTech!S$2:S$10000,UseByTech!$B$2:$B$10000,$A240)</f>
        <v>19.357500000000005</v>
      </c>
      <c r="T240">
        <f>SUMIFS(UseByTech!T$2:T$10000,UseByTech!$B$2:$B$10000,$A240)</f>
        <v>16.678100000000001</v>
      </c>
      <c r="U240">
        <f>SUMIFS(UseByTech!U$2:U$10000,UseByTech!$B$2:$B$10000,$A240)</f>
        <v>9.534399999999998</v>
      </c>
      <c r="V240">
        <f>SUMIFS(UseByTech!V$2:V$10000,UseByTech!$B$2:$B$10000,$A240)</f>
        <v>9.4814999999999987</v>
      </c>
      <c r="W240">
        <f>SUMIFS(UseByTech!W$2:W$10000,UseByTech!$B$2:$B$10000,$A240)</f>
        <v>4.7355999999999998</v>
      </c>
      <c r="X240">
        <f>SUMIFS(UseByTech!X$2:X$10000,UseByTech!$B$2:$B$10000,$A240)</f>
        <v>4.7355999999999998</v>
      </c>
      <c r="Y240">
        <f>SUMIFS(UseByTech!Y$2:Y$10000,UseByTech!$B$2:$B$10000,$A240)</f>
        <v>4.7271999999999998</v>
      </c>
      <c r="Z240">
        <f>SUMIFS(UseByTech!Z$2:Z$10000,UseByTech!$B$2:$B$10000,$A240)</f>
        <v>4.7271999999999998</v>
      </c>
      <c r="AA240">
        <f>SUMIFS(UseByTech!AA$2:AA$10000,UseByTech!$B$2:$B$10000,$A240)</f>
        <v>4.7271999999999998</v>
      </c>
      <c r="AB240">
        <f>SUMIFS(UseByTech!AB$2:AB$10000,UseByTech!$B$2:$B$10000,$A240)</f>
        <v>4.7271999999999998</v>
      </c>
      <c r="AC240">
        <f>SUMIFS(UseByTech!AC$2:AC$10000,UseByTech!$B$2:$B$10000,$A240)</f>
        <v>0</v>
      </c>
      <c r="AD240">
        <f>SUMIFS(UseByTech!AD$2:AD$10000,UseByTech!$B$2:$B$10000,$A240)</f>
        <v>0</v>
      </c>
      <c r="AE240">
        <f>SUMIFS(UseByTech!AE$2:AE$10000,UseByTech!$B$2:$B$10000,$A240)</f>
        <v>0</v>
      </c>
      <c r="AF240">
        <f>SUMIFS(UseByTech!AF$2:AF$10000,UseByTech!$B$2:$B$10000,$A240)</f>
        <v>0</v>
      </c>
      <c r="AG240">
        <f>SUMIFS(UseByTech!AG$2:AG$10000,UseByTech!$B$2:$B$10000,$A240)</f>
        <v>0</v>
      </c>
      <c r="AH240">
        <f>SUMIFS(UseByTech!AH$2:AH$10000,UseByTech!$B$2:$B$10000,$A240)</f>
        <v>0</v>
      </c>
      <c r="AI240">
        <f>SUMIFS(UseByTech!AI$2:AI$10000,UseByTech!$B$2:$B$10000,$A240)</f>
        <v>0</v>
      </c>
      <c r="AJ240">
        <f>SUMIFS(UseByTech!AJ$2:AJ$10000,UseByTech!$B$2:$B$10000,$A240)</f>
        <v>0</v>
      </c>
    </row>
    <row r="241" spans="1:36">
      <c r="A241" s="29" t="s">
        <v>149</v>
      </c>
      <c r="C241">
        <f>SUMIFS(UseByTech!C$2:C$10000,UseByTech!$B$2:$B$10000,$A241)</f>
        <v>0</v>
      </c>
      <c r="D241">
        <f>SUMIFS(UseByTech!D$2:D$10000,UseByTech!$B$2:$B$10000,$A241)</f>
        <v>0</v>
      </c>
      <c r="E241">
        <f>SUMIFS(UseByTech!E$2:E$10000,UseByTech!$B$2:$B$10000,$A241)</f>
        <v>0</v>
      </c>
      <c r="F241">
        <f>SUMIFS(UseByTech!F$2:F$10000,UseByTech!$B$2:$B$10000,$A241)</f>
        <v>0</v>
      </c>
      <c r="G241">
        <f>SUMIFS(UseByTech!G$2:G$10000,UseByTech!$B$2:$B$10000,$A241)</f>
        <v>0</v>
      </c>
      <c r="H241">
        <f>SUMIFS(UseByTech!H$2:H$10000,UseByTech!$B$2:$B$10000,$A241)</f>
        <v>0</v>
      </c>
      <c r="I241">
        <f>SUMIFS(UseByTech!I$2:I$10000,UseByTech!$B$2:$B$10000,$A241)</f>
        <v>0</v>
      </c>
      <c r="J241">
        <f>SUMIFS(UseByTech!J$2:J$10000,UseByTech!$B$2:$B$10000,$A241)</f>
        <v>0</v>
      </c>
      <c r="K241">
        <f>SUMIFS(UseByTech!K$2:K$10000,UseByTech!$B$2:$B$10000,$A241)</f>
        <v>0</v>
      </c>
      <c r="L241">
        <f>SUMIFS(UseByTech!L$2:L$10000,UseByTech!$B$2:$B$10000,$A241)</f>
        <v>0</v>
      </c>
      <c r="M241">
        <f>SUMIFS(UseByTech!M$2:M$10000,UseByTech!$B$2:$B$10000,$A241)</f>
        <v>0</v>
      </c>
      <c r="N241">
        <f>SUMIFS(UseByTech!N$2:N$10000,UseByTech!$B$2:$B$10000,$A241)</f>
        <v>0</v>
      </c>
      <c r="O241">
        <f>SUMIFS(UseByTech!O$2:O$10000,UseByTech!$B$2:$B$10000,$A241)</f>
        <v>0</v>
      </c>
      <c r="P241">
        <f>SUMIFS(UseByTech!P$2:P$10000,UseByTech!$B$2:$B$10000,$A241)</f>
        <v>0</v>
      </c>
      <c r="Q241">
        <f>SUMIFS(UseByTech!Q$2:Q$10000,UseByTech!$B$2:$B$10000,$A241)</f>
        <v>0</v>
      </c>
      <c r="R241">
        <f>SUMIFS(UseByTech!R$2:R$10000,UseByTech!$B$2:$B$10000,$A241)</f>
        <v>0</v>
      </c>
      <c r="S241">
        <f>SUMIFS(UseByTech!S$2:S$10000,UseByTech!$B$2:$B$10000,$A241)</f>
        <v>44.681399999999968</v>
      </c>
      <c r="T241">
        <f>SUMIFS(UseByTech!T$2:T$10000,UseByTech!$B$2:$B$10000,$A241)</f>
        <v>235.22280000000006</v>
      </c>
      <c r="U241">
        <f>SUMIFS(UseByTech!U$2:U$10000,UseByTech!$B$2:$B$10000,$A241)</f>
        <v>465.60900000000004</v>
      </c>
      <c r="V241">
        <f>SUMIFS(UseByTech!V$2:V$10000,UseByTech!$B$2:$B$10000,$A241)</f>
        <v>595.00979999999981</v>
      </c>
      <c r="W241">
        <f>SUMIFS(UseByTech!W$2:W$10000,UseByTech!$B$2:$B$10000,$A241)</f>
        <v>691.36380000000054</v>
      </c>
      <c r="X241">
        <f>SUMIFS(UseByTech!X$2:X$10000,UseByTech!$B$2:$B$10000,$A241)</f>
        <v>759.40080000000012</v>
      </c>
      <c r="Y241">
        <f>SUMIFS(UseByTech!Y$2:Y$10000,UseByTech!$B$2:$B$10000,$A241)</f>
        <v>832.28399999999999</v>
      </c>
      <c r="Z241">
        <f>SUMIFS(UseByTech!Z$2:Z$10000,UseByTech!$B$2:$B$10000,$A241)</f>
        <v>881.74740000000008</v>
      </c>
      <c r="AA241">
        <f>SUMIFS(UseByTech!AA$2:AA$10000,UseByTech!$B$2:$B$10000,$A241)</f>
        <v>955.83779999999967</v>
      </c>
      <c r="AB241">
        <f>SUMIFS(UseByTech!AB$2:AB$10000,UseByTech!$B$2:$B$10000,$A241)</f>
        <v>1049.7975999999999</v>
      </c>
      <c r="AC241">
        <f>SUMIFS(UseByTech!AC$2:AC$10000,UseByTech!$B$2:$B$10000,$A241)</f>
        <v>1211.4980000000003</v>
      </c>
      <c r="AD241">
        <f>SUMIFS(UseByTech!AD$2:AD$10000,UseByTech!$B$2:$B$10000,$A241)</f>
        <v>1408.8353999999999</v>
      </c>
      <c r="AE241">
        <f>SUMIFS(UseByTech!AE$2:AE$10000,UseByTech!$B$2:$B$10000,$A241)</f>
        <v>1535.0159999999996</v>
      </c>
      <c r="AF241">
        <f>SUMIFS(UseByTech!AF$2:AF$10000,UseByTech!$B$2:$B$10000,$A241)</f>
        <v>1710.7392</v>
      </c>
      <c r="AG241">
        <f>SUMIFS(UseByTech!AG$2:AG$10000,UseByTech!$B$2:$B$10000,$A241)</f>
        <v>1763.9894000000002</v>
      </c>
      <c r="AH241">
        <f>SUMIFS(UseByTech!AH$2:AH$10000,UseByTech!$B$2:$B$10000,$A241)</f>
        <v>1852.1100000000008</v>
      </c>
      <c r="AI241">
        <f>SUMIFS(UseByTech!AI$2:AI$10000,UseByTech!$B$2:$B$10000,$A241)</f>
        <v>2045.9797999999998</v>
      </c>
      <c r="AJ241">
        <f>SUMIFS(UseByTech!AJ$2:AJ$10000,UseByTech!$B$2:$B$10000,$A241)</f>
        <v>1955.4105999999992</v>
      </c>
    </row>
    <row r="242" spans="1:36">
      <c r="A242" s="43" t="s">
        <v>154</v>
      </c>
      <c r="C242">
        <v>366.3974</v>
      </c>
      <c r="D242">
        <v>366.55150000000003</v>
      </c>
      <c r="E242">
        <v>384.9479</v>
      </c>
      <c r="F242">
        <v>403.34469999999999</v>
      </c>
      <c r="G242">
        <v>421.62390000000011</v>
      </c>
      <c r="H242">
        <v>436.08269999999993</v>
      </c>
      <c r="I242">
        <v>455.59710000000001</v>
      </c>
      <c r="J242">
        <v>476.56259999999997</v>
      </c>
      <c r="K242">
        <v>502.04720000000009</v>
      </c>
      <c r="L242">
        <v>527.51170000000002</v>
      </c>
      <c r="M242">
        <v>555.25880000000018</v>
      </c>
      <c r="N242">
        <v>586.10129999999992</v>
      </c>
      <c r="O242">
        <v>616.36020000000008</v>
      </c>
      <c r="P242">
        <v>647.13319999999999</v>
      </c>
      <c r="Q242">
        <v>677.01369999999997</v>
      </c>
      <c r="R242">
        <v>702.38030000000015</v>
      </c>
      <c r="S242">
        <v>737.88940000000025</v>
      </c>
      <c r="T242">
        <v>773.61359999999991</v>
      </c>
      <c r="U242">
        <v>809.33820000000014</v>
      </c>
      <c r="V242">
        <v>846.9701</v>
      </c>
      <c r="W242">
        <v>884.91089999999986</v>
      </c>
      <c r="X242">
        <v>846.8262000000002</v>
      </c>
      <c r="Y242">
        <v>846.56190000000004</v>
      </c>
      <c r="Z242">
        <v>847.14859999999987</v>
      </c>
      <c r="AA242">
        <v>848.62429999999972</v>
      </c>
      <c r="AB242">
        <v>851.0247999999998</v>
      </c>
      <c r="AC242">
        <v>855.98810000000003</v>
      </c>
      <c r="AD242">
        <v>861.9991</v>
      </c>
      <c r="AE242">
        <v>869.02510000000007</v>
      </c>
      <c r="AF242">
        <v>875.96850000000006</v>
      </c>
      <c r="AG242">
        <v>1293.4014999999999</v>
      </c>
      <c r="AH242">
        <v>1331.4612000000004</v>
      </c>
      <c r="AI242">
        <v>1371.1823999999999</v>
      </c>
      <c r="AJ242">
        <v>1410.8883000000001</v>
      </c>
    </row>
    <row r="243" spans="1:36">
      <c r="W243"/>
    </row>
    <row r="244" spans="1:36">
      <c r="W244"/>
    </row>
    <row r="245" spans="1:36">
      <c r="W245"/>
    </row>
    <row r="246" spans="1:36">
      <c r="A246" s="29"/>
      <c r="W246"/>
    </row>
    <row r="247" spans="1:36">
      <c r="A247" s="29"/>
      <c r="W247"/>
    </row>
    <row r="248" spans="1:36">
      <c r="A248" s="29"/>
      <c r="W248"/>
    </row>
    <row r="249" spans="1:36">
      <c r="A249" s="29"/>
      <c r="W249"/>
    </row>
    <row r="250" spans="1:36">
      <c r="A250" s="29"/>
      <c r="W250"/>
    </row>
    <row r="251" spans="1:36">
      <c r="A251" s="29"/>
      <c r="W251"/>
    </row>
    <row r="252" spans="1:36">
      <c r="A252" s="29"/>
      <c r="W252"/>
    </row>
    <row r="253" spans="1:36">
      <c r="A253" s="29"/>
      <c r="W253"/>
    </row>
    <row r="254" spans="1:36">
      <c r="W254"/>
    </row>
    <row r="255" spans="1:36">
      <c r="W255"/>
    </row>
    <row r="256" spans="1:36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  <row r="9029" spans="23:23">
      <c r="W9029"/>
    </row>
    <row r="9030" spans="23:23">
      <c r="W9030"/>
    </row>
    <row r="9031" spans="23:23">
      <c r="W9031"/>
    </row>
    <row r="9032" spans="23:23">
      <c r="W9032"/>
    </row>
    <row r="9033" spans="23:23">
      <c r="W9033"/>
    </row>
    <row r="9034" spans="23:23">
      <c r="W9034"/>
    </row>
    <row r="9035" spans="23:23">
      <c r="W9035"/>
    </row>
    <row r="9036" spans="23:23">
      <c r="W9036"/>
    </row>
    <row r="9037" spans="23:23">
      <c r="W9037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topLeftCell="A101" zoomScale="68" workbookViewId="0">
      <selection activeCell="B2" sqref="B2:AJ133"/>
    </sheetView>
  </sheetViews>
  <sheetFormatPr defaultColWidth="8.77734375" defaultRowHeight="14.4"/>
  <cols>
    <col min="2" max="2" width="28.109375" bestFit="1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</row>
    <row r="3" spans="1:36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</row>
    <row r="7" spans="1:36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1E-4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</row>
    <row r="10" spans="1:36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</row>
    <row r="11" spans="1:36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1E-4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2.9999999999999997E-4</v>
      </c>
      <c r="R11">
        <v>2.9999999999999997E-4</v>
      </c>
      <c r="S11">
        <v>0</v>
      </c>
      <c r="T11">
        <v>0</v>
      </c>
      <c r="U11">
        <v>0</v>
      </c>
      <c r="V11">
        <v>0</v>
      </c>
      <c r="W11">
        <v>6.9999999999999999E-4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2.0000000000000001E-4</v>
      </c>
      <c r="AJ11">
        <v>0</v>
      </c>
    </row>
    <row r="12" spans="1:36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2.3999999999999998E-3</v>
      </c>
      <c r="K12">
        <v>2.5999999999999999E-3</v>
      </c>
      <c r="L12">
        <v>2.7000000000000001E-3</v>
      </c>
      <c r="M12">
        <v>2.8999999999999998E-3</v>
      </c>
      <c r="N12">
        <v>3.0000000000000001E-3</v>
      </c>
      <c r="O12">
        <v>3.0999999999999999E-3</v>
      </c>
      <c r="P12">
        <v>3.2000000000000002E-3</v>
      </c>
      <c r="Q12">
        <v>3.0000000000000001E-3</v>
      </c>
      <c r="R12">
        <v>3.0999999999999999E-3</v>
      </c>
      <c r="S12">
        <v>3.5999999999999999E-3</v>
      </c>
      <c r="T12">
        <v>3.7000000000000002E-3</v>
      </c>
      <c r="U12">
        <v>3.8E-3</v>
      </c>
      <c r="V12">
        <v>4.0000000000000001E-3</v>
      </c>
      <c r="W12">
        <v>3.5000000000000001E-3</v>
      </c>
      <c r="X12">
        <v>4.3E-3</v>
      </c>
      <c r="Y12">
        <v>4.4999999999999997E-3</v>
      </c>
      <c r="Z12">
        <v>4.5999999999999999E-3</v>
      </c>
      <c r="AA12">
        <v>4.7999999999999996E-3</v>
      </c>
      <c r="AB12">
        <v>5.0000000000000001E-3</v>
      </c>
      <c r="AC12">
        <v>5.1999999999999998E-3</v>
      </c>
      <c r="AD12">
        <v>5.3E-3</v>
      </c>
      <c r="AE12">
        <v>5.4999999999999997E-3</v>
      </c>
      <c r="AF12">
        <v>5.7000000000000002E-3</v>
      </c>
      <c r="AG12">
        <v>6.0000000000000001E-3</v>
      </c>
      <c r="AH12">
        <v>6.1999999999999998E-3</v>
      </c>
      <c r="AI12">
        <v>6.1999999999999998E-3</v>
      </c>
      <c r="AJ12">
        <v>6.6E-3</v>
      </c>
    </row>
    <row r="13" spans="1:36">
      <c r="B13" s="29" t="s">
        <v>100</v>
      </c>
      <c r="C13">
        <v>1E-4</v>
      </c>
      <c r="D13">
        <v>5.0000000000000001E-4</v>
      </c>
      <c r="E13">
        <v>5.0000000000000001E-4</v>
      </c>
      <c r="F13">
        <v>5.0000000000000001E-4</v>
      </c>
      <c r="G13">
        <v>5.0000000000000001E-4</v>
      </c>
      <c r="H13">
        <v>4.0000000000000002E-4</v>
      </c>
      <c r="I13">
        <v>4.0000000000000002E-4</v>
      </c>
      <c r="J13">
        <v>4.0000000000000002E-4</v>
      </c>
      <c r="K13">
        <v>5.0000000000000001E-4</v>
      </c>
      <c r="L13">
        <v>5.0000000000000001E-4</v>
      </c>
      <c r="M13">
        <v>2.0000000000000001E-4</v>
      </c>
      <c r="N13">
        <v>5.0000000000000001E-4</v>
      </c>
      <c r="O13">
        <v>5.0000000000000001E-4</v>
      </c>
      <c r="P13">
        <v>5.0000000000000001E-4</v>
      </c>
      <c r="Q13">
        <v>2.9999999999999997E-4</v>
      </c>
      <c r="R13">
        <v>2.0000000000000001E-4</v>
      </c>
      <c r="S13">
        <v>6.9999999999999999E-4</v>
      </c>
      <c r="T13">
        <v>1.1999999999999999E-3</v>
      </c>
      <c r="U13">
        <v>1.8E-3</v>
      </c>
      <c r="V13">
        <v>2.2000000000000001E-3</v>
      </c>
      <c r="W13">
        <v>1.8E-3</v>
      </c>
      <c r="X13">
        <v>2.7000000000000001E-3</v>
      </c>
      <c r="Y13">
        <v>2.8999999999999998E-3</v>
      </c>
      <c r="Z13">
        <v>3.0999999999999999E-3</v>
      </c>
      <c r="AA13">
        <v>3.3E-3</v>
      </c>
      <c r="AB13">
        <v>3.5999999999999999E-3</v>
      </c>
      <c r="AC13">
        <v>4.1000000000000003E-3</v>
      </c>
      <c r="AD13">
        <v>4.5999999999999999E-3</v>
      </c>
      <c r="AE13">
        <v>5.0000000000000001E-3</v>
      </c>
      <c r="AF13">
        <v>5.4999999999999997E-3</v>
      </c>
      <c r="AG13">
        <v>5.7000000000000002E-3</v>
      </c>
      <c r="AH13">
        <v>5.8999999999999999E-3</v>
      </c>
      <c r="AI13">
        <v>6.3E-3</v>
      </c>
      <c r="AJ13">
        <v>6.3E-3</v>
      </c>
    </row>
    <row r="14" spans="1:36">
      <c r="B14" s="29" t="s">
        <v>101</v>
      </c>
      <c r="C14">
        <v>2.0999999999999999E-3</v>
      </c>
      <c r="D14">
        <v>1.6999999999999999E-3</v>
      </c>
      <c r="E14">
        <v>1.9E-3</v>
      </c>
      <c r="F14">
        <v>1.8E-3</v>
      </c>
      <c r="G14">
        <v>2E-3</v>
      </c>
      <c r="H14">
        <v>1.2999999999999999E-3</v>
      </c>
      <c r="I14">
        <v>1.1999999999999999E-3</v>
      </c>
      <c r="J14">
        <v>1.4E-3</v>
      </c>
      <c r="K14">
        <v>1.4E-3</v>
      </c>
      <c r="L14">
        <v>1.5E-3</v>
      </c>
      <c r="M14">
        <v>2E-3</v>
      </c>
      <c r="N14">
        <v>1.8E-3</v>
      </c>
      <c r="O14">
        <v>2E-3</v>
      </c>
      <c r="P14">
        <v>2.0999999999999999E-3</v>
      </c>
      <c r="Q14">
        <v>2.3E-3</v>
      </c>
      <c r="R14">
        <v>2.0999999999999999E-3</v>
      </c>
      <c r="S14">
        <v>2.8E-3</v>
      </c>
      <c r="T14">
        <v>7.1999999999999998E-3</v>
      </c>
      <c r="U14">
        <v>1.2500000000000001E-2</v>
      </c>
      <c r="V14">
        <v>1.5599999999999999E-2</v>
      </c>
      <c r="W14">
        <v>1.8499999999999999E-2</v>
      </c>
      <c r="X14">
        <v>1.95E-2</v>
      </c>
      <c r="Y14">
        <v>2.1299999999999999E-2</v>
      </c>
      <c r="Z14">
        <v>2.2499999999999999E-2</v>
      </c>
      <c r="AA14">
        <v>2.4299999999999999E-2</v>
      </c>
      <c r="AB14">
        <v>2.6499999999999999E-2</v>
      </c>
      <c r="AC14">
        <v>3.0300000000000001E-2</v>
      </c>
      <c r="AD14">
        <v>3.5000000000000003E-2</v>
      </c>
      <c r="AE14">
        <v>3.7900000000000003E-2</v>
      </c>
      <c r="AF14">
        <v>4.2099999999999999E-2</v>
      </c>
      <c r="AG14">
        <v>4.3299999999999998E-2</v>
      </c>
      <c r="AH14">
        <v>4.53E-2</v>
      </c>
      <c r="AI14">
        <v>5.0200000000000002E-2</v>
      </c>
      <c r="AJ14">
        <v>4.7699999999999999E-2</v>
      </c>
    </row>
    <row r="15" spans="1:36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B16" s="29" t="s">
        <v>103</v>
      </c>
      <c r="C16">
        <v>0</v>
      </c>
      <c r="D16">
        <v>2.4E-2</v>
      </c>
      <c r="E16">
        <v>2.4400000000000002E-2</v>
      </c>
      <c r="F16">
        <v>2.4799999999999999E-2</v>
      </c>
      <c r="G16">
        <v>2.52E-2</v>
      </c>
      <c r="H16">
        <v>2.58E-2</v>
      </c>
      <c r="I16">
        <v>2.7E-2</v>
      </c>
      <c r="J16">
        <v>2.7400000000000001E-2</v>
      </c>
      <c r="K16">
        <v>2.7699999999999999E-2</v>
      </c>
      <c r="L16">
        <v>2.7900000000000001E-2</v>
      </c>
      <c r="M16">
        <v>2.7900000000000001E-2</v>
      </c>
      <c r="N16">
        <v>2.7900000000000001E-2</v>
      </c>
      <c r="O16">
        <v>2.81E-2</v>
      </c>
      <c r="P16">
        <v>2.8500000000000001E-2</v>
      </c>
      <c r="Q16">
        <v>2.9399999999999999E-2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</row>
    <row r="17" spans="2:36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1.1999999999999999E-3</v>
      </c>
      <c r="G17">
        <v>1.1999999999999999E-3</v>
      </c>
      <c r="H17">
        <v>8.9999999999999998E-4</v>
      </c>
      <c r="I17">
        <v>0</v>
      </c>
      <c r="J17">
        <v>0</v>
      </c>
      <c r="K17">
        <v>0</v>
      </c>
      <c r="L17">
        <v>2.0000000000000001E-4</v>
      </c>
      <c r="M17">
        <v>5.0000000000000001E-4</v>
      </c>
      <c r="N17">
        <v>8.0000000000000004E-4</v>
      </c>
      <c r="O17">
        <v>8.9999999999999998E-4</v>
      </c>
      <c r="P17">
        <v>8.9999999999999998E-4</v>
      </c>
      <c r="Q17">
        <v>2.9999999999999997E-4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</row>
    <row r="21" spans="2:36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>
      <c r="B23" s="29" t="s">
        <v>110</v>
      </c>
      <c r="C23">
        <v>3.7000000000000002E-3</v>
      </c>
      <c r="D23">
        <v>1.06E-2</v>
      </c>
      <c r="E23">
        <v>1.0800000000000001E-2</v>
      </c>
      <c r="F23">
        <v>1.0800000000000001E-2</v>
      </c>
      <c r="G23">
        <v>1.1299999999999999E-2</v>
      </c>
      <c r="H23">
        <v>1.1299999999999999E-2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</row>
    <row r="24" spans="2:36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>
      <c r="B28" s="29" t="s">
        <v>115</v>
      </c>
      <c r="C28">
        <v>5.1000000000000004E-3</v>
      </c>
      <c r="D28">
        <v>0</v>
      </c>
      <c r="E28">
        <v>0</v>
      </c>
      <c r="F28">
        <v>2.0000000000000001E-4</v>
      </c>
      <c r="G28">
        <v>0</v>
      </c>
      <c r="H28">
        <v>2.0000000000000001E-4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>
      <c r="B30" s="29" t="s">
        <v>117</v>
      </c>
      <c r="C30">
        <v>3.7000000000000002E-3</v>
      </c>
      <c r="D30">
        <v>8.3999999999999995E-3</v>
      </c>
      <c r="E30">
        <v>1.0800000000000001E-2</v>
      </c>
      <c r="F30">
        <v>1.0800000000000001E-2</v>
      </c>
      <c r="G30">
        <v>1.1299999999999999E-2</v>
      </c>
      <c r="H30">
        <v>1.1299999999999999E-2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</row>
    <row r="31" spans="2:36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>
      <c r="B34" s="29" t="s">
        <v>121</v>
      </c>
      <c r="C34">
        <v>5.1000000000000004E-3</v>
      </c>
      <c r="D34">
        <v>2.2000000000000001E-3</v>
      </c>
      <c r="E34">
        <v>0</v>
      </c>
      <c r="F34">
        <v>2.0000000000000001E-4</v>
      </c>
      <c r="G34">
        <v>0</v>
      </c>
      <c r="H34">
        <v>2.0000000000000001E-4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</row>
    <row r="36" spans="2:36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6.7999999999999996E-3</v>
      </c>
      <c r="Q36">
        <v>6.7999999999999996E-3</v>
      </c>
      <c r="R36">
        <v>6.7999999999999996E-3</v>
      </c>
      <c r="S36">
        <v>7.6E-3</v>
      </c>
      <c r="T36">
        <v>1.0800000000000001E-2</v>
      </c>
      <c r="U36">
        <v>1.47E-2</v>
      </c>
      <c r="V36">
        <v>1.7000000000000001E-2</v>
      </c>
      <c r="W36">
        <v>1.8700000000000001E-2</v>
      </c>
      <c r="X36">
        <v>0.02</v>
      </c>
      <c r="Y36">
        <v>2.1399999999999999E-2</v>
      </c>
      <c r="Z36">
        <v>2.24E-2</v>
      </c>
      <c r="AA36">
        <v>2.3800000000000002E-2</v>
      </c>
      <c r="AB36">
        <v>2.5499999999999998E-2</v>
      </c>
      <c r="AC36">
        <v>2.8299999999999999E-2</v>
      </c>
      <c r="AD36">
        <v>3.1800000000000002E-2</v>
      </c>
      <c r="AE36">
        <v>3.4000000000000002E-2</v>
      </c>
      <c r="AF36">
        <v>3.7199999999999997E-2</v>
      </c>
      <c r="AG36">
        <v>3.8100000000000002E-2</v>
      </c>
      <c r="AH36">
        <v>3.9800000000000002E-2</v>
      </c>
      <c r="AI36">
        <v>4.3200000000000002E-2</v>
      </c>
      <c r="AJ36">
        <v>4.1799999999999997E-2</v>
      </c>
    </row>
    <row r="37" spans="2:36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</row>
    <row r="38" spans="2:36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</row>
    <row r="40" spans="2:36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</row>
    <row r="42" spans="2:36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1.1000000000000001E-3</v>
      </c>
      <c r="P42">
        <v>1.1999999999999999E-3</v>
      </c>
      <c r="Q42">
        <v>1.1999999999999999E-3</v>
      </c>
      <c r="R42">
        <v>1.1999999999999999E-3</v>
      </c>
      <c r="S42">
        <v>2E-3</v>
      </c>
      <c r="T42">
        <v>5.1999999999999998E-3</v>
      </c>
      <c r="U42">
        <v>9.1000000000000004E-3</v>
      </c>
      <c r="V42">
        <v>1.1299999999999999E-2</v>
      </c>
      <c r="W42">
        <v>1.2999999999999999E-2</v>
      </c>
      <c r="X42">
        <v>1.43E-2</v>
      </c>
      <c r="Y42">
        <v>1.5599999999999999E-2</v>
      </c>
      <c r="Z42">
        <v>1.66E-2</v>
      </c>
      <c r="AA42">
        <v>1.7999999999999999E-2</v>
      </c>
      <c r="AB42">
        <v>1.9699999999999999E-2</v>
      </c>
      <c r="AC42">
        <v>2.2499999999999999E-2</v>
      </c>
      <c r="AD42">
        <v>2.5899999999999999E-2</v>
      </c>
      <c r="AE42">
        <v>2.8199999999999999E-2</v>
      </c>
      <c r="AF42">
        <v>3.1300000000000001E-2</v>
      </c>
      <c r="AG42">
        <v>3.2199999999999999E-2</v>
      </c>
      <c r="AH42">
        <v>3.3799999999999997E-2</v>
      </c>
      <c r="AI42">
        <v>3.7199999999999997E-2</v>
      </c>
      <c r="AJ42">
        <v>3.5799999999999998E-2</v>
      </c>
    </row>
    <row r="43" spans="2:36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1.5599999999999999E-2</v>
      </c>
      <c r="P43">
        <v>1.6E-2</v>
      </c>
      <c r="Q43">
        <v>1.6E-2</v>
      </c>
      <c r="R43">
        <v>1.6E-2</v>
      </c>
      <c r="S43">
        <v>1.78E-2</v>
      </c>
      <c r="T43">
        <v>2.5399999999999999E-2</v>
      </c>
      <c r="U43">
        <v>3.4599999999999999E-2</v>
      </c>
      <c r="V43">
        <v>3.9899999999999998E-2</v>
      </c>
      <c r="W43">
        <v>4.3900000000000002E-2</v>
      </c>
      <c r="X43">
        <v>4.7E-2</v>
      </c>
      <c r="Y43">
        <v>5.0200000000000002E-2</v>
      </c>
      <c r="Z43">
        <v>5.2600000000000001E-2</v>
      </c>
      <c r="AA43">
        <v>5.5899999999999998E-2</v>
      </c>
      <c r="AB43">
        <v>0.06</v>
      </c>
      <c r="AC43">
        <v>6.6600000000000006E-2</v>
      </c>
      <c r="AD43">
        <v>7.4700000000000003E-2</v>
      </c>
      <c r="AE43">
        <v>0.08</v>
      </c>
      <c r="AF43">
        <v>8.7300000000000003E-2</v>
      </c>
      <c r="AG43">
        <v>8.9599999999999999E-2</v>
      </c>
      <c r="AH43">
        <v>9.35E-2</v>
      </c>
      <c r="AI43">
        <v>0.10150000000000001</v>
      </c>
      <c r="AJ43">
        <v>9.8199999999999996E-2</v>
      </c>
    </row>
    <row r="44" spans="2:36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>
      <c r="B45" s="29" t="s">
        <v>132</v>
      </c>
      <c r="C45">
        <v>4.0000000000000002E-4</v>
      </c>
      <c r="D45">
        <v>5.0000000000000001E-4</v>
      </c>
      <c r="E45">
        <v>5.0000000000000001E-4</v>
      </c>
      <c r="F45">
        <v>5.0000000000000001E-4</v>
      </c>
      <c r="G45">
        <v>5.0000000000000001E-4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>
      <c r="B46" s="29" t="s">
        <v>133</v>
      </c>
      <c r="C46">
        <v>2.0899999999999998E-2</v>
      </c>
      <c r="D46">
        <v>2.23E-2</v>
      </c>
      <c r="E46">
        <v>2.3900000000000001E-2</v>
      </c>
      <c r="F46">
        <v>2.6599999999999999E-2</v>
      </c>
      <c r="G46">
        <v>2.86E-2</v>
      </c>
      <c r="H46">
        <v>2.6200000000000001E-2</v>
      </c>
      <c r="I46">
        <v>2.5000000000000001E-2</v>
      </c>
      <c r="J46">
        <v>2.3199999999999998E-2</v>
      </c>
      <c r="K46">
        <v>2.1399999999999999E-2</v>
      </c>
      <c r="L46">
        <v>1.9599999999999999E-2</v>
      </c>
      <c r="M46">
        <v>3.3E-3</v>
      </c>
      <c r="N46">
        <v>5.8999999999999999E-3</v>
      </c>
      <c r="O46">
        <v>8.5000000000000006E-3</v>
      </c>
      <c r="P46">
        <v>1.14E-2</v>
      </c>
      <c r="Q46">
        <v>1.0699999999999999E-2</v>
      </c>
      <c r="R46">
        <v>8.8999999999999999E-3</v>
      </c>
      <c r="S46">
        <v>7.1000000000000004E-3</v>
      </c>
      <c r="T46">
        <v>5.4000000000000003E-3</v>
      </c>
      <c r="U46">
        <v>3.5999999999999999E-3</v>
      </c>
      <c r="V46">
        <v>1.8E-3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>
      <c r="B47" s="29" t="s">
        <v>134</v>
      </c>
      <c r="C47">
        <v>7.0000000000000001E-3</v>
      </c>
      <c r="D47">
        <v>6.8999999999999999E-3</v>
      </c>
      <c r="E47">
        <v>6.4000000000000003E-3</v>
      </c>
      <c r="F47">
        <v>6.0000000000000001E-3</v>
      </c>
      <c r="G47">
        <v>6.4999999999999997E-3</v>
      </c>
      <c r="H47">
        <v>1E-4</v>
      </c>
      <c r="I47">
        <v>2.0000000000000001E-4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1E-3</v>
      </c>
      <c r="T47">
        <v>8.9999999999999998E-4</v>
      </c>
      <c r="U47">
        <v>5.0000000000000001E-4</v>
      </c>
      <c r="V47">
        <v>5.0000000000000001E-4</v>
      </c>
      <c r="W47">
        <v>2.9999999999999997E-4</v>
      </c>
      <c r="X47">
        <v>2.9999999999999997E-4</v>
      </c>
      <c r="Y47">
        <v>2.9999999999999997E-4</v>
      </c>
      <c r="Z47">
        <v>2.9999999999999997E-4</v>
      </c>
      <c r="AA47">
        <v>2.9999999999999997E-4</v>
      </c>
      <c r="AB47">
        <v>2.9999999999999997E-4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>
      <c r="B48" s="29" t="s">
        <v>135</v>
      </c>
      <c r="C48">
        <v>8.9999999999999998E-4</v>
      </c>
      <c r="D48">
        <v>5.9999999999999995E-4</v>
      </c>
      <c r="E48">
        <v>8.9999999999999998E-4</v>
      </c>
      <c r="F48">
        <v>5.0000000000000001E-4</v>
      </c>
      <c r="G48">
        <v>5.0000000000000001E-4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>
      <c r="B51" s="29" t="s">
        <v>138</v>
      </c>
      <c r="C51">
        <v>3.8999999999999998E-3</v>
      </c>
      <c r="D51">
        <v>3.5999999999999999E-3</v>
      </c>
      <c r="E51">
        <v>3.8E-3</v>
      </c>
      <c r="F51">
        <v>3.8999999999999998E-3</v>
      </c>
      <c r="G51">
        <v>3.8999999999999998E-3</v>
      </c>
      <c r="H51">
        <v>4.0000000000000001E-3</v>
      </c>
      <c r="I51">
        <v>6.7000000000000002E-3</v>
      </c>
      <c r="J51">
        <v>6.7000000000000002E-3</v>
      </c>
      <c r="K51">
        <v>6.7000000000000002E-3</v>
      </c>
      <c r="L51">
        <v>6.7000000000000002E-3</v>
      </c>
      <c r="M51">
        <v>6.7000000000000002E-3</v>
      </c>
      <c r="N51">
        <v>6.7000000000000002E-3</v>
      </c>
      <c r="O51">
        <v>6.7000000000000002E-3</v>
      </c>
      <c r="P51">
        <v>6.1999999999999998E-3</v>
      </c>
      <c r="Q51">
        <v>6.7999999999999996E-3</v>
      </c>
      <c r="R51">
        <v>1.26E-2</v>
      </c>
      <c r="S51">
        <v>1.26E-2</v>
      </c>
      <c r="T51">
        <v>1.26E-2</v>
      </c>
      <c r="U51">
        <v>1.26E-2</v>
      </c>
      <c r="V51">
        <v>1.26E-2</v>
      </c>
      <c r="W51">
        <v>1.26E-2</v>
      </c>
      <c r="X51">
        <v>1.26E-2</v>
      </c>
      <c r="Y51">
        <v>1.26E-2</v>
      </c>
      <c r="Z51">
        <v>1.26E-2</v>
      </c>
      <c r="AA51">
        <v>1.26E-2</v>
      </c>
      <c r="AB51">
        <v>1.26E-2</v>
      </c>
      <c r="AC51">
        <v>1.26E-2</v>
      </c>
      <c r="AD51">
        <v>1.1900000000000001E-2</v>
      </c>
      <c r="AE51">
        <v>1.09E-2</v>
      </c>
      <c r="AF51">
        <v>9.5999999999999992E-3</v>
      </c>
      <c r="AG51">
        <v>9.7000000000000003E-3</v>
      </c>
      <c r="AH51">
        <v>9.1999999999999998E-3</v>
      </c>
      <c r="AI51">
        <v>7.1999999999999998E-3</v>
      </c>
      <c r="AJ51">
        <v>1.26E-2</v>
      </c>
    </row>
    <row r="52" spans="2:36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>
      <c r="B55" s="29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6.6E-3</v>
      </c>
      <c r="I55">
        <v>6.6E-3</v>
      </c>
      <c r="J55">
        <v>1.1299999999999999E-2</v>
      </c>
      <c r="K55">
        <v>1.5900000000000001E-2</v>
      </c>
      <c r="L55">
        <v>2.0500000000000001E-2</v>
      </c>
      <c r="M55">
        <v>3.9800000000000002E-2</v>
      </c>
      <c r="N55">
        <v>4.0599999999999997E-2</v>
      </c>
      <c r="O55">
        <v>4.1099999999999998E-2</v>
      </c>
      <c r="P55">
        <v>4.1599999999999998E-2</v>
      </c>
      <c r="Q55">
        <v>3.9399999999999998E-2</v>
      </c>
      <c r="R55">
        <v>3.7999999999999999E-2</v>
      </c>
      <c r="S55">
        <v>3.5499999999999997E-2</v>
      </c>
      <c r="T55">
        <v>3.4000000000000002E-2</v>
      </c>
      <c r="U55">
        <v>3.1399999999999997E-2</v>
      </c>
      <c r="V55">
        <v>3.0599999999999999E-2</v>
      </c>
      <c r="W55">
        <v>3.0499999999999999E-2</v>
      </c>
      <c r="X55">
        <v>3.0700000000000002E-2</v>
      </c>
      <c r="Y55">
        <v>3.1E-2</v>
      </c>
      <c r="Z55">
        <v>3.1399999999999997E-2</v>
      </c>
      <c r="AA55">
        <v>3.1699999999999999E-2</v>
      </c>
      <c r="AB55">
        <v>3.1699999999999999E-2</v>
      </c>
      <c r="AC55">
        <v>2.9600000000000001E-2</v>
      </c>
      <c r="AD55">
        <v>2.7E-2</v>
      </c>
      <c r="AE55">
        <v>2.5999999999999999E-2</v>
      </c>
      <c r="AF55">
        <v>2.5000000000000001E-2</v>
      </c>
      <c r="AG55">
        <v>2.23E-2</v>
      </c>
      <c r="AH55">
        <v>2.1700000000000001E-2</v>
      </c>
      <c r="AI55">
        <v>2.0299999999999999E-2</v>
      </c>
      <c r="AJ55">
        <v>1.6899999999999998E-2</v>
      </c>
    </row>
    <row r="56" spans="2:36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>
      <c r="B58" s="29" t="s">
        <v>145</v>
      </c>
      <c r="C58">
        <v>2.5999999999999999E-3</v>
      </c>
      <c r="D58">
        <v>3.3E-3</v>
      </c>
      <c r="E58">
        <v>3.5999999999999999E-3</v>
      </c>
      <c r="F58">
        <v>3.7000000000000002E-3</v>
      </c>
      <c r="G58">
        <v>3.8999999999999998E-3</v>
      </c>
      <c r="H58">
        <v>3.8999999999999998E-3</v>
      </c>
      <c r="I58">
        <v>3.8999999999999998E-3</v>
      </c>
      <c r="J58">
        <v>3.8999999999999998E-3</v>
      </c>
      <c r="K58">
        <v>3.8999999999999998E-3</v>
      </c>
      <c r="L58">
        <v>3.8999999999999998E-3</v>
      </c>
      <c r="M58">
        <v>3.8999999999999998E-3</v>
      </c>
      <c r="N58">
        <v>3.8999999999999998E-3</v>
      </c>
      <c r="O58">
        <v>3.8999999999999998E-3</v>
      </c>
      <c r="P58">
        <v>3.8999999999999998E-3</v>
      </c>
      <c r="Q58">
        <v>3.8999999999999998E-3</v>
      </c>
      <c r="R58">
        <v>3.8999999999999998E-3</v>
      </c>
      <c r="S58">
        <v>3.8999999999999998E-3</v>
      </c>
      <c r="T58">
        <v>3.8999999999999998E-3</v>
      </c>
      <c r="U58">
        <v>3.8999999999999998E-3</v>
      </c>
      <c r="V58">
        <v>3.8999999999999998E-3</v>
      </c>
      <c r="W58">
        <v>3.8999999999999998E-3</v>
      </c>
      <c r="X58">
        <v>3.8999999999999998E-3</v>
      </c>
      <c r="Y58">
        <v>3.8999999999999998E-3</v>
      </c>
      <c r="Z58">
        <v>3.8999999999999998E-3</v>
      </c>
      <c r="AA58">
        <v>3.8999999999999998E-3</v>
      </c>
      <c r="AB58">
        <v>3.8999999999999998E-3</v>
      </c>
      <c r="AC58">
        <v>3.8999999999999998E-3</v>
      </c>
      <c r="AD58">
        <v>3.8999999999999998E-3</v>
      </c>
      <c r="AE58">
        <v>3.8999999999999998E-3</v>
      </c>
      <c r="AF58">
        <v>3.5000000000000001E-3</v>
      </c>
      <c r="AG58">
        <v>3.2000000000000002E-3</v>
      </c>
      <c r="AH58">
        <v>3.2000000000000002E-3</v>
      </c>
      <c r="AI58">
        <v>2.8999999999999998E-3</v>
      </c>
      <c r="AJ58">
        <v>3.8999999999999998E-3</v>
      </c>
    </row>
    <row r="59" spans="2:36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5.9999999999999995E-4</v>
      </c>
      <c r="I59">
        <v>5.9999999999999995E-4</v>
      </c>
      <c r="J59">
        <v>4.0000000000000002E-4</v>
      </c>
      <c r="K59">
        <v>1E-4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1.8E-3</v>
      </c>
      <c r="T59">
        <v>1.6000000000000001E-3</v>
      </c>
      <c r="U59">
        <v>1.1999999999999999E-3</v>
      </c>
      <c r="V59">
        <v>2.5999999999999999E-3</v>
      </c>
      <c r="W59">
        <v>4.7000000000000002E-3</v>
      </c>
      <c r="X59">
        <v>5.1999999999999998E-3</v>
      </c>
      <c r="Y59">
        <v>5.8999999999999999E-3</v>
      </c>
      <c r="Z59">
        <v>6.8999999999999999E-3</v>
      </c>
      <c r="AA59">
        <v>7.4999999999999997E-3</v>
      </c>
      <c r="AB59">
        <v>7.7999999999999996E-3</v>
      </c>
      <c r="AC59">
        <v>8.2000000000000007E-3</v>
      </c>
      <c r="AD59">
        <v>8.0000000000000002E-3</v>
      </c>
      <c r="AE59">
        <v>7.7000000000000002E-3</v>
      </c>
      <c r="AF59">
        <v>7.4999999999999997E-3</v>
      </c>
      <c r="AG59">
        <v>8.0999999999999996E-3</v>
      </c>
      <c r="AH59">
        <v>7.7999999999999996E-3</v>
      </c>
      <c r="AI59">
        <v>8.0999999999999996E-3</v>
      </c>
      <c r="AJ59">
        <v>1.26E-2</v>
      </c>
    </row>
    <row r="60" spans="2:36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1.6999999999999999E-3</v>
      </c>
      <c r="T62">
        <v>8.8999999999999999E-3</v>
      </c>
      <c r="U62">
        <v>1.77E-2</v>
      </c>
      <c r="V62">
        <v>2.2599999999999999E-2</v>
      </c>
      <c r="W62">
        <v>2.63E-2</v>
      </c>
      <c r="X62">
        <v>2.8899999999999999E-2</v>
      </c>
      <c r="Y62">
        <v>3.1600000000000003E-2</v>
      </c>
      <c r="Z62">
        <v>3.3500000000000002E-2</v>
      </c>
      <c r="AA62">
        <v>3.6299999999999999E-2</v>
      </c>
      <c r="AB62">
        <v>3.9899999999999998E-2</v>
      </c>
      <c r="AC62">
        <v>4.5999999999999999E-2</v>
      </c>
      <c r="AD62">
        <v>5.3499999999999999E-2</v>
      </c>
      <c r="AE62">
        <v>5.8299999999999998E-2</v>
      </c>
      <c r="AF62">
        <v>6.5000000000000002E-2</v>
      </c>
      <c r="AG62">
        <v>6.7000000000000004E-2</v>
      </c>
      <c r="AH62">
        <v>7.0400000000000004E-2</v>
      </c>
      <c r="AI62">
        <v>7.7700000000000005E-2</v>
      </c>
      <c r="AJ62">
        <v>7.4300000000000005E-2</v>
      </c>
    </row>
    <row r="63" spans="2:36">
      <c r="B63" s="29" t="s">
        <v>150</v>
      </c>
      <c r="C63">
        <v>5.0000000000000001E-4</v>
      </c>
      <c r="D63">
        <v>5.0000000000000001E-4</v>
      </c>
      <c r="E63">
        <v>6.9999999999999999E-4</v>
      </c>
      <c r="F63">
        <v>8.9999999999999998E-4</v>
      </c>
      <c r="G63">
        <v>1.4E-3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1.6999999999999999E-3</v>
      </c>
      <c r="N63">
        <v>1.6999999999999999E-3</v>
      </c>
      <c r="O63">
        <v>1.6999999999999999E-3</v>
      </c>
      <c r="P63">
        <v>1.6999999999999999E-3</v>
      </c>
      <c r="Q63">
        <v>6.3E-3</v>
      </c>
      <c r="R63">
        <v>6.3E-3</v>
      </c>
      <c r="S63">
        <v>9.5999999999999992E-3</v>
      </c>
      <c r="T63">
        <v>9.5999999999999992E-3</v>
      </c>
      <c r="U63">
        <v>9.5999999999999992E-3</v>
      </c>
      <c r="V63">
        <v>9.5999999999999992E-3</v>
      </c>
      <c r="W63">
        <v>9.5999999999999992E-3</v>
      </c>
      <c r="X63">
        <v>9.5999999999999992E-3</v>
      </c>
      <c r="Y63">
        <v>9.5999999999999992E-3</v>
      </c>
      <c r="Z63">
        <v>9.9000000000000008E-3</v>
      </c>
      <c r="AA63">
        <v>9.9000000000000008E-3</v>
      </c>
      <c r="AB63">
        <v>9.9000000000000008E-3</v>
      </c>
      <c r="AC63">
        <v>9.4999999999999998E-3</v>
      </c>
      <c r="AD63">
        <v>9.4999999999999998E-3</v>
      </c>
      <c r="AE63">
        <v>1.0699999999999999E-2</v>
      </c>
      <c r="AF63">
        <v>1.0800000000000001E-2</v>
      </c>
      <c r="AG63">
        <v>1.66E-2</v>
      </c>
      <c r="AH63">
        <v>1.84E-2</v>
      </c>
      <c r="AI63">
        <v>1.83E-2</v>
      </c>
      <c r="AJ63">
        <v>1.8200000000000001E-2</v>
      </c>
    </row>
    <row r="64" spans="2:36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>
      <c r="B65" s="29" t="s">
        <v>152</v>
      </c>
      <c r="C65">
        <v>4.0000000000000002E-4</v>
      </c>
      <c r="D65">
        <v>5.0000000000000001E-4</v>
      </c>
      <c r="E65">
        <v>4.0000000000000002E-4</v>
      </c>
      <c r="F65">
        <v>5.0000000000000001E-4</v>
      </c>
      <c r="G65">
        <v>4.0000000000000002E-4</v>
      </c>
      <c r="H65">
        <v>5.0000000000000001E-4</v>
      </c>
      <c r="I65">
        <v>5.0000000000000001E-4</v>
      </c>
      <c r="J65">
        <v>5.0000000000000001E-4</v>
      </c>
      <c r="K65">
        <v>5.0000000000000001E-4</v>
      </c>
      <c r="L65">
        <v>5.0000000000000001E-4</v>
      </c>
      <c r="M65">
        <v>5.0000000000000001E-4</v>
      </c>
      <c r="N65">
        <v>5.0000000000000001E-4</v>
      </c>
      <c r="O65">
        <v>5.0000000000000001E-4</v>
      </c>
      <c r="P65">
        <v>5.0000000000000001E-4</v>
      </c>
      <c r="Q65">
        <v>5.0000000000000001E-4</v>
      </c>
      <c r="R65">
        <v>5.0000000000000001E-4</v>
      </c>
      <c r="S65">
        <v>5.0000000000000001E-4</v>
      </c>
      <c r="T65">
        <v>5.0000000000000001E-4</v>
      </c>
      <c r="U65">
        <v>5.0000000000000001E-4</v>
      </c>
      <c r="V65">
        <v>2.9999999999999997E-4</v>
      </c>
      <c r="W65">
        <v>2.0000000000000001E-4</v>
      </c>
      <c r="X65">
        <v>2.0000000000000001E-4</v>
      </c>
      <c r="Y65">
        <v>2.0000000000000001E-4</v>
      </c>
      <c r="Z65">
        <v>2.0000000000000001E-4</v>
      </c>
      <c r="AA65">
        <v>2.0000000000000001E-4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s="5" customFormat="1">
      <c r="B67" s="29" t="s">
        <v>154</v>
      </c>
      <c r="C67">
        <v>0.03</v>
      </c>
      <c r="D67">
        <v>0.03</v>
      </c>
      <c r="E67">
        <v>3.15E-2</v>
      </c>
      <c r="F67">
        <v>3.3000000000000002E-2</v>
      </c>
      <c r="G67">
        <v>3.4500000000000003E-2</v>
      </c>
      <c r="H67">
        <v>3.5700000000000003E-2</v>
      </c>
      <c r="I67">
        <v>3.6900000000000002E-2</v>
      </c>
      <c r="J67">
        <v>3.9E-2</v>
      </c>
      <c r="K67">
        <v>4.1099999999999998E-2</v>
      </c>
      <c r="L67">
        <v>4.3299999999999998E-2</v>
      </c>
      <c r="M67">
        <v>4.58E-2</v>
      </c>
      <c r="N67">
        <v>4.8500000000000001E-2</v>
      </c>
      <c r="O67">
        <v>5.0999999999999997E-2</v>
      </c>
      <c r="P67">
        <v>5.3499999999999999E-2</v>
      </c>
      <c r="Q67">
        <v>5.5300000000000002E-2</v>
      </c>
      <c r="R67">
        <v>5.7500000000000002E-2</v>
      </c>
      <c r="S67">
        <v>6.0400000000000002E-2</v>
      </c>
      <c r="T67">
        <v>6.3299999999999995E-2</v>
      </c>
      <c r="U67">
        <v>6.6199999999999995E-2</v>
      </c>
      <c r="V67">
        <v>6.9099999999999995E-2</v>
      </c>
      <c r="W67">
        <v>7.1999999999999995E-2</v>
      </c>
      <c r="X67">
        <v>7.4800000000000005E-2</v>
      </c>
      <c r="Y67">
        <v>7.7799999999999994E-2</v>
      </c>
      <c r="Z67">
        <v>8.0799999999999997E-2</v>
      </c>
      <c r="AA67">
        <v>8.3799999999999999E-2</v>
      </c>
      <c r="AB67">
        <v>8.6800000000000002E-2</v>
      </c>
      <c r="AC67">
        <v>8.9899999999999994E-2</v>
      </c>
      <c r="AD67">
        <v>9.3100000000000002E-2</v>
      </c>
      <c r="AE67">
        <v>9.6199999999999994E-2</v>
      </c>
      <c r="AF67">
        <v>9.9299999999999999E-2</v>
      </c>
      <c r="AG67">
        <v>0.1038</v>
      </c>
      <c r="AH67">
        <v>0.1069</v>
      </c>
      <c r="AI67">
        <v>0.11</v>
      </c>
      <c r="AJ67">
        <v>0.1132</v>
      </c>
    </row>
    <row r="68" spans="2:36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</row>
    <row r="69" spans="2:36">
      <c r="B69" s="29" t="s">
        <v>156</v>
      </c>
      <c r="C69">
        <v>0</v>
      </c>
      <c r="D69">
        <v>0</v>
      </c>
      <c r="E69">
        <v>1.3899999999999999E-2</v>
      </c>
      <c r="F69">
        <v>1.47E-2</v>
      </c>
      <c r="G69">
        <v>1.55E-2</v>
      </c>
      <c r="H69">
        <v>1.6E-2</v>
      </c>
      <c r="I69">
        <v>1.6199999999999999E-2</v>
      </c>
      <c r="J69">
        <v>1.7100000000000001E-2</v>
      </c>
      <c r="K69">
        <v>1.8100000000000002E-2</v>
      </c>
      <c r="L69">
        <v>1.9300000000000001E-2</v>
      </c>
      <c r="M69">
        <v>2.07E-2</v>
      </c>
      <c r="N69">
        <v>2.2100000000000002E-2</v>
      </c>
      <c r="O69">
        <v>2.3400000000000001E-2</v>
      </c>
      <c r="P69">
        <v>2.46E-2</v>
      </c>
      <c r="Q69">
        <v>2.5100000000000001E-2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3.44E-2</v>
      </c>
      <c r="Y69">
        <v>3.5900000000000001E-2</v>
      </c>
      <c r="Z69">
        <v>3.7400000000000003E-2</v>
      </c>
      <c r="AA69">
        <v>3.8899999999999997E-2</v>
      </c>
      <c r="AB69">
        <v>4.0399999999999998E-2</v>
      </c>
      <c r="AC69">
        <v>4.1799999999999997E-2</v>
      </c>
      <c r="AD69">
        <v>4.3200000000000002E-2</v>
      </c>
      <c r="AE69">
        <v>4.4600000000000001E-2</v>
      </c>
      <c r="AF69">
        <v>4.5999999999999999E-2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</row>
    <row r="70" spans="2:36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</row>
    <row r="71" spans="2:36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</row>
    <row r="72" spans="2:36"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2.9999999999999997E-4</v>
      </c>
      <c r="J72">
        <v>5.0000000000000001E-4</v>
      </c>
      <c r="K72">
        <v>6.9999999999999999E-4</v>
      </c>
      <c r="L72">
        <v>8.9999999999999998E-4</v>
      </c>
      <c r="M72">
        <v>1.1000000000000001E-3</v>
      </c>
      <c r="N72">
        <v>1.4E-3</v>
      </c>
      <c r="O72">
        <v>1.6000000000000001E-3</v>
      </c>
      <c r="P72">
        <v>1.8E-3</v>
      </c>
      <c r="Q72">
        <v>2E-3</v>
      </c>
      <c r="R72">
        <v>2.3E-3</v>
      </c>
      <c r="S72">
        <v>2.5000000000000001E-3</v>
      </c>
      <c r="T72">
        <v>2.7000000000000001E-3</v>
      </c>
      <c r="U72">
        <v>2.8999999999999998E-3</v>
      </c>
      <c r="V72">
        <v>3.2000000000000002E-3</v>
      </c>
      <c r="W72">
        <v>3.3999999999999998E-3</v>
      </c>
      <c r="X72">
        <v>3.3999999999999998E-3</v>
      </c>
      <c r="Y72">
        <v>3.5000000000000001E-3</v>
      </c>
      <c r="Z72">
        <v>3.5000000000000001E-3</v>
      </c>
      <c r="AA72">
        <v>3.5999999999999999E-3</v>
      </c>
      <c r="AB72">
        <v>3.7000000000000002E-3</v>
      </c>
      <c r="AC72">
        <v>3.7000000000000002E-3</v>
      </c>
      <c r="AD72">
        <v>3.8E-3</v>
      </c>
      <c r="AE72">
        <v>3.8E-3</v>
      </c>
      <c r="AF72">
        <v>3.8999999999999998E-3</v>
      </c>
      <c r="AG72">
        <v>4.0000000000000001E-3</v>
      </c>
      <c r="AH72">
        <v>4.1000000000000003E-3</v>
      </c>
      <c r="AI72">
        <v>4.3E-3</v>
      </c>
      <c r="AJ72">
        <v>4.4999999999999997E-3</v>
      </c>
    </row>
    <row r="73" spans="2:36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>
      <c r="B74" s="29" t="s">
        <v>161</v>
      </c>
      <c r="C74">
        <v>4.41E-2</v>
      </c>
      <c r="D74">
        <v>4.53E-2</v>
      </c>
      <c r="E74">
        <v>4.6600000000000003E-2</v>
      </c>
      <c r="F74">
        <v>4.7699999999999999E-2</v>
      </c>
      <c r="G74">
        <v>4.9200000000000001E-2</v>
      </c>
      <c r="H74">
        <v>5.0099999999999999E-2</v>
      </c>
      <c r="I74">
        <v>5.1200000000000002E-2</v>
      </c>
      <c r="J74">
        <v>5.1900000000000002E-2</v>
      </c>
      <c r="K74">
        <v>5.2699999999999997E-2</v>
      </c>
      <c r="L74">
        <v>5.3400000000000003E-2</v>
      </c>
      <c r="M74">
        <v>5.1700000000000003E-2</v>
      </c>
      <c r="N74">
        <v>5.2900000000000003E-2</v>
      </c>
      <c r="O74">
        <v>5.3900000000000003E-2</v>
      </c>
      <c r="P74">
        <v>5.5100000000000003E-2</v>
      </c>
      <c r="Q74">
        <v>5.62E-2</v>
      </c>
      <c r="R74">
        <v>5.7299999999999997E-2</v>
      </c>
      <c r="S74">
        <v>5.8599999999999999E-2</v>
      </c>
      <c r="T74">
        <v>0.06</v>
      </c>
      <c r="U74">
        <v>6.1400000000000003E-2</v>
      </c>
      <c r="V74">
        <v>6.2700000000000006E-2</v>
      </c>
      <c r="W74">
        <v>6.3899999999999998E-2</v>
      </c>
      <c r="X74">
        <v>6.6000000000000003E-2</v>
      </c>
      <c r="Y74">
        <v>6.8199999999999997E-2</v>
      </c>
      <c r="Z74">
        <v>7.0300000000000001E-2</v>
      </c>
      <c r="AA74">
        <v>7.2499999999999995E-2</v>
      </c>
      <c r="AB74">
        <v>7.4700000000000003E-2</v>
      </c>
      <c r="AC74">
        <v>7.6999999999999999E-2</v>
      </c>
      <c r="AD74">
        <v>7.9399999999999998E-2</v>
      </c>
      <c r="AE74">
        <v>8.1699999999999995E-2</v>
      </c>
      <c r="AF74">
        <v>8.4099999999999994E-2</v>
      </c>
      <c r="AG74">
        <v>8.5500000000000007E-2</v>
      </c>
      <c r="AH74">
        <v>8.7800000000000003E-2</v>
      </c>
      <c r="AI74">
        <v>9.01E-2</v>
      </c>
      <c r="AJ74">
        <v>9.1899999999999996E-2</v>
      </c>
    </row>
    <row r="75" spans="2:36">
      <c r="B75" s="29" t="s">
        <v>162</v>
      </c>
      <c r="C75">
        <v>0</v>
      </c>
      <c r="D75">
        <v>0</v>
      </c>
      <c r="E75">
        <v>0</v>
      </c>
      <c r="F75">
        <v>2.0000000000000001E-4</v>
      </c>
      <c r="G75">
        <v>0</v>
      </c>
      <c r="H75">
        <v>2.9999999999999997E-4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>
      <c r="B77" s="29" t="s">
        <v>164</v>
      </c>
      <c r="C77">
        <v>2023.5934</v>
      </c>
      <c r="D77">
        <v>3168.6587</v>
      </c>
      <c r="E77">
        <v>3409.3049999999998</v>
      </c>
      <c r="F77">
        <v>3659.5005000000001</v>
      </c>
      <c r="G77">
        <v>3887.5841999999998</v>
      </c>
      <c r="H77">
        <v>4135.0403999999999</v>
      </c>
      <c r="I77">
        <v>4104.7955000000002</v>
      </c>
      <c r="J77">
        <v>4286.1148999999996</v>
      </c>
      <c r="K77">
        <v>4466.8288000000002</v>
      </c>
      <c r="L77">
        <v>4642.3577999999998</v>
      </c>
      <c r="M77">
        <v>4475.5243</v>
      </c>
      <c r="N77">
        <v>4833.3894</v>
      </c>
      <c r="O77">
        <v>5188.2773999999999</v>
      </c>
      <c r="P77">
        <v>5390.3792999999996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>
      <c r="B78" s="29" t="s">
        <v>165</v>
      </c>
      <c r="C78">
        <v>1261.3244999999999</v>
      </c>
      <c r="D78">
        <v>1391.3286000000001</v>
      </c>
      <c r="E78">
        <v>1395.6857</v>
      </c>
      <c r="F78">
        <v>1291.8042</v>
      </c>
      <c r="G78">
        <v>1473.5039999999999</v>
      </c>
      <c r="H78">
        <v>374.83440000000002</v>
      </c>
      <c r="I78">
        <v>446.43310000000002</v>
      </c>
      <c r="J78">
        <v>435.70269999999999</v>
      </c>
      <c r="K78">
        <v>406.32729999999998</v>
      </c>
      <c r="L78">
        <v>514.52499999999998</v>
      </c>
      <c r="M78">
        <v>527.21140000000003</v>
      </c>
      <c r="N78">
        <v>549.53689999999995</v>
      </c>
      <c r="O78">
        <v>799.13400000000001</v>
      </c>
      <c r="P78">
        <v>1290.3773000000001</v>
      </c>
      <c r="Q78">
        <v>1433.8114</v>
      </c>
      <c r="R78">
        <v>1582.1139000000001</v>
      </c>
      <c r="S78">
        <v>2121.2444999999998</v>
      </c>
      <c r="T78">
        <v>2120.1219999999998</v>
      </c>
      <c r="U78">
        <v>2033.19</v>
      </c>
      <c r="V78">
        <v>2326.1617000000001</v>
      </c>
      <c r="W78">
        <v>2681.1904</v>
      </c>
      <c r="X78">
        <v>2861.2635</v>
      </c>
      <c r="Y78">
        <v>3050.1794</v>
      </c>
      <c r="Z78">
        <v>3309.4155999999998</v>
      </c>
      <c r="AA78">
        <v>3496.4807999999998</v>
      </c>
      <c r="AB78">
        <v>3630.0432999999998</v>
      </c>
      <c r="AC78">
        <v>3753.4670000000001</v>
      </c>
      <c r="AD78">
        <v>3818.5511999999999</v>
      </c>
      <c r="AE78">
        <v>3874.7653</v>
      </c>
      <c r="AF78">
        <v>3939.3730999999998</v>
      </c>
      <c r="AG78">
        <v>4130.2354999999998</v>
      </c>
      <c r="AH78">
        <v>4212.6638000000003</v>
      </c>
      <c r="AI78">
        <v>4384.3644999999997</v>
      </c>
      <c r="AJ78">
        <v>5270.1233000000002</v>
      </c>
    </row>
    <row r="79" spans="2:36">
      <c r="B79" s="29" t="s">
        <v>166</v>
      </c>
      <c r="C79">
        <v>955.77530000000002</v>
      </c>
      <c r="D79">
        <v>0</v>
      </c>
      <c r="E79">
        <v>8.9153000000000002</v>
      </c>
      <c r="F79">
        <v>0</v>
      </c>
      <c r="G79">
        <v>6.9055</v>
      </c>
      <c r="H79">
        <v>0</v>
      </c>
      <c r="I79">
        <v>0</v>
      </c>
      <c r="J79">
        <v>135.26400000000001</v>
      </c>
      <c r="K79">
        <v>301.92469999999997</v>
      </c>
      <c r="L79">
        <v>351.21319999999997</v>
      </c>
      <c r="M79">
        <v>499.1481</v>
      </c>
      <c r="N79">
        <v>686.14319999999998</v>
      </c>
      <c r="O79">
        <v>533.38400000000001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213.15020000000001</v>
      </c>
      <c r="Q80">
        <v>6114.3076000000001</v>
      </c>
      <c r="R80">
        <v>5930.3959000000004</v>
      </c>
      <c r="S80">
        <v>5653.0304999999998</v>
      </c>
      <c r="T80">
        <v>5436.7502000000004</v>
      </c>
      <c r="U80">
        <v>5133.1183000000001</v>
      </c>
      <c r="V80">
        <v>4964.4088000000002</v>
      </c>
      <c r="W80">
        <v>4845.6500999999998</v>
      </c>
      <c r="X80">
        <v>4914.0055000000002</v>
      </c>
      <c r="Y80">
        <v>4984.415</v>
      </c>
      <c r="Z80">
        <v>5068.5563000000002</v>
      </c>
      <c r="AA80">
        <v>5139.1963999999998</v>
      </c>
      <c r="AB80">
        <v>5188.1314000000002</v>
      </c>
      <c r="AC80">
        <v>5076.1841999999997</v>
      </c>
      <c r="AD80">
        <v>4909.1053000000002</v>
      </c>
      <c r="AE80">
        <v>4886.0703000000003</v>
      </c>
      <c r="AF80">
        <v>4856.4669999999996</v>
      </c>
      <c r="AG80">
        <v>4676.1292000000003</v>
      </c>
      <c r="AH80">
        <v>5181.7609000000002</v>
      </c>
      <c r="AI80">
        <v>5108.2873</v>
      </c>
      <c r="AJ80">
        <v>4844.1044000000002</v>
      </c>
    </row>
    <row r="81" spans="2:36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>
      <c r="B82" s="29" t="s">
        <v>169</v>
      </c>
      <c r="C82">
        <v>2574.7945</v>
      </c>
      <c r="D82">
        <v>2443.4769000000001</v>
      </c>
      <c r="E82">
        <v>2306.2629000000002</v>
      </c>
      <c r="F82">
        <v>2163.4386</v>
      </c>
      <c r="G82">
        <v>2014.7130999999999</v>
      </c>
      <c r="H82">
        <v>1860.3820000000001</v>
      </c>
      <c r="I82">
        <v>1700.2986000000001</v>
      </c>
      <c r="J82">
        <v>1534.3071</v>
      </c>
      <c r="K82">
        <v>1362.7170000000001</v>
      </c>
      <c r="L82">
        <v>1185.2140999999999</v>
      </c>
      <c r="M82">
        <v>1002.1171000000001</v>
      </c>
      <c r="N82">
        <v>819.2165</v>
      </c>
      <c r="O82">
        <v>627.42060000000004</v>
      </c>
      <c r="P82">
        <v>427.0659</v>
      </c>
      <c r="Q82">
        <v>217.80879999999999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24.5747</v>
      </c>
      <c r="T83">
        <v>128.1962</v>
      </c>
      <c r="U83">
        <v>251.42869999999999</v>
      </c>
      <c r="V83">
        <v>318.9248</v>
      </c>
      <c r="W83">
        <v>367.1139</v>
      </c>
      <c r="X83">
        <v>413.11430000000001</v>
      </c>
      <c r="Y83">
        <v>462.74979999999999</v>
      </c>
      <c r="Z83">
        <v>501.71449999999999</v>
      </c>
      <c r="AA83">
        <v>555.3424</v>
      </c>
      <c r="AB83">
        <v>623.57950000000005</v>
      </c>
      <c r="AC83">
        <v>734.16759999999999</v>
      </c>
      <c r="AD83">
        <v>872.06970000000001</v>
      </c>
      <c r="AE83">
        <v>968.59439999999995</v>
      </c>
      <c r="AF83">
        <v>1101.7164</v>
      </c>
      <c r="AG83">
        <v>1157.1766</v>
      </c>
      <c r="AH83">
        <v>1214.9837</v>
      </c>
      <c r="AI83">
        <v>1342.1632</v>
      </c>
      <c r="AJ83">
        <v>1282.7498000000001</v>
      </c>
    </row>
    <row r="84" spans="2:36">
      <c r="B84" s="29" t="s">
        <v>170</v>
      </c>
      <c r="C84">
        <v>4.41E-2</v>
      </c>
      <c r="D84">
        <v>4.53E-2</v>
      </c>
      <c r="E84">
        <v>4.6600000000000003E-2</v>
      </c>
      <c r="F84">
        <v>4.7699999999999999E-2</v>
      </c>
      <c r="G84">
        <v>4.9200000000000001E-2</v>
      </c>
      <c r="H84">
        <v>5.0099999999999999E-2</v>
      </c>
      <c r="I84">
        <v>5.1200000000000002E-2</v>
      </c>
      <c r="J84">
        <v>5.1900000000000002E-2</v>
      </c>
      <c r="K84">
        <v>5.2699999999999997E-2</v>
      </c>
      <c r="L84">
        <v>5.3400000000000003E-2</v>
      </c>
      <c r="M84">
        <v>5.1700000000000003E-2</v>
      </c>
      <c r="N84">
        <v>5.2900000000000003E-2</v>
      </c>
      <c r="O84">
        <v>5.3900000000000003E-2</v>
      </c>
      <c r="P84">
        <v>5.5100000000000003E-2</v>
      </c>
      <c r="Q84">
        <v>5.62E-2</v>
      </c>
      <c r="R84">
        <v>5.7299999999999997E-2</v>
      </c>
      <c r="S84">
        <v>5.8599999999999999E-2</v>
      </c>
      <c r="T84">
        <v>0.06</v>
      </c>
      <c r="U84">
        <v>6.1400000000000003E-2</v>
      </c>
      <c r="V84">
        <v>6.2700000000000006E-2</v>
      </c>
      <c r="W84">
        <v>6.3899999999999998E-2</v>
      </c>
      <c r="X84">
        <v>6.6000000000000003E-2</v>
      </c>
      <c r="Y84">
        <v>6.8199999999999997E-2</v>
      </c>
      <c r="Z84">
        <v>7.0300000000000001E-2</v>
      </c>
      <c r="AA84">
        <v>7.2499999999999995E-2</v>
      </c>
      <c r="AB84">
        <v>7.4700000000000003E-2</v>
      </c>
      <c r="AC84">
        <v>7.6999999999999999E-2</v>
      </c>
      <c r="AD84">
        <v>7.9399999999999998E-2</v>
      </c>
      <c r="AE84">
        <v>8.1699999999999995E-2</v>
      </c>
      <c r="AF84">
        <v>8.4099999999999994E-2</v>
      </c>
      <c r="AG84">
        <v>8.5500000000000007E-2</v>
      </c>
      <c r="AH84">
        <v>8.7800000000000003E-2</v>
      </c>
      <c r="AI84">
        <v>9.01E-2</v>
      </c>
      <c r="AJ84">
        <v>9.1899999999999996E-2</v>
      </c>
    </row>
    <row r="85" spans="2:36">
      <c r="B85" s="29" t="s">
        <v>171</v>
      </c>
      <c r="C85">
        <v>4868.8589000000002</v>
      </c>
      <c r="D85">
        <v>399.97879999999998</v>
      </c>
      <c r="E85">
        <v>344.0609</v>
      </c>
      <c r="F85">
        <v>387.32220000000001</v>
      </c>
      <c r="G85">
        <v>364.68819999999999</v>
      </c>
      <c r="H85">
        <v>47.725900000000003</v>
      </c>
      <c r="I85">
        <v>48.123199999999997</v>
      </c>
      <c r="J85">
        <v>29.5016</v>
      </c>
      <c r="K85">
        <v>29.755700000000001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0.15579999999999999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>
      <c r="B86" s="29" t="s">
        <v>172</v>
      </c>
      <c r="C86">
        <v>7.3999999999999996E-2</v>
      </c>
      <c r="D86">
        <v>0.11550000000000001</v>
      </c>
      <c r="E86">
        <v>0.12379999999999999</v>
      </c>
      <c r="F86">
        <v>0.13250000000000001</v>
      </c>
      <c r="G86">
        <v>0.14019999999999999</v>
      </c>
      <c r="H86">
        <v>0.1487</v>
      </c>
      <c r="I86">
        <v>0.14710000000000001</v>
      </c>
      <c r="J86">
        <v>0.153</v>
      </c>
      <c r="K86">
        <v>0.15890000000000001</v>
      </c>
      <c r="L86">
        <v>0.1646</v>
      </c>
      <c r="M86">
        <v>0.15820000000000001</v>
      </c>
      <c r="N86">
        <v>0.16869999999999999</v>
      </c>
      <c r="O86">
        <v>0.17879999999999999</v>
      </c>
      <c r="P86">
        <v>0.19</v>
      </c>
      <c r="Q86">
        <v>0.1842</v>
      </c>
      <c r="R86">
        <v>0.1767</v>
      </c>
      <c r="S86">
        <v>0.16650000000000001</v>
      </c>
      <c r="T86">
        <v>0.1583</v>
      </c>
      <c r="U86">
        <v>0.14779999999999999</v>
      </c>
      <c r="V86">
        <v>0.1414</v>
      </c>
      <c r="W86">
        <v>0.13650000000000001</v>
      </c>
      <c r="X86">
        <v>0.13819999999999999</v>
      </c>
      <c r="Y86">
        <v>0.1399</v>
      </c>
      <c r="Z86">
        <v>0.14199999999999999</v>
      </c>
      <c r="AA86">
        <v>0.14360000000000001</v>
      </c>
      <c r="AB86">
        <v>0.1447</v>
      </c>
      <c r="AC86">
        <v>0.14130000000000001</v>
      </c>
      <c r="AD86">
        <v>0.13639999999999999</v>
      </c>
      <c r="AE86">
        <v>0.13550000000000001</v>
      </c>
      <c r="AF86">
        <v>0.13439999999999999</v>
      </c>
      <c r="AG86">
        <v>0.12909999999999999</v>
      </c>
      <c r="AH86">
        <v>0.129</v>
      </c>
      <c r="AI86">
        <v>0.12720000000000001</v>
      </c>
      <c r="AJ86">
        <v>0.1206</v>
      </c>
    </row>
    <row r="87" spans="2:36">
      <c r="B87" s="29" t="s">
        <v>173</v>
      </c>
      <c r="C87">
        <v>1.3299999999999999E-2</v>
      </c>
      <c r="D87">
        <v>1.46E-2</v>
      </c>
      <c r="E87">
        <v>1.46E-2</v>
      </c>
      <c r="F87">
        <v>1.35E-2</v>
      </c>
      <c r="G87">
        <v>1.5299999999999999E-2</v>
      </c>
      <c r="H87">
        <v>3.8999999999999998E-3</v>
      </c>
      <c r="I87">
        <v>4.5999999999999999E-3</v>
      </c>
      <c r="J87">
        <v>4.4999999999999997E-3</v>
      </c>
      <c r="K87">
        <v>4.1000000000000003E-3</v>
      </c>
      <c r="L87">
        <v>5.1999999999999998E-3</v>
      </c>
      <c r="M87">
        <v>5.3E-3</v>
      </c>
      <c r="N87">
        <v>5.4999999999999997E-3</v>
      </c>
      <c r="O87">
        <v>8.0000000000000002E-3</v>
      </c>
      <c r="P87">
        <v>1.29E-2</v>
      </c>
      <c r="Q87">
        <v>1.43E-2</v>
      </c>
      <c r="R87">
        <v>1.5800000000000002E-2</v>
      </c>
      <c r="S87">
        <v>2.1100000000000001E-2</v>
      </c>
      <c r="T87">
        <v>2.1000000000000001E-2</v>
      </c>
      <c r="U87">
        <v>2.01E-2</v>
      </c>
      <c r="V87">
        <v>2.29E-2</v>
      </c>
      <c r="W87">
        <v>2.63E-2</v>
      </c>
      <c r="X87">
        <v>2.81E-2</v>
      </c>
      <c r="Y87">
        <v>2.9899999999999999E-2</v>
      </c>
      <c r="Z87">
        <v>3.2399999999999998E-2</v>
      </c>
      <c r="AA87">
        <v>3.4299999999999997E-2</v>
      </c>
      <c r="AB87">
        <v>3.56E-2</v>
      </c>
      <c r="AC87">
        <v>3.6799999999999999E-2</v>
      </c>
      <c r="AD87">
        <v>3.7400000000000003E-2</v>
      </c>
      <c r="AE87">
        <v>3.7900000000000003E-2</v>
      </c>
      <c r="AF87">
        <v>3.85E-2</v>
      </c>
      <c r="AG87">
        <v>4.0399999999999998E-2</v>
      </c>
      <c r="AH87">
        <v>4.1200000000000001E-2</v>
      </c>
      <c r="AI87">
        <v>4.2900000000000001E-2</v>
      </c>
      <c r="AJ87">
        <v>5.16E-2</v>
      </c>
    </row>
    <row r="88" spans="2:36">
      <c r="B88" s="29" t="s">
        <v>174</v>
      </c>
      <c r="C88">
        <v>2.64E-2</v>
      </c>
      <c r="D88">
        <v>1.7500000000000002E-2</v>
      </c>
      <c r="E88">
        <v>1.6299999999999999E-2</v>
      </c>
      <c r="F88">
        <v>1.4999999999999999E-2</v>
      </c>
      <c r="G88">
        <v>1.38E-2</v>
      </c>
      <c r="H88">
        <v>1.2500000000000001E-2</v>
      </c>
      <c r="I88">
        <v>1.1299999999999999E-2</v>
      </c>
      <c r="J88">
        <v>1.0999999999999999E-2</v>
      </c>
      <c r="K88">
        <v>1.09E-2</v>
      </c>
      <c r="L88">
        <v>0.01</v>
      </c>
      <c r="M88">
        <v>9.7000000000000003E-3</v>
      </c>
      <c r="N88">
        <v>9.5999999999999992E-3</v>
      </c>
      <c r="O88">
        <v>7.3000000000000001E-3</v>
      </c>
      <c r="P88">
        <v>2.5000000000000001E-3</v>
      </c>
      <c r="Q88">
        <v>1.2999999999999999E-3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>
      <c r="B90" s="29" t="s">
        <v>176</v>
      </c>
      <c r="C90">
        <v>1.1000000000000001E-3</v>
      </c>
      <c r="D90">
        <v>2.9999999999999997E-4</v>
      </c>
      <c r="E90">
        <v>2.0000000000000001E-4</v>
      </c>
      <c r="F90">
        <v>2.9999999999999997E-4</v>
      </c>
      <c r="G90">
        <v>1E-4</v>
      </c>
      <c r="H90">
        <v>2.0000000000000001E-4</v>
      </c>
      <c r="I90">
        <v>2.0000000000000001E-4</v>
      </c>
      <c r="J90">
        <v>1E-4</v>
      </c>
      <c r="K90">
        <v>1E-4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>
      <c r="B93" s="29" t="s">
        <v>179</v>
      </c>
      <c r="C93">
        <v>0</v>
      </c>
      <c r="D93">
        <v>1.4E-3</v>
      </c>
      <c r="E93">
        <v>2E-3</v>
      </c>
      <c r="F93">
        <v>1.8E-3</v>
      </c>
      <c r="G93">
        <v>2.5000000000000001E-3</v>
      </c>
      <c r="H93">
        <v>2.2000000000000001E-3</v>
      </c>
      <c r="I93">
        <v>2.7000000000000001E-3</v>
      </c>
      <c r="J93">
        <v>3.0999999999999999E-3</v>
      </c>
      <c r="K93">
        <v>3.3E-3</v>
      </c>
      <c r="L93">
        <v>4.3E-3</v>
      </c>
      <c r="M93">
        <v>4.4999999999999997E-3</v>
      </c>
      <c r="N93">
        <v>4.7000000000000002E-3</v>
      </c>
      <c r="O93">
        <v>6.8999999999999999E-3</v>
      </c>
      <c r="P93">
        <v>1.11E-2</v>
      </c>
      <c r="Q93">
        <v>1.23E-2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</row>
    <row r="94" spans="2:36">
      <c r="B94" s="29" t="s">
        <v>180</v>
      </c>
      <c r="C94">
        <v>8.6E-3</v>
      </c>
      <c r="D94">
        <v>9.5999999999999992E-3</v>
      </c>
      <c r="E94">
        <v>9.2999999999999992E-3</v>
      </c>
      <c r="F94">
        <v>9.5999999999999992E-3</v>
      </c>
      <c r="G94">
        <v>9.1999999999999998E-3</v>
      </c>
      <c r="H94">
        <v>9.4999999999999998E-3</v>
      </c>
      <c r="I94">
        <v>9.1999999999999998E-3</v>
      </c>
      <c r="J94">
        <v>8.9999999999999993E-3</v>
      </c>
      <c r="K94">
        <v>8.9999999999999993E-3</v>
      </c>
      <c r="L94">
        <v>8.3000000000000001E-3</v>
      </c>
      <c r="M94">
        <v>8.2000000000000007E-3</v>
      </c>
      <c r="N94">
        <v>8.2000000000000007E-3</v>
      </c>
      <c r="O94">
        <v>6.1999999999999998E-3</v>
      </c>
      <c r="P94">
        <v>2.0999999999999999E-3</v>
      </c>
      <c r="Q94">
        <v>1.1000000000000001E-3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</row>
    <row r="97" spans="2:36"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1.8E-3</v>
      </c>
      <c r="J97">
        <v>3.5000000000000001E-3</v>
      </c>
      <c r="K97">
        <v>5.3E-3</v>
      </c>
      <c r="L97">
        <v>7.1000000000000004E-3</v>
      </c>
      <c r="M97">
        <v>8.8999999999999999E-3</v>
      </c>
      <c r="N97">
        <v>1.06E-2</v>
      </c>
      <c r="O97">
        <v>1.24E-2</v>
      </c>
      <c r="P97">
        <v>1.4200000000000001E-2</v>
      </c>
      <c r="Q97">
        <v>1.6E-2</v>
      </c>
      <c r="R97">
        <v>1.77E-2</v>
      </c>
      <c r="S97">
        <v>1.95E-2</v>
      </c>
      <c r="T97">
        <v>2.1299999999999999E-2</v>
      </c>
      <c r="U97">
        <v>2.3099999999999999E-2</v>
      </c>
      <c r="V97">
        <v>2.4799999999999999E-2</v>
      </c>
      <c r="W97">
        <v>2.6599999999999999E-2</v>
      </c>
      <c r="X97">
        <v>2.7099999999999999E-2</v>
      </c>
      <c r="Y97">
        <v>2.76E-2</v>
      </c>
      <c r="Z97">
        <v>2.8000000000000001E-2</v>
      </c>
      <c r="AA97">
        <v>2.8500000000000001E-2</v>
      </c>
      <c r="AB97">
        <v>2.9000000000000001E-2</v>
      </c>
      <c r="AC97">
        <v>2.9399999999999999E-2</v>
      </c>
      <c r="AD97">
        <v>2.9899999999999999E-2</v>
      </c>
      <c r="AE97">
        <v>3.04E-2</v>
      </c>
      <c r="AF97">
        <v>3.0800000000000001E-2</v>
      </c>
      <c r="AG97">
        <v>3.09E-2</v>
      </c>
      <c r="AH97">
        <v>3.1099999999999999E-2</v>
      </c>
      <c r="AI97">
        <v>3.1199999999999999E-2</v>
      </c>
      <c r="AJ97">
        <v>3.0599999999999999E-2</v>
      </c>
    </row>
    <row r="98" spans="2:36">
      <c r="B98" s="29" t="s">
        <v>184</v>
      </c>
      <c r="C98">
        <v>2.58E-2</v>
      </c>
      <c r="D98">
        <v>2.6200000000000001E-2</v>
      </c>
      <c r="E98">
        <v>2.6499999999999999E-2</v>
      </c>
      <c r="F98">
        <v>2.69E-2</v>
      </c>
      <c r="G98">
        <v>2.7300000000000001E-2</v>
      </c>
      <c r="H98">
        <v>2.7699999999999999E-2</v>
      </c>
      <c r="I98">
        <v>2.6200000000000001E-2</v>
      </c>
      <c r="J98">
        <v>2.4799999999999999E-2</v>
      </c>
      <c r="K98">
        <v>2.3400000000000001E-2</v>
      </c>
      <c r="L98">
        <v>2.1999999999999999E-2</v>
      </c>
      <c r="M98">
        <v>2.06E-2</v>
      </c>
      <c r="N98">
        <v>1.9099999999999999E-2</v>
      </c>
      <c r="O98">
        <v>1.77E-2</v>
      </c>
      <c r="P98">
        <v>1.6199999999999999E-2</v>
      </c>
      <c r="Q98">
        <v>1.4800000000000001E-2</v>
      </c>
      <c r="R98">
        <v>1.3299999999999999E-2</v>
      </c>
      <c r="S98">
        <v>1.1900000000000001E-2</v>
      </c>
      <c r="T98">
        <v>1.04E-2</v>
      </c>
      <c r="U98">
        <v>8.8999999999999999E-3</v>
      </c>
      <c r="V98">
        <v>7.4000000000000003E-3</v>
      </c>
      <c r="W98">
        <v>5.8999999999999999E-3</v>
      </c>
      <c r="X98">
        <v>5.7000000000000002E-3</v>
      </c>
      <c r="Y98">
        <v>5.4999999999999997E-3</v>
      </c>
      <c r="Z98">
        <v>5.3E-3</v>
      </c>
      <c r="AA98">
        <v>5.1000000000000004E-3</v>
      </c>
      <c r="AB98">
        <v>4.8999999999999998E-3</v>
      </c>
      <c r="AC98">
        <v>4.5999999999999999E-3</v>
      </c>
      <c r="AD98">
        <v>4.4000000000000003E-3</v>
      </c>
      <c r="AE98">
        <v>4.1999999999999997E-3</v>
      </c>
      <c r="AF98">
        <v>4.0000000000000001E-3</v>
      </c>
      <c r="AG98">
        <v>4.1000000000000003E-3</v>
      </c>
      <c r="AH98">
        <v>4.1000000000000003E-3</v>
      </c>
      <c r="AI98">
        <v>4.1999999999999997E-3</v>
      </c>
      <c r="AJ98">
        <v>5.0000000000000001E-3</v>
      </c>
    </row>
    <row r="99" spans="2:36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</row>
    <row r="101" spans="2:36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</row>
    <row r="104" spans="2:36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2.9999999999999997E-4</v>
      </c>
      <c r="AH106">
        <v>5.9999999999999995E-4</v>
      </c>
      <c r="AI106">
        <v>8.9999999999999998E-4</v>
      </c>
      <c r="AJ106">
        <v>1.9E-3</v>
      </c>
    </row>
    <row r="107" spans="2:36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9.1000000000000004E-3</v>
      </c>
      <c r="S108">
        <v>9.4000000000000004E-3</v>
      </c>
      <c r="T108">
        <v>9.7000000000000003E-3</v>
      </c>
      <c r="U108">
        <v>9.9000000000000008E-3</v>
      </c>
      <c r="V108">
        <v>1.0200000000000001E-2</v>
      </c>
      <c r="W108">
        <v>1.04E-2</v>
      </c>
      <c r="X108">
        <v>1.0699999999999999E-2</v>
      </c>
      <c r="Y108">
        <v>1.09E-2</v>
      </c>
      <c r="Z108">
        <v>1.11E-2</v>
      </c>
      <c r="AA108">
        <v>1.1299999999999999E-2</v>
      </c>
      <c r="AB108">
        <v>1.1599999999999999E-2</v>
      </c>
      <c r="AC108">
        <v>1.18E-2</v>
      </c>
      <c r="AD108">
        <v>1.1900000000000001E-2</v>
      </c>
      <c r="AE108">
        <v>1.21E-2</v>
      </c>
      <c r="AF108">
        <v>1.23E-2</v>
      </c>
      <c r="AG108">
        <v>1.2200000000000001E-2</v>
      </c>
      <c r="AH108">
        <v>1.21E-2</v>
      </c>
      <c r="AI108">
        <v>1.1900000000000001E-2</v>
      </c>
      <c r="AJ108">
        <v>1.0999999999999999E-2</v>
      </c>
    </row>
    <row r="109" spans="2:36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</row>
    <row r="119" spans="2:36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</row>
    <row r="122" spans="2:36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</row>
    <row r="127" spans="2:36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</row>
    <row r="132" spans="2:36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topLeftCell="A129" zoomScale="75" workbookViewId="0">
      <selection activeCell="B2" sqref="B2:AJ133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141.90180000000001</v>
      </c>
      <c r="F23">
        <v>141.3604</v>
      </c>
      <c r="G23">
        <v>147.06370000000001</v>
      </c>
      <c r="H23">
        <v>146.51150000000001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110.0822</v>
      </c>
      <c r="E30">
        <v>141.90180000000001</v>
      </c>
      <c r="F30">
        <v>141.3604</v>
      </c>
      <c r="G30">
        <v>147.06370000000001</v>
      </c>
      <c r="H30">
        <v>146.51150000000001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140.86179999999999</v>
      </c>
      <c r="G51">
        <v>141.63489999999999</v>
      </c>
      <c r="H51">
        <v>145.74039999999999</v>
      </c>
      <c r="I51">
        <v>243.0334</v>
      </c>
      <c r="J51">
        <v>243.0334</v>
      </c>
      <c r="K51">
        <v>243.0334</v>
      </c>
      <c r="L51">
        <v>243.0334</v>
      </c>
      <c r="M51">
        <v>243.0334</v>
      </c>
      <c r="N51">
        <v>243.0334</v>
      </c>
      <c r="O51">
        <v>243.0334</v>
      </c>
      <c r="P51">
        <v>226.93340000000001</v>
      </c>
      <c r="Q51">
        <v>248.26859999999999</v>
      </c>
      <c r="R51">
        <v>459.47480000000002</v>
      </c>
      <c r="S51">
        <v>459.47480000000002</v>
      </c>
      <c r="T51">
        <v>459.47480000000002</v>
      </c>
      <c r="U51">
        <v>459.47480000000002</v>
      </c>
      <c r="V51">
        <v>459.47480000000002</v>
      </c>
      <c r="W51">
        <v>459.47480000000002</v>
      </c>
      <c r="X51">
        <v>459.47480000000002</v>
      </c>
      <c r="Y51">
        <v>459.47480000000002</v>
      </c>
      <c r="Z51">
        <v>459.47480000000002</v>
      </c>
      <c r="AA51">
        <v>459.47480000000002</v>
      </c>
      <c r="AB51">
        <v>459.47480000000002</v>
      </c>
      <c r="AC51">
        <v>459.47480000000002</v>
      </c>
      <c r="AD51">
        <v>459.47480000000002</v>
      </c>
      <c r="AE51">
        <v>459.47480000000002</v>
      </c>
      <c r="AF51">
        <v>459.47480000000002</v>
      </c>
      <c r="AG51">
        <v>459.47480000000002</v>
      </c>
      <c r="AH51">
        <v>459.47480000000002</v>
      </c>
      <c r="AI51">
        <v>459.47480000000002</v>
      </c>
      <c r="AJ51">
        <v>459.47480000000002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162.06020000000001</v>
      </c>
      <c r="K55">
        <v>228.88919999999999</v>
      </c>
      <c r="L55">
        <v>295.40030000000002</v>
      </c>
      <c r="M55">
        <v>609.02430000000004</v>
      </c>
      <c r="N55">
        <v>609.02430000000004</v>
      </c>
      <c r="O55">
        <v>609.02430000000004</v>
      </c>
      <c r="P55">
        <v>609.02430000000004</v>
      </c>
      <c r="Q55">
        <v>609.02430000000004</v>
      </c>
      <c r="R55">
        <v>609.02430000000004</v>
      </c>
      <c r="S55">
        <v>609.02430000000004</v>
      </c>
      <c r="T55">
        <v>609.02430000000004</v>
      </c>
      <c r="U55">
        <v>609.02430000000004</v>
      </c>
      <c r="V55">
        <v>609.02430000000004</v>
      </c>
      <c r="W55">
        <v>609.02430000000004</v>
      </c>
      <c r="X55">
        <v>609.02430000000004</v>
      </c>
      <c r="Y55">
        <v>609.02430000000004</v>
      </c>
      <c r="Z55">
        <v>609.02430000000004</v>
      </c>
      <c r="AA55">
        <v>609.02430000000004</v>
      </c>
      <c r="AB55">
        <v>609.02430000000004</v>
      </c>
      <c r="AC55">
        <v>576.1472</v>
      </c>
      <c r="AD55">
        <v>541.2568</v>
      </c>
      <c r="AE55">
        <v>541.2568</v>
      </c>
      <c r="AF55">
        <v>514.04819999999995</v>
      </c>
      <c r="AG55">
        <v>514.04819999999995</v>
      </c>
      <c r="AH55">
        <v>514.04819999999995</v>
      </c>
      <c r="AI55">
        <v>446.96409999999997</v>
      </c>
      <c r="AJ55">
        <v>380.13499999999999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287.16730000000001</v>
      </c>
      <c r="E58">
        <v>287.76159999999999</v>
      </c>
      <c r="F58">
        <v>289.51089999999999</v>
      </c>
      <c r="G58">
        <v>290.82659999999998</v>
      </c>
      <c r="H58">
        <v>290.82659999999998</v>
      </c>
      <c r="I58">
        <v>290.82659999999998</v>
      </c>
      <c r="J58">
        <v>290.82659999999998</v>
      </c>
      <c r="K58">
        <v>290.82659999999998</v>
      </c>
      <c r="L58">
        <v>290.82659999999998</v>
      </c>
      <c r="M58">
        <v>290.82659999999998</v>
      </c>
      <c r="N58">
        <v>290.82659999999998</v>
      </c>
      <c r="O58">
        <v>290.82659999999998</v>
      </c>
      <c r="P58">
        <v>290.82659999999998</v>
      </c>
      <c r="Q58">
        <v>290.82659999999998</v>
      </c>
      <c r="R58">
        <v>290.82659999999998</v>
      </c>
      <c r="S58">
        <v>290.82659999999998</v>
      </c>
      <c r="T58">
        <v>290.82659999999998</v>
      </c>
      <c r="U58">
        <v>290.82659999999998</v>
      </c>
      <c r="V58">
        <v>290.82659999999998</v>
      </c>
      <c r="W58">
        <v>290.82659999999998</v>
      </c>
      <c r="X58">
        <v>290.82659999999998</v>
      </c>
      <c r="Y58">
        <v>290.82659999999998</v>
      </c>
      <c r="Z58">
        <v>290.82659999999998</v>
      </c>
      <c r="AA58">
        <v>290.82659999999998</v>
      </c>
      <c r="AB58">
        <v>290.82659999999998</v>
      </c>
      <c r="AC58">
        <v>290.82659999999998</v>
      </c>
      <c r="AD58">
        <v>289.9744</v>
      </c>
      <c r="AE58">
        <v>289.9744</v>
      </c>
      <c r="AF58">
        <v>289.9744</v>
      </c>
      <c r="AG58">
        <v>289.9744</v>
      </c>
      <c r="AH58">
        <v>289.9744</v>
      </c>
      <c r="AI58">
        <v>289.9744</v>
      </c>
      <c r="AJ58">
        <v>289.9744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59.663600000000002</v>
      </c>
      <c r="W59">
        <v>120.2037</v>
      </c>
      <c r="X59">
        <v>131.48990000000001</v>
      </c>
      <c r="Y59">
        <v>143.86320000000001</v>
      </c>
      <c r="Z59">
        <v>162.3835</v>
      </c>
      <c r="AA59">
        <v>174.5557</v>
      </c>
      <c r="AB59">
        <v>182.25069999999999</v>
      </c>
      <c r="AC59">
        <v>199.97640000000001</v>
      </c>
      <c r="AD59">
        <v>199.97640000000001</v>
      </c>
      <c r="AE59">
        <v>199.97640000000001</v>
      </c>
      <c r="AF59">
        <v>199.97640000000001</v>
      </c>
      <c r="AG59">
        <v>217.41550000000001</v>
      </c>
      <c r="AH59">
        <v>217.41550000000001</v>
      </c>
      <c r="AI59">
        <v>223.9109</v>
      </c>
      <c r="AJ59">
        <v>288.54070000000002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113.4918</v>
      </c>
      <c r="T62">
        <v>595.88969999999995</v>
      </c>
      <c r="U62">
        <v>1176.521</v>
      </c>
      <c r="V62">
        <v>1499.8215</v>
      </c>
      <c r="W62">
        <v>1734.1797999999999</v>
      </c>
      <c r="X62">
        <v>1899.0762999999999</v>
      </c>
      <c r="Y62">
        <v>2075.6491999999998</v>
      </c>
      <c r="Z62">
        <v>2193.5846000000001</v>
      </c>
      <c r="AA62">
        <v>2372.6143999999999</v>
      </c>
      <c r="AB62">
        <v>2604.5081</v>
      </c>
      <c r="AC62">
        <v>3014.5286000000001</v>
      </c>
      <c r="AD62">
        <v>3478.0369000000001</v>
      </c>
      <c r="AE62">
        <v>3783.9623000000001</v>
      </c>
      <c r="AF62">
        <v>4211.5488999999998</v>
      </c>
      <c r="AG62">
        <v>4436.4241000000002</v>
      </c>
      <c r="AH62">
        <v>4729.0865000000003</v>
      </c>
      <c r="AI62">
        <v>5260.6399000000001</v>
      </c>
      <c r="AJ62">
        <v>5260.6399000000001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24.7959</v>
      </c>
      <c r="N63">
        <v>24.4344</v>
      </c>
      <c r="O63">
        <v>24.072900000000001</v>
      </c>
      <c r="P63">
        <v>23.7151</v>
      </c>
      <c r="Q63">
        <v>86.294300000000007</v>
      </c>
      <c r="R63">
        <v>85.0291</v>
      </c>
      <c r="S63">
        <v>127.6574</v>
      </c>
      <c r="T63">
        <v>125.8561</v>
      </c>
      <c r="U63">
        <v>124.12690000000001</v>
      </c>
      <c r="V63">
        <v>122.4734</v>
      </c>
      <c r="W63">
        <v>119.1718</v>
      </c>
      <c r="X63">
        <v>117.1386</v>
      </c>
      <c r="Y63">
        <v>115.3086</v>
      </c>
      <c r="Z63">
        <v>117.4422</v>
      </c>
      <c r="AA63">
        <v>115.76390000000001</v>
      </c>
      <c r="AB63">
        <v>113.9123</v>
      </c>
      <c r="AC63">
        <v>108.4862</v>
      </c>
      <c r="AD63">
        <v>106.857</v>
      </c>
      <c r="AE63">
        <v>119.8</v>
      </c>
      <c r="AF63">
        <v>119.7818</v>
      </c>
      <c r="AG63">
        <v>170.97749999999999</v>
      </c>
      <c r="AH63">
        <v>189.3057</v>
      </c>
      <c r="AI63">
        <v>187.5146</v>
      </c>
      <c r="AJ63">
        <v>186.59350000000001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34.0075</v>
      </c>
      <c r="E65">
        <v>33.767200000000003</v>
      </c>
      <c r="F65">
        <v>34.529899999999998</v>
      </c>
      <c r="G65">
        <v>34.279299999999999</v>
      </c>
      <c r="H65">
        <v>34.028199999999998</v>
      </c>
      <c r="I65">
        <v>33.777099999999997</v>
      </c>
      <c r="J65">
        <v>33.526899999999998</v>
      </c>
      <c r="K65">
        <v>33.278500000000001</v>
      </c>
      <c r="L65">
        <v>33.032600000000002</v>
      </c>
      <c r="M65">
        <v>31.538399999999999</v>
      </c>
      <c r="N65">
        <v>31.282399999999999</v>
      </c>
      <c r="O65">
        <v>31.027200000000001</v>
      </c>
      <c r="P65">
        <v>30.775099999999998</v>
      </c>
      <c r="Q65">
        <v>30.528199999999998</v>
      </c>
      <c r="R65">
        <v>30.2879</v>
      </c>
      <c r="S65">
        <v>30.055399999999999</v>
      </c>
      <c r="T65">
        <v>29.831499999999998</v>
      </c>
      <c r="U65">
        <v>29.616800000000001</v>
      </c>
      <c r="V65">
        <v>18.415500000000002</v>
      </c>
      <c r="W65">
        <v>14.9354</v>
      </c>
      <c r="X65">
        <v>14.807700000000001</v>
      </c>
      <c r="Y65">
        <v>14.6927</v>
      </c>
      <c r="Z65">
        <v>14.5892</v>
      </c>
      <c r="AA65">
        <v>14.496</v>
      </c>
      <c r="AB65">
        <v>6.1853999999999996</v>
      </c>
      <c r="AC65">
        <v>0.84209999999999996</v>
      </c>
      <c r="AD65">
        <v>0.83809999999999996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590.58079999999995</v>
      </c>
      <c r="D84">
        <v>606.80409999999995</v>
      </c>
      <c r="E84">
        <v>623.9683</v>
      </c>
      <c r="F84">
        <v>638.22860000000003</v>
      </c>
      <c r="G84">
        <v>656.83600000000001</v>
      </c>
      <c r="H84">
        <v>668.85199999999998</v>
      </c>
      <c r="I84">
        <v>682.89419999999996</v>
      </c>
      <c r="J84">
        <v>692.2672</v>
      </c>
      <c r="K84">
        <v>701.67359999999996</v>
      </c>
      <c r="L84">
        <v>710.95190000000002</v>
      </c>
      <c r="M84">
        <v>709.17759999999998</v>
      </c>
      <c r="N84">
        <v>707.45630000000006</v>
      </c>
      <c r="O84">
        <v>716.92409999999995</v>
      </c>
      <c r="P84">
        <v>736.15520000000004</v>
      </c>
      <c r="Q84">
        <v>743.21550000000002</v>
      </c>
      <c r="R84">
        <v>757.09780000000001</v>
      </c>
      <c r="S84">
        <v>775.18470000000002</v>
      </c>
      <c r="T84">
        <v>793.79359999999997</v>
      </c>
      <c r="U84">
        <v>811.46429999999998</v>
      </c>
      <c r="V84">
        <v>828.21159999999998</v>
      </c>
      <c r="W84">
        <v>843.09990000000005</v>
      </c>
      <c r="X84">
        <v>870.7242</v>
      </c>
      <c r="Y84">
        <v>898.58</v>
      </c>
      <c r="Z84">
        <v>926.39580000000001</v>
      </c>
      <c r="AA84">
        <v>954.30679999999995</v>
      </c>
      <c r="AB84">
        <v>981.77549999999997</v>
      </c>
      <c r="AC84">
        <v>1012.6984</v>
      </c>
      <c r="AD84">
        <v>1043.6407999999999</v>
      </c>
      <c r="AE84">
        <v>1073.9137000000001</v>
      </c>
      <c r="AF84">
        <v>1101.9957999999999</v>
      </c>
      <c r="AG84">
        <v>1119.8896</v>
      </c>
      <c r="AH84">
        <v>1150.3132000000001</v>
      </c>
      <c r="AI84">
        <v>1179.8237999999999</v>
      </c>
      <c r="AJ84">
        <v>1203.2643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12.727499999999999</v>
      </c>
      <c r="J97">
        <v>25.4544</v>
      </c>
      <c r="K97">
        <v>38.181899999999999</v>
      </c>
      <c r="L97">
        <v>50.908700000000003</v>
      </c>
      <c r="M97">
        <v>63.636200000000002</v>
      </c>
      <c r="N97">
        <v>76.363100000000003</v>
      </c>
      <c r="O97">
        <v>89.090599999999995</v>
      </c>
      <c r="P97">
        <v>101.48180000000001</v>
      </c>
      <c r="Q97">
        <v>113.79510000000001</v>
      </c>
      <c r="R97">
        <v>125.9841</v>
      </c>
      <c r="S97">
        <v>138.2499</v>
      </c>
      <c r="T97">
        <v>150.51499999999999</v>
      </c>
      <c r="U97">
        <v>164.49340000000001</v>
      </c>
      <c r="V97">
        <v>176.8409</v>
      </c>
      <c r="W97">
        <v>198.8244</v>
      </c>
      <c r="X97">
        <v>201.7304</v>
      </c>
      <c r="Y97">
        <v>204.53530000000001</v>
      </c>
      <c r="Z97">
        <v>207.3381</v>
      </c>
      <c r="AA97">
        <v>210.13800000000001</v>
      </c>
      <c r="AB97">
        <v>212.93289999999999</v>
      </c>
      <c r="AC97">
        <v>215.53919999999999</v>
      </c>
      <c r="AD97">
        <v>218.14400000000001</v>
      </c>
      <c r="AE97">
        <v>220.7483</v>
      </c>
      <c r="AF97">
        <v>223.3501</v>
      </c>
      <c r="AG97">
        <v>223.57660000000001</v>
      </c>
      <c r="AH97">
        <v>224.79089999999999</v>
      </c>
      <c r="AI97">
        <v>225.6207</v>
      </c>
      <c r="AJ97">
        <v>221.2944</v>
      </c>
    </row>
    <row r="98" spans="1:36">
      <c r="A98" t="s">
        <v>19</v>
      </c>
      <c r="B98" s="29" t="s">
        <v>184</v>
      </c>
      <c r="C98">
        <v>19.375699999999998</v>
      </c>
      <c r="D98">
        <v>19.6782</v>
      </c>
      <c r="E98">
        <v>19.807500000000001</v>
      </c>
      <c r="F98">
        <v>19.812899999999999</v>
      </c>
      <c r="G98">
        <v>20.369299999999999</v>
      </c>
      <c r="H98">
        <v>20.278099999999998</v>
      </c>
      <c r="I98">
        <v>19.595099999999999</v>
      </c>
      <c r="J98">
        <v>18.5626</v>
      </c>
      <c r="K98">
        <v>17.53</v>
      </c>
      <c r="L98">
        <v>16.5367</v>
      </c>
      <c r="M98">
        <v>15.076700000000001</v>
      </c>
      <c r="N98">
        <v>14.1244</v>
      </c>
      <c r="O98">
        <v>13.3156</v>
      </c>
      <c r="P98">
        <v>11.9795</v>
      </c>
      <c r="Q98">
        <v>11.9795</v>
      </c>
      <c r="R98">
        <v>11.530099999999999</v>
      </c>
      <c r="S98">
        <v>9.7676999999999996</v>
      </c>
      <c r="T98">
        <v>8.1859999999999999</v>
      </c>
      <c r="U98">
        <v>6.9885000000000002</v>
      </c>
      <c r="V98">
        <v>5.4427000000000003</v>
      </c>
      <c r="W98">
        <v>4.8741000000000003</v>
      </c>
      <c r="X98">
        <v>4.7301000000000002</v>
      </c>
      <c r="Y98">
        <v>4.5533999999999999</v>
      </c>
      <c r="Z98">
        <v>4.4085999999999999</v>
      </c>
      <c r="AA98">
        <v>4.2637</v>
      </c>
      <c r="AB98">
        <v>4.2637</v>
      </c>
      <c r="AC98">
        <v>3.9636</v>
      </c>
      <c r="AD98">
        <v>3.7435</v>
      </c>
      <c r="AE98">
        <v>3.6273</v>
      </c>
      <c r="AF98">
        <v>3.6273</v>
      </c>
      <c r="AG98">
        <v>3.6273</v>
      </c>
      <c r="AH98">
        <v>3.6276999999999999</v>
      </c>
      <c r="AI98">
        <v>3.7067999999999999</v>
      </c>
      <c r="AJ98">
        <v>4.3125999999999998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12.829000000000001</v>
      </c>
      <c r="AH106">
        <v>22.9496</v>
      </c>
      <c r="AI106">
        <v>35.040500000000002</v>
      </c>
      <c r="AJ106">
        <v>73.602699999999999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327.08429999999998</v>
      </c>
      <c r="S108">
        <v>336.45740000000001</v>
      </c>
      <c r="T108">
        <v>345.82920000000001</v>
      </c>
      <c r="U108">
        <v>355.19909999999999</v>
      </c>
      <c r="V108">
        <v>364.5702</v>
      </c>
      <c r="W108">
        <v>374.5068</v>
      </c>
      <c r="X108">
        <v>382.87990000000002</v>
      </c>
      <c r="Y108">
        <v>391.24860000000001</v>
      </c>
      <c r="Z108">
        <v>399.60629999999998</v>
      </c>
      <c r="AA108">
        <v>407.96069999999997</v>
      </c>
      <c r="AB108">
        <v>416.30500000000001</v>
      </c>
      <c r="AC108">
        <v>423.12540000000001</v>
      </c>
      <c r="AD108">
        <v>429.93599999999998</v>
      </c>
      <c r="AE108">
        <v>436.74459999999999</v>
      </c>
      <c r="AF108">
        <v>443.548</v>
      </c>
      <c r="AG108">
        <v>438.82220000000001</v>
      </c>
      <c r="AH108">
        <v>434.58850000000001</v>
      </c>
      <c r="AI108">
        <v>428.42739999999998</v>
      </c>
      <c r="AJ108">
        <v>396.36919999999998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0.51349999999999996</v>
      </c>
      <c r="I113">
        <v>0.75349999999999995</v>
      </c>
      <c r="J113">
        <v>0.99350000000000005</v>
      </c>
      <c r="K113">
        <v>0.99350000000000005</v>
      </c>
      <c r="L113">
        <v>1.2559</v>
      </c>
      <c r="M113">
        <v>1.4959</v>
      </c>
      <c r="N113">
        <v>1.7359</v>
      </c>
      <c r="O113">
        <v>1.7359</v>
      </c>
      <c r="P113">
        <v>1.9759</v>
      </c>
      <c r="Q113">
        <v>2.2477</v>
      </c>
      <c r="R113">
        <v>2.4876999999999998</v>
      </c>
      <c r="S113">
        <v>2.9245000000000001</v>
      </c>
      <c r="T113">
        <v>3.1642999999999999</v>
      </c>
      <c r="U113">
        <v>3.2723</v>
      </c>
      <c r="V113">
        <v>3.7515999999999998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0.51349999999999996</v>
      </c>
      <c r="I116">
        <v>0.75349999999999995</v>
      </c>
      <c r="J116">
        <v>0.75349999999999995</v>
      </c>
      <c r="K116">
        <v>0.99350000000000005</v>
      </c>
      <c r="L116">
        <v>1.0159</v>
      </c>
      <c r="M116">
        <v>1.2559</v>
      </c>
      <c r="N116">
        <v>1.4959</v>
      </c>
      <c r="O116">
        <v>1.4959</v>
      </c>
      <c r="P116">
        <v>1.7359</v>
      </c>
      <c r="Q116">
        <v>2.0076999999999998</v>
      </c>
      <c r="R116">
        <v>2.2477</v>
      </c>
      <c r="S116">
        <v>2.6844999999999999</v>
      </c>
      <c r="T116">
        <v>2.9243000000000001</v>
      </c>
      <c r="U116">
        <v>3.0323000000000002</v>
      </c>
      <c r="V116">
        <v>3.2715999999999998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4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24041.418000000001</v>
      </c>
      <c r="E17">
        <v>369.52280000000002</v>
      </c>
      <c r="F17">
        <v>369.4228</v>
      </c>
      <c r="G17">
        <v>379.12380000000002</v>
      </c>
      <c r="H17">
        <v>689.12720000000002</v>
      </c>
      <c r="I17">
        <v>1177.4367999999999</v>
      </c>
      <c r="J17">
        <v>365.24310000000003</v>
      </c>
      <c r="K17">
        <v>342.19990000000001</v>
      </c>
      <c r="L17">
        <v>173.51669999999999</v>
      </c>
      <c r="M17">
        <v>0</v>
      </c>
      <c r="N17">
        <v>0</v>
      </c>
      <c r="O17">
        <v>236.83500000000001</v>
      </c>
      <c r="P17">
        <v>330.24369999999999</v>
      </c>
      <c r="Q17">
        <v>915.524</v>
      </c>
      <c r="R17">
        <v>607.68010000000004</v>
      </c>
      <c r="S17">
        <v>24327.218000000001</v>
      </c>
      <c r="T17">
        <v>655.32270000000005</v>
      </c>
      <c r="U17">
        <v>655.32270000000005</v>
      </c>
      <c r="V17">
        <v>664.92370000000005</v>
      </c>
      <c r="W17">
        <v>975.02719999999999</v>
      </c>
      <c r="X17">
        <v>1431.3367000000001</v>
      </c>
      <c r="Y17">
        <v>619.14300000000003</v>
      </c>
      <c r="Z17">
        <v>596.09990000000005</v>
      </c>
      <c r="AA17">
        <v>427.41669999999999</v>
      </c>
      <c r="AB17">
        <v>254</v>
      </c>
      <c r="AC17">
        <v>219.7</v>
      </c>
      <c r="AD17">
        <v>456.53489999999999</v>
      </c>
      <c r="AE17">
        <v>549.94370000000004</v>
      </c>
      <c r="AF17">
        <v>1135.3240000000001</v>
      </c>
      <c r="AG17">
        <v>827.38009999999997</v>
      </c>
      <c r="AH17">
        <v>24516.817999999999</v>
      </c>
      <c r="AI17">
        <v>844.82270000000005</v>
      </c>
      <c r="AJ17">
        <v>844.92269999999996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0</v>
      </c>
      <c r="G24">
        <v>91.658699999999996</v>
      </c>
      <c r="H24">
        <v>0</v>
      </c>
      <c r="I24">
        <v>94.4191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78.895499999999998</v>
      </c>
      <c r="AF24">
        <v>162.0874</v>
      </c>
      <c r="AG24">
        <v>78.131100000000004</v>
      </c>
      <c r="AH24">
        <v>171.82579999999999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914.74699999999996</v>
      </c>
      <c r="E31">
        <v>476.08769999999998</v>
      </c>
      <c r="F31">
        <v>0</v>
      </c>
      <c r="G31">
        <v>91.658699999999996</v>
      </c>
      <c r="H31">
        <v>0</v>
      </c>
      <c r="I31">
        <v>94.4191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898.69259999999997</v>
      </c>
      <c r="AD31">
        <v>507.5489</v>
      </c>
      <c r="AE31">
        <v>78.895499999999998</v>
      </c>
      <c r="AF31">
        <v>162.0874</v>
      </c>
      <c r="AG31">
        <v>78.131100000000004</v>
      </c>
      <c r="AH31">
        <v>171.82579999999999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369</v>
      </c>
      <c r="F46">
        <v>27</v>
      </c>
      <c r="G46">
        <v>44.55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233.74</v>
      </c>
      <c r="E49">
        <v>126.49</v>
      </c>
      <c r="F49">
        <v>0</v>
      </c>
      <c r="G49">
        <v>14.56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16.28</v>
      </c>
      <c r="F52">
        <v>1236.7765999999999</v>
      </c>
      <c r="G52">
        <v>29.578900000000001</v>
      </c>
      <c r="H52">
        <v>157.08000000000001</v>
      </c>
      <c r="I52">
        <v>3722.5142999999998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816.30420000000004</v>
      </c>
      <c r="R52">
        <v>8080.9310999999998</v>
      </c>
      <c r="S52">
        <v>477.4</v>
      </c>
      <c r="T52">
        <v>2684.88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1595</v>
      </c>
      <c r="E56">
        <v>1692.68</v>
      </c>
      <c r="F56">
        <v>0</v>
      </c>
      <c r="G56">
        <v>1320</v>
      </c>
      <c r="H56">
        <v>0</v>
      </c>
      <c r="I56">
        <v>0</v>
      </c>
      <c r="J56">
        <v>3254.5245</v>
      </c>
      <c r="K56">
        <v>3242.154</v>
      </c>
      <c r="L56">
        <v>3226.7269999999999</v>
      </c>
      <c r="M56">
        <v>15215.187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4389.9543999999996</v>
      </c>
      <c r="D59">
        <v>7663.7159000000001</v>
      </c>
      <c r="E59">
        <v>47.7</v>
      </c>
      <c r="F59">
        <v>140.4</v>
      </c>
      <c r="G59">
        <v>105.6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1056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2256.6975000000002</v>
      </c>
      <c r="W60">
        <v>3361.3616999999999</v>
      </c>
      <c r="X60">
        <v>626.64319999999998</v>
      </c>
      <c r="Y60">
        <v>687.00220000000002</v>
      </c>
      <c r="Z60">
        <v>1028.2995000000001</v>
      </c>
      <c r="AA60">
        <v>675.83780000000002</v>
      </c>
      <c r="AB60">
        <v>427.24860000000001</v>
      </c>
      <c r="AC60">
        <v>984.18529999999998</v>
      </c>
      <c r="AD60">
        <v>0</v>
      </c>
      <c r="AE60">
        <v>0</v>
      </c>
      <c r="AF60">
        <v>0</v>
      </c>
      <c r="AG60">
        <v>2024.2701</v>
      </c>
      <c r="AH60">
        <v>0</v>
      </c>
      <c r="AI60">
        <v>360.6397</v>
      </c>
      <c r="AJ60">
        <v>3588.4389999999999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2113.2660999999998</v>
      </c>
      <c r="T63">
        <v>8988.9236000000001</v>
      </c>
      <c r="U63">
        <v>10841.951999999999</v>
      </c>
      <c r="V63">
        <v>6075.2321000000002</v>
      </c>
      <c r="W63">
        <v>4502.4512999999997</v>
      </c>
      <c r="X63">
        <v>3170.0230000000001</v>
      </c>
      <c r="Y63">
        <v>3386.7954</v>
      </c>
      <c r="Z63">
        <v>2293.0953</v>
      </c>
      <c r="AA63">
        <v>3427.4191000000001</v>
      </c>
      <c r="AB63">
        <v>4410.7214000000004</v>
      </c>
      <c r="AC63">
        <v>7730.2232000000004</v>
      </c>
      <c r="AD63">
        <v>8731.5450999999994</v>
      </c>
      <c r="AE63">
        <v>5798.1817000000001</v>
      </c>
      <c r="AF63">
        <v>8064.6364000000003</v>
      </c>
      <c r="AG63">
        <v>5132.7529999999997</v>
      </c>
      <c r="AH63">
        <v>5458.3146999999999</v>
      </c>
      <c r="AI63">
        <v>9913.7613000000001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4307.3890000000001</v>
      </c>
      <c r="R64">
        <v>0</v>
      </c>
      <c r="S64">
        <v>2948.1695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234.60679999999999</v>
      </c>
      <c r="AA64">
        <v>0</v>
      </c>
      <c r="AB64">
        <v>0</v>
      </c>
      <c r="AC64">
        <v>0</v>
      </c>
      <c r="AD64">
        <v>0</v>
      </c>
      <c r="AE64">
        <v>825.6173</v>
      </c>
      <c r="AF64">
        <v>74.411600000000007</v>
      </c>
      <c r="AG64">
        <v>3325.8773999999999</v>
      </c>
      <c r="AH64">
        <v>1105.4211</v>
      </c>
      <c r="AI64">
        <v>0</v>
      </c>
      <c r="AJ64">
        <v>0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225.77699999999999</v>
      </c>
      <c r="E66">
        <v>0</v>
      </c>
      <c r="F66">
        <v>33.935299999999998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459.69720000000001</v>
      </c>
      <c r="I68">
        <v>1316.7722000000001</v>
      </c>
      <c r="J68">
        <v>1316.7722000000001</v>
      </c>
      <c r="K68">
        <v>1316.7722000000001</v>
      </c>
      <c r="L68">
        <v>1316.7722000000001</v>
      </c>
      <c r="M68">
        <v>1316.7722000000001</v>
      </c>
      <c r="N68">
        <v>1573.5395000000001</v>
      </c>
      <c r="O68">
        <v>1573.5395000000001</v>
      </c>
      <c r="P68">
        <v>1620.3588</v>
      </c>
      <c r="Q68">
        <v>1631.31</v>
      </c>
      <c r="R68">
        <v>1648.5632000000001</v>
      </c>
      <c r="S68">
        <v>1975.2876000000001</v>
      </c>
      <c r="T68">
        <v>1975.2806</v>
      </c>
      <c r="U68">
        <v>1864.8184000000001</v>
      </c>
      <c r="V68">
        <v>1969.9671000000001</v>
      </c>
      <c r="W68">
        <v>1589.4321</v>
      </c>
      <c r="X68">
        <v>1921.3886</v>
      </c>
      <c r="Y68">
        <v>2075.5421999999999</v>
      </c>
      <c r="Z68">
        <v>2080.1632</v>
      </c>
      <c r="AA68">
        <v>2084.5023999999999</v>
      </c>
      <c r="AB68">
        <v>2088.5700000000002</v>
      </c>
      <c r="AC68">
        <v>2163.3755000000001</v>
      </c>
      <c r="AD68">
        <v>2166.6012999999998</v>
      </c>
      <c r="AE68">
        <v>2169.6396</v>
      </c>
      <c r="AF68">
        <v>2172.4953999999998</v>
      </c>
      <c r="AG68">
        <v>3107.0751</v>
      </c>
      <c r="AH68">
        <v>2075.6597999999999</v>
      </c>
      <c r="AI68">
        <v>2082.2842999999998</v>
      </c>
      <c r="AJ68">
        <v>2171.3849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4.4999999999999997E-3</v>
      </c>
      <c r="T84">
        <v>2.35E-2</v>
      </c>
      <c r="U84">
        <v>4.6600000000000003E-2</v>
      </c>
      <c r="V84">
        <v>5.9499999999999997E-2</v>
      </c>
      <c r="W84">
        <v>6.9099999999999995E-2</v>
      </c>
      <c r="X84">
        <v>7.5899999999999995E-2</v>
      </c>
      <c r="Y84">
        <v>8.3199999999999996E-2</v>
      </c>
      <c r="Z84">
        <v>8.8200000000000001E-2</v>
      </c>
      <c r="AA84">
        <v>9.5600000000000004E-2</v>
      </c>
      <c r="AB84">
        <v>0.1051</v>
      </c>
      <c r="AC84">
        <v>0.12189999999999999</v>
      </c>
      <c r="AD84">
        <v>0.1409</v>
      </c>
      <c r="AE84">
        <v>0.1535</v>
      </c>
      <c r="AF84">
        <v>0.1711</v>
      </c>
      <c r="AG84">
        <v>0.18240000000000001</v>
      </c>
      <c r="AH84">
        <v>0.19439999999999999</v>
      </c>
      <c r="AI84">
        <v>0.21629999999999999</v>
      </c>
      <c r="AJ84">
        <v>0.21629999999999999</v>
      </c>
    </row>
    <row r="85" spans="1:36">
      <c r="A85" t="s">
        <v>19</v>
      </c>
      <c r="B85" s="29" t="s">
        <v>170</v>
      </c>
      <c r="C85">
        <v>9389.2937999999995</v>
      </c>
      <c r="D85">
        <v>297.63869999999997</v>
      </c>
      <c r="E85">
        <v>313.51749999999998</v>
      </c>
      <c r="F85">
        <v>265.3306</v>
      </c>
      <c r="G85">
        <v>337.9477</v>
      </c>
      <c r="H85">
        <v>228.30019999999999</v>
      </c>
      <c r="I85">
        <v>262.17309999999998</v>
      </c>
      <c r="J85">
        <v>184.4606</v>
      </c>
      <c r="K85">
        <v>185.03960000000001</v>
      </c>
      <c r="L85">
        <v>182.9014</v>
      </c>
      <c r="M85">
        <v>0</v>
      </c>
      <c r="N85">
        <v>0</v>
      </c>
      <c r="O85">
        <v>186.45570000000001</v>
      </c>
      <c r="P85">
        <v>349.19830000000002</v>
      </c>
      <c r="Q85">
        <v>146.41890000000001</v>
      </c>
      <c r="R85">
        <v>259.96589999999998</v>
      </c>
      <c r="S85">
        <v>329.9205</v>
      </c>
      <c r="T85">
        <v>338.4982</v>
      </c>
      <c r="U85">
        <v>322.70580000000001</v>
      </c>
      <c r="V85">
        <v>307.10989999999998</v>
      </c>
      <c r="W85">
        <v>285.0052</v>
      </c>
      <c r="X85">
        <v>490.75599999999997</v>
      </c>
      <c r="Y85">
        <v>493.83699999999999</v>
      </c>
      <c r="Z85">
        <v>492.43689999999998</v>
      </c>
      <c r="AA85">
        <v>474.76839999999999</v>
      </c>
      <c r="AB85">
        <v>9681.2531999999992</v>
      </c>
      <c r="AC85">
        <v>815.16520000000003</v>
      </c>
      <c r="AD85">
        <v>830.64930000000004</v>
      </c>
      <c r="AE85">
        <v>771.76310000000001</v>
      </c>
      <c r="AF85">
        <v>806.25850000000003</v>
      </c>
      <c r="AG85">
        <v>577.98119999999994</v>
      </c>
      <c r="AH85">
        <v>764.36720000000003</v>
      </c>
      <c r="AI85">
        <v>673.01869999999997</v>
      </c>
      <c r="AJ85">
        <v>572.55520000000001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1153.4274</v>
      </c>
      <c r="E94">
        <v>277.06380000000001</v>
      </c>
      <c r="F94">
        <v>9.3362999999999996</v>
      </c>
      <c r="G94">
        <v>340.98590000000002</v>
      </c>
      <c r="H94">
        <v>0</v>
      </c>
      <c r="I94">
        <v>127.0035</v>
      </c>
      <c r="J94">
        <v>293.27089999999998</v>
      </c>
      <c r="K94">
        <v>129.70500000000001</v>
      </c>
      <c r="L94">
        <v>738.7328</v>
      </c>
      <c r="M94">
        <v>137.8124</v>
      </c>
      <c r="N94">
        <v>134.5633</v>
      </c>
      <c r="O94">
        <v>1540.1034</v>
      </c>
      <c r="P94">
        <v>3038.4285</v>
      </c>
      <c r="Q94">
        <v>885.32830000000001</v>
      </c>
      <c r="R94">
        <v>1796.9259999999999</v>
      </c>
      <c r="S94">
        <v>1553.3042</v>
      </c>
      <c r="T94">
        <v>644.64840000000004</v>
      </c>
      <c r="U94">
        <v>367.69260000000003</v>
      </c>
      <c r="V94">
        <v>712.04510000000005</v>
      </c>
      <c r="W94">
        <v>360.12779999999998</v>
      </c>
      <c r="X94">
        <v>723.72199999999998</v>
      </c>
      <c r="Y94">
        <v>897.43539999999996</v>
      </c>
      <c r="Z94">
        <v>728.86659999999995</v>
      </c>
      <c r="AA94">
        <v>1360.8421000000001</v>
      </c>
      <c r="AB94">
        <v>738.99620000000004</v>
      </c>
      <c r="AC94">
        <v>883.51930000000004</v>
      </c>
      <c r="AD94">
        <v>2335.6397000000002</v>
      </c>
      <c r="AE94">
        <v>3879.5844999999999</v>
      </c>
      <c r="AF94">
        <v>1658.7268999999999</v>
      </c>
      <c r="AG94">
        <v>2617.2157000000002</v>
      </c>
      <c r="AH94">
        <v>2517.2532000000001</v>
      </c>
      <c r="AI94">
        <v>1575.6884</v>
      </c>
      <c r="AJ94">
        <v>1288.9743000000001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438.61559999999997</v>
      </c>
      <c r="J98">
        <v>438.59089999999998</v>
      </c>
      <c r="K98">
        <v>438.61559999999997</v>
      </c>
      <c r="L98">
        <v>438.59089999999998</v>
      </c>
      <c r="M98">
        <v>438.61559999999997</v>
      </c>
      <c r="N98">
        <v>438.59089999999998</v>
      </c>
      <c r="O98">
        <v>438.61559999999997</v>
      </c>
      <c r="P98">
        <v>427.02359999999999</v>
      </c>
      <c r="Q98">
        <v>424.34269999999998</v>
      </c>
      <c r="R98">
        <v>858.67100000000005</v>
      </c>
      <c r="S98">
        <v>861.29380000000003</v>
      </c>
      <c r="T98">
        <v>861.29549999999995</v>
      </c>
      <c r="U98">
        <v>920.31190000000004</v>
      </c>
      <c r="V98">
        <v>864.13419999999996</v>
      </c>
      <c r="W98">
        <v>1196.1854000000001</v>
      </c>
      <c r="X98">
        <v>538.7636</v>
      </c>
      <c r="Y98">
        <v>523.68640000000005</v>
      </c>
      <c r="Z98">
        <v>520.93100000000004</v>
      </c>
      <c r="AA98">
        <v>955.16200000000003</v>
      </c>
      <c r="AB98">
        <v>957.61199999999997</v>
      </c>
      <c r="AC98">
        <v>951.11130000000003</v>
      </c>
      <c r="AD98">
        <v>1010.0792</v>
      </c>
      <c r="AE98">
        <v>953.88319999999999</v>
      </c>
      <c r="AF98">
        <v>1285.8496</v>
      </c>
      <c r="AG98">
        <v>546.56849999999997</v>
      </c>
      <c r="AH98">
        <v>565.53279999999995</v>
      </c>
      <c r="AI98">
        <v>549.52790000000005</v>
      </c>
      <c r="AJ98">
        <v>806.07060000000001</v>
      </c>
    </row>
    <row r="99" spans="1:36">
      <c r="A99" t="s">
        <v>19</v>
      </c>
      <c r="B99" s="29" t="s">
        <v>184</v>
      </c>
      <c r="C99">
        <v>51.976799999999997</v>
      </c>
      <c r="D99">
        <v>203.86490000000001</v>
      </c>
      <c r="E99">
        <v>182.96549999999999</v>
      </c>
      <c r="F99">
        <v>169.49019999999999</v>
      </c>
      <c r="G99">
        <v>232.36930000000001</v>
      </c>
      <c r="H99">
        <v>158.3218</v>
      </c>
      <c r="I99">
        <v>89.001300000000001</v>
      </c>
      <c r="J99">
        <v>48.566699999999997</v>
      </c>
      <c r="K99">
        <v>49.424799999999998</v>
      </c>
      <c r="L99">
        <v>53.102800000000002</v>
      </c>
      <c r="M99">
        <v>0</v>
      </c>
      <c r="N99">
        <v>57.841000000000001</v>
      </c>
      <c r="O99">
        <v>75.3232</v>
      </c>
      <c r="P99">
        <v>13.4468</v>
      </c>
      <c r="Q99">
        <v>0</v>
      </c>
      <c r="R99">
        <v>0</v>
      </c>
      <c r="S99">
        <v>0</v>
      </c>
      <c r="T99">
        <v>0</v>
      </c>
      <c r="U99">
        <v>30.977399999999999</v>
      </c>
      <c r="V99">
        <v>53.560400000000001</v>
      </c>
      <c r="W99">
        <v>92.551900000000003</v>
      </c>
      <c r="X99">
        <v>72.342799999999997</v>
      </c>
      <c r="Y99">
        <v>28.136800000000001</v>
      </c>
      <c r="Z99">
        <v>32.668100000000003</v>
      </c>
      <c r="AA99">
        <v>36.3461</v>
      </c>
      <c r="AB99">
        <v>0</v>
      </c>
      <c r="AC99">
        <v>23.124400000000001</v>
      </c>
      <c r="AD99">
        <v>49.867400000000004</v>
      </c>
      <c r="AE99">
        <v>0</v>
      </c>
      <c r="AF99">
        <v>0</v>
      </c>
      <c r="AG99">
        <v>0</v>
      </c>
      <c r="AH99">
        <v>5.3600000000000002E-2</v>
      </c>
      <c r="AI99">
        <v>9.1484000000000005</v>
      </c>
      <c r="AJ99">
        <v>101.0523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855.26829999999995</v>
      </c>
      <c r="AH107">
        <v>674.70749999999998</v>
      </c>
      <c r="AI107">
        <v>806.05909999999994</v>
      </c>
      <c r="AJ107">
        <v>2570.8125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1169.7799</v>
      </c>
      <c r="S109">
        <v>2136.7640999999999</v>
      </c>
      <c r="T109">
        <v>2137.8339999999998</v>
      </c>
      <c r="U109">
        <v>2124.6612</v>
      </c>
      <c r="V109">
        <v>2140.0147000000002</v>
      </c>
      <c r="W109">
        <v>2143.6860000000001</v>
      </c>
      <c r="X109">
        <v>2111.6291999999999</v>
      </c>
      <c r="Y109">
        <v>2098.0790999999999</v>
      </c>
      <c r="Z109">
        <v>2112.6605</v>
      </c>
      <c r="AA109">
        <v>2113.442</v>
      </c>
      <c r="AB109">
        <v>2113.9297000000001</v>
      </c>
      <c r="AC109">
        <v>1995.098</v>
      </c>
      <c r="AD109">
        <v>2009.7064</v>
      </c>
      <c r="AE109">
        <v>2010.0442</v>
      </c>
      <c r="AF109">
        <v>1084.9786999999999</v>
      </c>
      <c r="AG109">
        <v>823.15319999999997</v>
      </c>
      <c r="AH109">
        <v>1869.2318</v>
      </c>
      <c r="AI109">
        <v>1740.7356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2.2355</v>
      </c>
      <c r="I114">
        <v>16</v>
      </c>
      <c r="J114">
        <v>16</v>
      </c>
      <c r="K114">
        <v>0</v>
      </c>
      <c r="L114">
        <v>17.488199999999999</v>
      </c>
      <c r="M114">
        <v>16</v>
      </c>
      <c r="N114">
        <v>16</v>
      </c>
      <c r="O114">
        <v>0</v>
      </c>
      <c r="P114">
        <v>16</v>
      </c>
      <c r="Q114">
        <v>18.123699999999999</v>
      </c>
      <c r="R114">
        <v>16</v>
      </c>
      <c r="S114">
        <v>29.1188</v>
      </c>
      <c r="T114">
        <v>15.985799999999999</v>
      </c>
      <c r="U114">
        <v>7.1996000000000002</v>
      </c>
      <c r="V114">
        <v>31.9574</v>
      </c>
      <c r="W114">
        <v>37.890799999999999</v>
      </c>
      <c r="X114">
        <v>16</v>
      </c>
      <c r="Y114">
        <v>48</v>
      </c>
      <c r="Z114">
        <v>32</v>
      </c>
      <c r="AA114">
        <v>32</v>
      </c>
      <c r="AB114">
        <v>34.235500000000002</v>
      </c>
      <c r="AC114">
        <v>48</v>
      </c>
      <c r="AD114">
        <v>48</v>
      </c>
      <c r="AE114">
        <v>32</v>
      </c>
      <c r="AF114">
        <v>49.488199999999999</v>
      </c>
      <c r="AG114">
        <v>48</v>
      </c>
      <c r="AH114">
        <v>64</v>
      </c>
      <c r="AI114">
        <v>32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2.2355</v>
      </c>
      <c r="I117">
        <v>16</v>
      </c>
      <c r="J117">
        <v>0</v>
      </c>
      <c r="K117">
        <v>16</v>
      </c>
      <c r="L117">
        <v>1.4882</v>
      </c>
      <c r="M117">
        <v>16</v>
      </c>
      <c r="N117">
        <v>16</v>
      </c>
      <c r="O117">
        <v>0</v>
      </c>
      <c r="P117">
        <v>16</v>
      </c>
      <c r="Q117">
        <v>18.123699999999999</v>
      </c>
      <c r="R117">
        <v>16</v>
      </c>
      <c r="S117">
        <v>29.1188</v>
      </c>
      <c r="T117">
        <v>15.985799999999999</v>
      </c>
      <c r="U117">
        <v>7.1996000000000002</v>
      </c>
      <c r="V117">
        <v>15.9574</v>
      </c>
      <c r="W117">
        <v>37.890799999999999</v>
      </c>
      <c r="X117">
        <v>32</v>
      </c>
      <c r="Y117">
        <v>32</v>
      </c>
      <c r="Z117">
        <v>16</v>
      </c>
      <c r="AA117">
        <v>48</v>
      </c>
      <c r="AB117">
        <v>18.235499999999998</v>
      </c>
      <c r="AC117">
        <v>48</v>
      </c>
      <c r="AD117">
        <v>32</v>
      </c>
      <c r="AE117">
        <v>48</v>
      </c>
      <c r="AF117">
        <v>33.488199999999999</v>
      </c>
      <c r="AG117">
        <v>48</v>
      </c>
      <c r="AH117">
        <v>48</v>
      </c>
      <c r="AI117">
        <v>32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7"/>
  <sheetViews>
    <sheetView workbookViewId="0">
      <selection activeCell="C22" sqref="C22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31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31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31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31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31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31" t="s">
        <v>103</v>
      </c>
      <c r="C8" s="32"/>
      <c r="D8" s="32">
        <v>2205.9097214191002</v>
      </c>
      <c r="E8" s="32">
        <v>2239.8151232055998</v>
      </c>
      <c r="F8" s="32">
        <v>2273.7113495359999</v>
      </c>
      <c r="G8" s="32">
        <v>2308.4976868495</v>
      </c>
      <c r="H8" s="32">
        <v>2371.7282496131002</v>
      </c>
      <c r="I8" s="32">
        <v>2479.7634446867</v>
      </c>
      <c r="J8" s="32">
        <v>2513.2761644842999</v>
      </c>
      <c r="K8" s="32">
        <v>2544.6745656134999</v>
      </c>
      <c r="L8" s="32">
        <v>2560.5955140101</v>
      </c>
      <c r="M8" s="32">
        <v>2560.5955140101</v>
      </c>
      <c r="N8" s="32">
        <v>2560.5955140101</v>
      </c>
      <c r="O8" s="32">
        <v>2582.3262051395</v>
      </c>
      <c r="P8" s="32">
        <v>2612.6275704028999</v>
      </c>
      <c r="Q8" s="32">
        <v>2696.6310718516002</v>
      </c>
      <c r="R8" s="32">
        <v>2752.3884918217</v>
      </c>
      <c r="S8" s="32">
        <v>2778.6119449634002</v>
      </c>
      <c r="T8" s="32">
        <v>2804.8353889296</v>
      </c>
      <c r="U8" s="32">
        <v>2831.0680083517</v>
      </c>
      <c r="V8" s="32">
        <v>2857.2914523179002</v>
      </c>
      <c r="W8" s="32">
        <v>2883.5240809154998</v>
      </c>
      <c r="X8" s="32">
        <v>2906.8205544296002</v>
      </c>
      <c r="Y8" s="32">
        <v>2930.1170279436001</v>
      </c>
      <c r="Z8" s="32">
        <v>2953.4135106331</v>
      </c>
      <c r="AA8" s="32">
        <v>2976.7099933226</v>
      </c>
      <c r="AB8" s="32">
        <v>3000.0156514680998</v>
      </c>
      <c r="AC8" s="32">
        <v>3020.1741282183998</v>
      </c>
      <c r="AD8" s="32">
        <v>3040.3325957931002</v>
      </c>
      <c r="AE8" s="32">
        <v>3060.4910725434002</v>
      </c>
      <c r="AF8" s="32">
        <v>3080.6587247496</v>
      </c>
      <c r="AG8" s="32">
        <v>3100.8172014997999</v>
      </c>
      <c r="AH8" s="32">
        <v>3118.2138660053001</v>
      </c>
      <c r="AI8" s="32">
        <v>3135.6013550547</v>
      </c>
      <c r="AJ8" s="32">
        <v>3152.9980195602002</v>
      </c>
    </row>
    <row r="9" spans="1:36">
      <c r="B9" s="31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31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31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140.83672873250001</v>
      </c>
      <c r="G11" s="32">
        <v>147.03045254</v>
      </c>
      <c r="H11" s="32">
        <v>147.03045254</v>
      </c>
      <c r="I11" s="32">
        <v>153.410706979</v>
      </c>
      <c r="J11" s="32">
        <v>156.70996245649999</v>
      </c>
      <c r="K11" s="32">
        <v>159.99342594429999</v>
      </c>
      <c r="L11" s="32">
        <v>163.2617664226</v>
      </c>
      <c r="M11" s="32">
        <v>166.48491356420001</v>
      </c>
      <c r="N11" s="32">
        <v>170.12041611559999</v>
      </c>
      <c r="O11" s="32">
        <v>173.74116055580001</v>
      </c>
      <c r="P11" s="32">
        <v>177.34792398330001</v>
      </c>
      <c r="Q11" s="32">
        <v>180.94146998159999</v>
      </c>
      <c r="R11" s="32">
        <v>184.52255537689999</v>
      </c>
      <c r="S11" s="32">
        <v>188.7543085925</v>
      </c>
      <c r="T11" s="32">
        <v>192.973006556</v>
      </c>
      <c r="U11" s="32">
        <v>197.17946690989999</v>
      </c>
      <c r="V11" s="32">
        <v>201.37447351</v>
      </c>
      <c r="W11" s="32">
        <v>205.51886059989999</v>
      </c>
      <c r="X11" s="32">
        <v>210.31968630989999</v>
      </c>
      <c r="Y11" s="32">
        <v>215.11088275789999</v>
      </c>
      <c r="Z11" s="32">
        <v>219.89643679619999</v>
      </c>
      <c r="AA11" s="32">
        <v>224.59584779389999</v>
      </c>
      <c r="AB11" s="32">
        <v>224.23778115010001</v>
      </c>
      <c r="AC11" s="32">
        <v>220.11524741709999</v>
      </c>
      <c r="AD11" s="32">
        <v>225.13966797090001</v>
      </c>
      <c r="AE11" s="32">
        <v>230.47093425169999</v>
      </c>
      <c r="AF11" s="32">
        <v>235.2300669464</v>
      </c>
      <c r="AG11" s="32">
        <v>240.5096798383</v>
      </c>
      <c r="AH11" s="32">
        <v>245.74034229200001</v>
      </c>
      <c r="AI11" s="32">
        <v>251.26318020759999</v>
      </c>
      <c r="AJ11" s="32">
        <v>256.8018101129</v>
      </c>
    </row>
    <row r="12" spans="1:36">
      <c r="B12" s="31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31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31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31" t="s">
        <v>117</v>
      </c>
      <c r="C15" s="32">
        <v>46.682344880000002</v>
      </c>
      <c r="D15" s="32">
        <v>108.4952472201</v>
      </c>
      <c r="E15" s="32">
        <v>140.66628741529999</v>
      </c>
      <c r="F15" s="32">
        <v>140.66628741529999</v>
      </c>
      <c r="G15" s="32">
        <v>146.86001122280001</v>
      </c>
      <c r="H15" s="32">
        <v>146.86001122280001</v>
      </c>
      <c r="I15" s="32">
        <v>153.24026566180001</v>
      </c>
      <c r="J15" s="32">
        <v>156.53952113939999</v>
      </c>
      <c r="K15" s="32">
        <v>159.8229846271</v>
      </c>
      <c r="L15" s="32">
        <v>163.09132510539999</v>
      </c>
      <c r="M15" s="32">
        <v>166.31447224710001</v>
      </c>
      <c r="N15" s="32">
        <v>169.94997479840001</v>
      </c>
      <c r="O15" s="32">
        <v>173.57071923870001</v>
      </c>
      <c r="P15" s="32">
        <v>177.17748266609999</v>
      </c>
      <c r="Q15" s="32">
        <v>180.77102866440001</v>
      </c>
      <c r="R15" s="32">
        <v>184.3521140597</v>
      </c>
      <c r="S15" s="32">
        <v>188.58386727530001</v>
      </c>
      <c r="T15" s="32">
        <v>192.80256523880001</v>
      </c>
      <c r="U15" s="32">
        <v>197.0090255927</v>
      </c>
      <c r="V15" s="32">
        <v>201.20403219280001</v>
      </c>
      <c r="W15" s="32">
        <v>205.34841928270001</v>
      </c>
      <c r="X15" s="32">
        <v>210.14924499270001</v>
      </c>
      <c r="Y15" s="32">
        <v>214.9404414407</v>
      </c>
      <c r="Z15" s="32">
        <v>219.72599547900001</v>
      </c>
      <c r="AA15" s="32">
        <v>224.4254064767</v>
      </c>
      <c r="AB15" s="32">
        <v>224.06733983289999</v>
      </c>
      <c r="AC15" s="32">
        <v>222.98248351820001</v>
      </c>
      <c r="AD15" s="32">
        <v>225.108435375</v>
      </c>
      <c r="AE15" s="32">
        <v>230.43970165580001</v>
      </c>
      <c r="AF15" s="32">
        <v>235.19883435040001</v>
      </c>
      <c r="AG15" s="32">
        <v>240.47844724230001</v>
      </c>
      <c r="AH15" s="32">
        <v>245.7091096961</v>
      </c>
      <c r="AI15" s="32">
        <v>251.23194761159999</v>
      </c>
      <c r="AJ15" s="32">
        <v>256.7705775169</v>
      </c>
    </row>
    <row r="16" spans="1:36">
      <c r="B16" s="31" t="s">
        <v>120</v>
      </c>
      <c r="C16" s="32">
        <v>0.2197161094</v>
      </c>
      <c r="D16" s="32">
        <v>0.2197161094</v>
      </c>
      <c r="E16" s="32">
        <v>0.2197161094</v>
      </c>
      <c r="F16" s="32">
        <v>0.2197161094</v>
      </c>
      <c r="G16" s="32">
        <v>0.2197161094</v>
      </c>
      <c r="H16" s="32">
        <v>0.2197161094</v>
      </c>
      <c r="I16" s="32">
        <v>0.2197161094</v>
      </c>
      <c r="J16" s="32">
        <v>0.2197161094</v>
      </c>
      <c r="K16" s="32">
        <v>0.2197161094</v>
      </c>
      <c r="L16" s="32">
        <v>0.2197161094</v>
      </c>
      <c r="M16" s="32">
        <v>0.2197161094</v>
      </c>
      <c r="N16" s="32">
        <v>0.2197161094</v>
      </c>
      <c r="O16" s="32">
        <v>0.2197161094</v>
      </c>
      <c r="P16" s="32">
        <v>0.2197161094</v>
      </c>
      <c r="Q16" s="32">
        <v>0.2197161094</v>
      </c>
      <c r="R16" s="32">
        <v>0.2197161094</v>
      </c>
      <c r="S16" s="32">
        <v>0.2197161094</v>
      </c>
      <c r="T16" s="32">
        <v>0.2197161094</v>
      </c>
      <c r="U16" s="32">
        <v>0.2197161094</v>
      </c>
      <c r="V16" s="32">
        <v>0.2197161094</v>
      </c>
      <c r="W16" s="32">
        <v>0.2197161094</v>
      </c>
      <c r="X16" s="32">
        <v>0.2197161094</v>
      </c>
      <c r="Y16" s="32">
        <v>0.2197161094</v>
      </c>
      <c r="Z16" s="32">
        <v>0.2197161094</v>
      </c>
      <c r="AA16" s="32">
        <v>0.2197161094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31" t="s">
        <v>121</v>
      </c>
      <c r="C17" s="32">
        <v>34.242721657799997</v>
      </c>
      <c r="D17" s="32">
        <v>34.242721657799997</v>
      </c>
      <c r="E17" s="32">
        <v>34.242721657799997</v>
      </c>
      <c r="F17" s="32">
        <v>34.242721657799997</v>
      </c>
      <c r="G17" s="32">
        <v>34.242721657799997</v>
      </c>
      <c r="H17" s="32">
        <v>34.242721657799997</v>
      </c>
      <c r="I17" s="32">
        <v>34.242721657799997</v>
      </c>
      <c r="J17" s="32">
        <v>34.242721657799997</v>
      </c>
      <c r="K17" s="32">
        <v>34.242721657799997</v>
      </c>
      <c r="L17" s="32">
        <v>34.242721657799997</v>
      </c>
      <c r="M17" s="32">
        <v>34.242721657799997</v>
      </c>
      <c r="N17" s="32">
        <v>34.242721657799997</v>
      </c>
      <c r="O17" s="32">
        <v>34.242721657799997</v>
      </c>
      <c r="P17" s="32">
        <v>34.242721657799997</v>
      </c>
      <c r="Q17" s="32">
        <v>34.242721657799997</v>
      </c>
      <c r="R17" s="32">
        <v>34.242721657799997</v>
      </c>
      <c r="S17" s="32">
        <v>34.242721657799997</v>
      </c>
      <c r="T17" s="32">
        <v>34.242721657799997</v>
      </c>
      <c r="U17" s="32">
        <v>34.242721657799997</v>
      </c>
      <c r="V17" s="32">
        <v>34.242721657799997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31" t="s">
        <v>132</v>
      </c>
      <c r="C18" s="32"/>
      <c r="D18" s="32"/>
      <c r="E18" s="32">
        <v>20.480610924099999</v>
      </c>
      <c r="F18" s="32">
        <v>21.979192211200001</v>
      </c>
      <c r="G18" s="32">
        <v>24.451851334899999</v>
      </c>
      <c r="H18" s="32">
        <v>24.451851334899999</v>
      </c>
      <c r="I18" s="32">
        <v>24.451851334899999</v>
      </c>
      <c r="J18" s="32">
        <v>24.451851334899999</v>
      </c>
      <c r="K18" s="32">
        <v>24.451851334899999</v>
      </c>
      <c r="L18" s="32">
        <v>24.451851334899999</v>
      </c>
      <c r="M18" s="32">
        <v>24.451851334899999</v>
      </c>
      <c r="N18" s="32">
        <v>24.451851334899999</v>
      </c>
      <c r="O18" s="32">
        <v>24.451851334899999</v>
      </c>
      <c r="P18" s="32">
        <v>24.451851334899999</v>
      </c>
      <c r="Q18" s="32">
        <v>24.451851334899999</v>
      </c>
      <c r="R18" s="32">
        <v>24.451851334899999</v>
      </c>
      <c r="S18" s="32">
        <v>24.451851334899999</v>
      </c>
      <c r="T18" s="32">
        <v>24.451851334899999</v>
      </c>
      <c r="U18" s="32">
        <v>24.451851334899999</v>
      </c>
      <c r="V18" s="32">
        <v>24.451851334899999</v>
      </c>
      <c r="W18" s="32">
        <v>24.451851334899999</v>
      </c>
      <c r="X18" s="32">
        <v>24.451851334899999</v>
      </c>
      <c r="Y18" s="32">
        <v>24.451851334899999</v>
      </c>
      <c r="Z18" s="32">
        <v>24.451851334899999</v>
      </c>
      <c r="AA18" s="32">
        <v>24.451851334899999</v>
      </c>
      <c r="AB18" s="32">
        <v>24.451851334899999</v>
      </c>
      <c r="AC18" s="32">
        <v>24.451851334899999</v>
      </c>
      <c r="AD18" s="32">
        <v>24.451851334899999</v>
      </c>
      <c r="AE18" s="32">
        <v>24.451851334899999</v>
      </c>
      <c r="AF18" s="32">
        <v>24.451851334899999</v>
      </c>
      <c r="AG18" s="32">
        <v>24.451851334899999</v>
      </c>
      <c r="AH18" s="32">
        <v>24.451851334899999</v>
      </c>
      <c r="AI18" s="32">
        <v>24.451851334899999</v>
      </c>
      <c r="AJ18" s="32">
        <v>24.451851334899999</v>
      </c>
    </row>
    <row r="19" spans="2:36">
      <c r="B19" s="31" t="s">
        <v>135</v>
      </c>
      <c r="C19" s="32"/>
      <c r="D19" s="32">
        <v>12.9732737057</v>
      </c>
      <c r="E19" s="32">
        <v>19.993849520800001</v>
      </c>
      <c r="F19" s="32">
        <v>19.993849520800001</v>
      </c>
      <c r="G19" s="32">
        <v>20.801973355600001</v>
      </c>
      <c r="H19" s="32">
        <v>20.801973355600001</v>
      </c>
      <c r="I19" s="32">
        <v>20.801973355600001</v>
      </c>
      <c r="J19" s="32">
        <v>20.801973355600001</v>
      </c>
      <c r="K19" s="32">
        <v>20.801973355600001</v>
      </c>
      <c r="L19" s="32">
        <v>20.801973355600001</v>
      </c>
      <c r="M19" s="32">
        <v>20.801973355600001</v>
      </c>
      <c r="N19" s="32">
        <v>20.801973355600001</v>
      </c>
      <c r="O19" s="32">
        <v>20.801973355600001</v>
      </c>
      <c r="P19" s="32">
        <v>20.801973355600001</v>
      </c>
      <c r="Q19" s="32">
        <v>20.801973355600001</v>
      </c>
      <c r="R19" s="32">
        <v>20.801973355600001</v>
      </c>
      <c r="S19" s="32">
        <v>20.801973355600001</v>
      </c>
      <c r="T19" s="32">
        <v>20.801973355600001</v>
      </c>
      <c r="U19" s="32">
        <v>20.801973355600001</v>
      </c>
      <c r="V19" s="32">
        <v>20.801973355600001</v>
      </c>
      <c r="W19" s="32">
        <v>20.801973355600001</v>
      </c>
      <c r="X19" s="32">
        <v>20.801973355600001</v>
      </c>
      <c r="Y19" s="32">
        <v>20.801973355600001</v>
      </c>
      <c r="Z19" s="32">
        <v>20.801973355600001</v>
      </c>
      <c r="AA19" s="32">
        <v>20.801973355600001</v>
      </c>
      <c r="AB19" s="32">
        <v>20.801973355600001</v>
      </c>
      <c r="AC19" s="32">
        <v>20.801973355600001</v>
      </c>
      <c r="AD19" s="32">
        <v>20.801973355600001</v>
      </c>
      <c r="AE19" s="32">
        <v>20.801973355600001</v>
      </c>
      <c r="AF19" s="32">
        <v>20.801973355600001</v>
      </c>
      <c r="AG19" s="32">
        <v>20.801973355600001</v>
      </c>
      <c r="AH19" s="32">
        <v>20.801973355600001</v>
      </c>
      <c r="AI19" s="32">
        <v>20.801973355600001</v>
      </c>
      <c r="AJ19" s="32">
        <v>20.801973355600001</v>
      </c>
    </row>
    <row r="20" spans="2:36">
      <c r="B20" s="31" t="s">
        <v>138</v>
      </c>
      <c r="C20" s="32"/>
      <c r="D20" s="32"/>
      <c r="E20" s="32">
        <v>0.90358901309999995</v>
      </c>
      <c r="F20" s="32">
        <v>69.548413795200005</v>
      </c>
      <c r="G20" s="32">
        <v>71.190131796499998</v>
      </c>
      <c r="H20" s="32">
        <v>79.908544706900003</v>
      </c>
      <c r="I20" s="32">
        <v>286.51929548620001</v>
      </c>
      <c r="J20" s="32">
        <v>286.51929548620001</v>
      </c>
      <c r="K20" s="32">
        <v>286.51929548620001</v>
      </c>
      <c r="L20" s="32">
        <v>286.51929548620001</v>
      </c>
      <c r="M20" s="32">
        <v>286.51929548620001</v>
      </c>
      <c r="N20" s="32">
        <v>286.51929548620001</v>
      </c>
      <c r="O20" s="32">
        <v>286.51929548620001</v>
      </c>
      <c r="P20" s="32">
        <v>286.51929548620001</v>
      </c>
      <c r="Q20" s="32">
        <v>331.82663617959997</v>
      </c>
      <c r="R20" s="32">
        <v>780.34264095809999</v>
      </c>
      <c r="S20" s="32">
        <v>806.83977823500004</v>
      </c>
      <c r="T20" s="32">
        <v>955.85870142680005</v>
      </c>
      <c r="U20" s="32">
        <v>955.85870142680005</v>
      </c>
      <c r="V20" s="32">
        <v>955.85870142680005</v>
      </c>
      <c r="W20" s="32">
        <v>955.85870142680005</v>
      </c>
      <c r="X20" s="32">
        <v>955.85870142680005</v>
      </c>
      <c r="Y20" s="32">
        <v>955.85870142680005</v>
      </c>
      <c r="Z20" s="32">
        <v>955.85870142680005</v>
      </c>
      <c r="AA20" s="32">
        <v>955.85870142680005</v>
      </c>
      <c r="AB20" s="32">
        <v>955.85870142680005</v>
      </c>
      <c r="AC20" s="32">
        <v>955.85870142680005</v>
      </c>
      <c r="AD20" s="32">
        <v>955.85870142680005</v>
      </c>
      <c r="AE20" s="32">
        <v>955.85870142680005</v>
      </c>
      <c r="AF20" s="32">
        <v>955.85870142680005</v>
      </c>
      <c r="AG20" s="32">
        <v>955.85870142680005</v>
      </c>
      <c r="AH20" s="32">
        <v>955.85870142680005</v>
      </c>
      <c r="AI20" s="32">
        <v>955.85870142680005</v>
      </c>
      <c r="AJ20" s="32">
        <v>955.85870142680005</v>
      </c>
    </row>
    <row r="21" spans="2:36">
      <c r="B21" s="31" t="s">
        <v>142</v>
      </c>
      <c r="C21" s="32"/>
      <c r="D21" s="32">
        <v>107.780161326</v>
      </c>
      <c r="E21" s="32">
        <v>222.16092839379999</v>
      </c>
      <c r="F21" s="32">
        <v>222.16092839379999</v>
      </c>
      <c r="G21" s="32">
        <v>311.35830328430001</v>
      </c>
      <c r="H21" s="32">
        <v>311.35830328430001</v>
      </c>
      <c r="I21" s="32">
        <v>311.35830328430001</v>
      </c>
      <c r="J21" s="32">
        <v>531.27878958480005</v>
      </c>
      <c r="K21" s="32">
        <v>750.36335457769997</v>
      </c>
      <c r="L21" s="32">
        <v>968.40545903839995</v>
      </c>
      <c r="M21" s="32">
        <v>1996.5529884835</v>
      </c>
      <c r="N21" s="32">
        <v>1996.5529884835</v>
      </c>
      <c r="O21" s="32">
        <v>1996.5529884835</v>
      </c>
      <c r="P21" s="32">
        <v>1996.5529884835</v>
      </c>
      <c r="Q21" s="32">
        <v>1996.5529884835</v>
      </c>
      <c r="R21" s="32">
        <v>1996.5529884835</v>
      </c>
      <c r="S21" s="32">
        <v>1996.5529884835</v>
      </c>
      <c r="T21" s="32">
        <v>1996.5529884835</v>
      </c>
      <c r="U21" s="32">
        <v>1996.5529884835</v>
      </c>
      <c r="V21" s="32">
        <v>1996.5529884835</v>
      </c>
      <c r="W21" s="32">
        <v>1996.5529884835</v>
      </c>
      <c r="X21" s="32">
        <v>1996.5529884835</v>
      </c>
      <c r="Y21" s="32">
        <v>1996.5529884835</v>
      </c>
      <c r="Z21" s="32">
        <v>1996.5529884835</v>
      </c>
      <c r="AA21" s="32">
        <v>1996.5529884835</v>
      </c>
      <c r="AB21" s="32">
        <v>1996.5529884835</v>
      </c>
      <c r="AC21" s="32">
        <v>1888.7728271574999</v>
      </c>
      <c r="AD21" s="32">
        <v>1774.3920600895999</v>
      </c>
      <c r="AE21" s="32">
        <v>1774.3920600895999</v>
      </c>
      <c r="AF21" s="32">
        <v>1685.1946851992</v>
      </c>
      <c r="AG21" s="32">
        <v>1685.1946851992</v>
      </c>
      <c r="AH21" s="32">
        <v>1685.1946851992</v>
      </c>
      <c r="AI21" s="32">
        <v>1465.2741988987</v>
      </c>
      <c r="AJ21" s="32">
        <v>1246.1896339058001</v>
      </c>
    </row>
    <row r="22" spans="2:36">
      <c r="B22" s="31" t="s">
        <v>145</v>
      </c>
      <c r="C22" s="32">
        <v>210.6473130039</v>
      </c>
      <c r="D22" s="32">
        <v>578.38260473260004</v>
      </c>
      <c r="E22" s="32">
        <v>580.67143871919995</v>
      </c>
      <c r="F22" s="32">
        <v>587.40838403819998</v>
      </c>
      <c r="G22" s="32">
        <v>592.47548820980001</v>
      </c>
      <c r="H22" s="32">
        <v>592.47548820980001</v>
      </c>
      <c r="I22" s="32">
        <v>592.47548820980001</v>
      </c>
      <c r="J22" s="32">
        <v>592.47548820980001</v>
      </c>
      <c r="K22" s="32">
        <v>592.47548820980001</v>
      </c>
      <c r="L22" s="32">
        <v>592.47548820980001</v>
      </c>
      <c r="M22" s="32">
        <v>592.47548820980001</v>
      </c>
      <c r="N22" s="32">
        <v>592.47548820980001</v>
      </c>
      <c r="O22" s="32">
        <v>592.47548820980001</v>
      </c>
      <c r="P22" s="32">
        <v>592.47548820980001</v>
      </c>
      <c r="Q22" s="32">
        <v>592.47548820980001</v>
      </c>
      <c r="R22" s="32">
        <v>592.47548820980001</v>
      </c>
      <c r="S22" s="32">
        <v>592.47548820980001</v>
      </c>
      <c r="T22" s="32">
        <v>592.47548820980001</v>
      </c>
      <c r="U22" s="32">
        <v>592.47548820980001</v>
      </c>
      <c r="V22" s="32">
        <v>592.47548820980001</v>
      </c>
      <c r="W22" s="32">
        <v>592.47548820980001</v>
      </c>
      <c r="X22" s="32">
        <v>592.47548820980001</v>
      </c>
      <c r="Y22" s="32">
        <v>592.47548820980001</v>
      </c>
      <c r="Z22" s="32">
        <v>592.47548820980001</v>
      </c>
      <c r="AA22" s="32">
        <v>592.47548820980001</v>
      </c>
      <c r="AB22" s="32">
        <v>592.47548820980001</v>
      </c>
      <c r="AC22" s="32">
        <v>592.47548820980001</v>
      </c>
      <c r="AD22" s="32">
        <v>592.47548820980001</v>
      </c>
      <c r="AE22" s="32">
        <v>592.47548820980001</v>
      </c>
      <c r="AF22" s="32">
        <v>592.47548820980001</v>
      </c>
      <c r="AG22" s="32">
        <v>592.47548820980001</v>
      </c>
      <c r="AH22" s="32">
        <v>592.47548820980001</v>
      </c>
      <c r="AI22" s="32">
        <v>592.47548820980001</v>
      </c>
      <c r="AJ22" s="32">
        <v>592.47548820980001</v>
      </c>
    </row>
    <row r="23" spans="2:36">
      <c r="B23" s="31" t="s">
        <v>146</v>
      </c>
      <c r="C23" s="32"/>
      <c r="D23" s="32"/>
      <c r="E23" s="32"/>
      <c r="F23" s="32"/>
      <c r="G23" s="32"/>
      <c r="H23" s="32">
        <v>71.357899912400001</v>
      </c>
      <c r="I23" s="32">
        <v>71.357899912400001</v>
      </c>
      <c r="J23" s="32">
        <v>71.357899912400001</v>
      </c>
      <c r="K23" s="32">
        <v>71.357899912400001</v>
      </c>
      <c r="L23" s="32">
        <v>71.357899912400001</v>
      </c>
      <c r="M23" s="32">
        <v>71.357899912400001</v>
      </c>
      <c r="N23" s="32">
        <v>71.357899912400001</v>
      </c>
      <c r="O23" s="32">
        <v>71.357899912400001</v>
      </c>
      <c r="P23" s="32">
        <v>71.357899912400001</v>
      </c>
      <c r="Q23" s="32">
        <v>71.357899912400001</v>
      </c>
      <c r="R23" s="32">
        <v>71.357899912400001</v>
      </c>
      <c r="S23" s="32">
        <v>71.357899912400001</v>
      </c>
      <c r="T23" s="32">
        <v>71.357899912400001</v>
      </c>
      <c r="U23" s="32">
        <v>71.357899912400001</v>
      </c>
      <c r="V23" s="32">
        <v>223.85145515619999</v>
      </c>
      <c r="W23" s="32">
        <v>450.99133371480002</v>
      </c>
      <c r="X23" s="32">
        <v>493.33597646700002</v>
      </c>
      <c r="Y23" s="32">
        <v>539.75930433370002</v>
      </c>
      <c r="Z23" s="32">
        <v>609.24537706180001</v>
      </c>
      <c r="AA23" s="32">
        <v>654.91428434349996</v>
      </c>
      <c r="AB23" s="32">
        <v>683.78508248410003</v>
      </c>
      <c r="AC23" s="32">
        <v>750.29019245819995</v>
      </c>
      <c r="AD23" s="32">
        <v>750.29019245819995</v>
      </c>
      <c r="AE23" s="32">
        <v>750.29019245819995</v>
      </c>
      <c r="AF23" s="32">
        <v>750.29019245819995</v>
      </c>
      <c r="AG23" s="32">
        <v>815.7198523861</v>
      </c>
      <c r="AH23" s="32">
        <v>815.7198523861</v>
      </c>
      <c r="AI23" s="32">
        <v>840.08963611440004</v>
      </c>
      <c r="AJ23" s="32">
        <v>1082.5739836557</v>
      </c>
    </row>
    <row r="24" spans="2:36">
      <c r="B24" s="31" t="s">
        <v>149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>
        <v>106.3238204628</v>
      </c>
      <c r="T24" s="32">
        <v>558.57954869340006</v>
      </c>
      <c r="U24" s="32">
        <v>1104.0658733519999</v>
      </c>
      <c r="V24" s="32">
        <v>1409.7263328040001</v>
      </c>
      <c r="W24" s="32">
        <v>1636.2561690909999</v>
      </c>
      <c r="X24" s="32">
        <v>1795.7481309953</v>
      </c>
      <c r="Y24" s="32">
        <v>1966.1464665640999</v>
      </c>
      <c r="Z24" s="32">
        <v>2081.5179538469001</v>
      </c>
      <c r="AA24" s="32">
        <v>2253.9601716249999</v>
      </c>
      <c r="AB24" s="32">
        <v>2475.8748421178002</v>
      </c>
      <c r="AC24" s="32">
        <v>2864.8021351143998</v>
      </c>
      <c r="AD24" s="32">
        <v>3304.1084929722001</v>
      </c>
      <c r="AE24" s="32">
        <v>3595.8298384674999</v>
      </c>
      <c r="AF24" s="32">
        <v>4001.5823145477998</v>
      </c>
      <c r="AG24" s="32">
        <v>4259.8242408494998</v>
      </c>
      <c r="AH24" s="32">
        <v>4534.4460086394001</v>
      </c>
      <c r="AI24" s="32">
        <v>5033.2326860826997</v>
      </c>
      <c r="AJ24" s="32">
        <v>5033.2326860826997</v>
      </c>
    </row>
    <row r="25" spans="2:36">
      <c r="B25" s="31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110.19144367200001</v>
      </c>
      <c r="L25" s="32">
        <v>110.19144367200001</v>
      </c>
      <c r="M25" s="32">
        <v>110.19144367200001</v>
      </c>
      <c r="N25" s="32">
        <v>110.19144367200001</v>
      </c>
      <c r="O25" s="32">
        <v>110.19144367200001</v>
      </c>
      <c r="P25" s="32">
        <v>110.19144367200001</v>
      </c>
      <c r="Q25" s="32">
        <v>377.0503350043</v>
      </c>
      <c r="R25" s="32">
        <v>377.0503350043</v>
      </c>
      <c r="S25" s="32">
        <v>559.70048437089997</v>
      </c>
      <c r="T25" s="32">
        <v>559.70048437089997</v>
      </c>
      <c r="U25" s="32">
        <v>559.70048437089997</v>
      </c>
      <c r="V25" s="32">
        <v>559.70048437089997</v>
      </c>
      <c r="W25" s="32">
        <v>559.70048437089997</v>
      </c>
      <c r="X25" s="32">
        <v>559.70048437089997</v>
      </c>
      <c r="Y25" s="32">
        <v>559.70048437089997</v>
      </c>
      <c r="Z25" s="32">
        <v>574.23525486580002</v>
      </c>
      <c r="AA25" s="32">
        <v>574.23525486580002</v>
      </c>
      <c r="AB25" s="32">
        <v>574.23525486580002</v>
      </c>
      <c r="AC25" s="32">
        <v>574.23525486580002</v>
      </c>
      <c r="AD25" s="32">
        <v>574.23525486580002</v>
      </c>
      <c r="AE25" s="32">
        <v>625.38534076300004</v>
      </c>
      <c r="AF25" s="32">
        <v>629.995418255</v>
      </c>
      <c r="AG25" s="32">
        <v>836.04598756079997</v>
      </c>
      <c r="AH25" s="32">
        <v>886.65420739460001</v>
      </c>
      <c r="AI25" s="32">
        <v>869.34822098380005</v>
      </c>
      <c r="AJ25" s="32">
        <v>860.79372804189995</v>
      </c>
    </row>
    <row r="26" spans="2:36">
      <c r="B26" s="31" t="s">
        <v>152</v>
      </c>
      <c r="C26" s="32">
        <v>24.191247073500001</v>
      </c>
      <c r="D26" s="32">
        <v>39.447849884599997</v>
      </c>
      <c r="E26" s="32">
        <v>39.447849884599997</v>
      </c>
      <c r="F26" s="32">
        <v>41.740986002900001</v>
      </c>
      <c r="G26" s="32">
        <v>41.740986002900001</v>
      </c>
      <c r="H26" s="32">
        <v>41.740986002900001</v>
      </c>
      <c r="I26" s="32">
        <v>41.740986002900001</v>
      </c>
      <c r="J26" s="32">
        <v>41.740986002900001</v>
      </c>
      <c r="K26" s="32">
        <v>41.740986002900001</v>
      </c>
      <c r="L26" s="32">
        <v>41.740986002900001</v>
      </c>
      <c r="M26" s="32">
        <v>41.740986002900001</v>
      </c>
      <c r="N26" s="32">
        <v>41.740986002900001</v>
      </c>
      <c r="O26" s="32">
        <v>41.740986002900001</v>
      </c>
      <c r="P26" s="32">
        <v>41.740986002900001</v>
      </c>
      <c r="Q26" s="32">
        <v>41.740986002900001</v>
      </c>
      <c r="R26" s="32">
        <v>41.740986002900001</v>
      </c>
      <c r="S26" s="32">
        <v>41.740986002900001</v>
      </c>
      <c r="T26" s="32">
        <v>41.740986002900001</v>
      </c>
      <c r="U26" s="32">
        <v>41.740986002900001</v>
      </c>
      <c r="V26" s="32">
        <v>41.740986002900001</v>
      </c>
      <c r="W26" s="32">
        <v>41.740986002900001</v>
      </c>
      <c r="X26" s="32">
        <v>41.740986002900001</v>
      </c>
      <c r="Y26" s="32">
        <v>41.740986002900001</v>
      </c>
      <c r="Z26" s="32">
        <v>41.740986002900001</v>
      </c>
      <c r="AA26" s="32">
        <v>41.740986002900001</v>
      </c>
      <c r="AB26" s="32">
        <v>17.5497389294</v>
      </c>
      <c r="AC26" s="32">
        <v>2.2931361183000001</v>
      </c>
      <c r="AD26" s="32">
        <v>2.2931361183000001</v>
      </c>
      <c r="AE26" s="32"/>
      <c r="AF26" s="32"/>
      <c r="AG26" s="32"/>
      <c r="AH26" s="32"/>
      <c r="AI26" s="32"/>
      <c r="AJ26" s="32"/>
    </row>
    <row r="27" spans="2:36">
      <c r="B27" s="31" t="s">
        <v>154</v>
      </c>
      <c r="C27" s="32"/>
      <c r="D27" s="32"/>
      <c r="E27" s="32"/>
      <c r="F27" s="32"/>
      <c r="G27" s="32"/>
      <c r="H27" s="32">
        <v>23.981630407600001</v>
      </c>
      <c r="I27" s="32">
        <v>92.675423259300004</v>
      </c>
      <c r="J27" s="32">
        <v>161.3692161111</v>
      </c>
      <c r="K27" s="32">
        <v>230.0630089629</v>
      </c>
      <c r="L27" s="32">
        <v>298.7568018147</v>
      </c>
      <c r="M27" s="32">
        <v>367.45059466650002</v>
      </c>
      <c r="N27" s="32">
        <v>449.53950606439997</v>
      </c>
      <c r="O27" s="32">
        <v>531.62841746239997</v>
      </c>
      <c r="P27" s="32">
        <v>616.15981306200001</v>
      </c>
      <c r="Q27" s="32">
        <v>701.26251436220002</v>
      </c>
      <c r="R27" s="32">
        <v>787.26528611260005</v>
      </c>
      <c r="S27" s="32">
        <v>890.312720754</v>
      </c>
      <c r="T27" s="32">
        <v>993.35979021720004</v>
      </c>
      <c r="U27" s="32">
        <v>1090.6442323368999</v>
      </c>
      <c r="V27" s="32">
        <v>1193.4141054342999</v>
      </c>
      <c r="W27" s="32">
        <v>1276.3321070669001</v>
      </c>
      <c r="X27" s="32">
        <v>1376.5677214550001</v>
      </c>
      <c r="Y27" s="32">
        <v>1484.8452701015999</v>
      </c>
      <c r="Z27" s="32">
        <v>1593.3638885526</v>
      </c>
      <c r="AA27" s="32">
        <v>1702.1088757755999</v>
      </c>
      <c r="AB27" s="32">
        <v>1811.0660628551</v>
      </c>
      <c r="AC27" s="32">
        <v>1923.9257271597</v>
      </c>
      <c r="AD27" s="32">
        <v>2036.9536760294</v>
      </c>
      <c r="AE27" s="32">
        <v>2150.1401279042002</v>
      </c>
      <c r="AF27" s="32">
        <v>2263.4755620658998</v>
      </c>
      <c r="AG27" s="32">
        <v>2425.5664486249998</v>
      </c>
      <c r="AH27" s="32">
        <v>2533.8501322658999</v>
      </c>
      <c r="AI27" s="32">
        <v>2642.4794049394</v>
      </c>
      <c r="AJ27" s="32">
        <v>2755.7569061823001</v>
      </c>
    </row>
    <row r="28" spans="2:36">
      <c r="B28" s="31" t="s">
        <v>227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>
        <v>4.4999999999999997E-3</v>
      </c>
      <c r="T28" s="32">
        <v>2.35E-2</v>
      </c>
      <c r="U28" s="32">
        <v>4.6600000000000003E-2</v>
      </c>
      <c r="V28" s="32">
        <v>5.9499999999999997E-2</v>
      </c>
      <c r="W28" s="32">
        <v>6.9099999999999995E-2</v>
      </c>
      <c r="X28" s="32">
        <v>7.5899999999999995E-2</v>
      </c>
      <c r="Y28" s="32">
        <v>8.3199999999999996E-2</v>
      </c>
      <c r="Z28" s="32">
        <v>8.8200000000000001E-2</v>
      </c>
      <c r="AA28" s="32">
        <v>9.5600000000000004E-2</v>
      </c>
      <c r="AB28" s="32">
        <v>0.1051</v>
      </c>
      <c r="AC28" s="32">
        <v>0.12189999999999999</v>
      </c>
      <c r="AD28" s="32">
        <v>0.1409</v>
      </c>
      <c r="AE28" s="32">
        <v>0.1535</v>
      </c>
      <c r="AF28" s="32">
        <v>0.1711</v>
      </c>
      <c r="AG28" s="32">
        <v>0.18240000000000001</v>
      </c>
      <c r="AH28" s="32">
        <v>0.19439999999999999</v>
      </c>
      <c r="AI28" s="32">
        <v>0.21629999999999999</v>
      </c>
      <c r="AJ28" s="32">
        <v>0.21629999999999999</v>
      </c>
    </row>
    <row r="29" spans="2:36">
      <c r="B29" s="31" t="s">
        <v>170</v>
      </c>
      <c r="C29" s="32">
        <v>634.46996896610005</v>
      </c>
      <c r="D29" s="32">
        <v>654.58253768259999</v>
      </c>
      <c r="E29" s="32">
        <v>675.76809676009998</v>
      </c>
      <c r="F29" s="32">
        <v>693.69748539499994</v>
      </c>
      <c r="G29" s="32">
        <v>716.53388516040002</v>
      </c>
      <c r="H29" s="32">
        <v>731.96099010499995</v>
      </c>
      <c r="I29" s="32">
        <v>749.67701456479995</v>
      </c>
      <c r="J29" s="32">
        <v>762.14171251230005</v>
      </c>
      <c r="K29" s="32">
        <v>774.64553567200005</v>
      </c>
      <c r="L29" s="32">
        <v>787.00487259910005</v>
      </c>
      <c r="M29" s="32">
        <v>787.00487259910005</v>
      </c>
      <c r="N29" s="32">
        <v>787.00487259910005</v>
      </c>
      <c r="O29" s="32">
        <v>799.60438697289999</v>
      </c>
      <c r="P29" s="32">
        <v>823.20103218209999</v>
      </c>
      <c r="Q29" s="32">
        <v>833.09510908690004</v>
      </c>
      <c r="R29" s="32">
        <v>850.66198472409997</v>
      </c>
      <c r="S29" s="32">
        <v>872.95595633209996</v>
      </c>
      <c r="T29" s="32">
        <v>895.82955545719994</v>
      </c>
      <c r="U29" s="32">
        <v>917.63600259500004</v>
      </c>
      <c r="V29" s="32">
        <v>938.38857599109997</v>
      </c>
      <c r="W29" s="32">
        <v>957.64745149880002</v>
      </c>
      <c r="X29" s="32">
        <v>990.80968400769996</v>
      </c>
      <c r="Y29" s="32">
        <v>1024.1801112984001</v>
      </c>
      <c r="Z29" s="32">
        <v>1057.4559285554001</v>
      </c>
      <c r="AA29" s="32">
        <v>1089.5378186773</v>
      </c>
      <c r="AB29" s="32">
        <v>1109.2666156884</v>
      </c>
      <c r="AC29" s="32">
        <v>1144.2378317764999</v>
      </c>
      <c r="AD29" s="32">
        <v>1179.1823764979999</v>
      </c>
      <c r="AE29" s="32">
        <v>1213.4039291943</v>
      </c>
      <c r="AF29" s="32">
        <v>1245.0494549465</v>
      </c>
      <c r="AG29" s="32">
        <v>1268.678718014</v>
      </c>
      <c r="AH29" s="32">
        <v>1302.6138660484</v>
      </c>
      <c r="AI29" s="32">
        <v>1335.6275781707</v>
      </c>
      <c r="AJ29" s="32">
        <v>1361.8134677533999</v>
      </c>
    </row>
    <row r="30" spans="2:36">
      <c r="B30" s="31" t="s">
        <v>176</v>
      </c>
      <c r="C30" s="32">
        <v>182.57058939160001</v>
      </c>
      <c r="D30" s="32">
        <v>182.57058939160001</v>
      </c>
      <c r="E30" s="32">
        <v>182.57058939160001</v>
      </c>
      <c r="F30" s="32">
        <v>182.57058939160001</v>
      </c>
      <c r="G30" s="32">
        <v>182.57058939160001</v>
      </c>
      <c r="H30" s="32">
        <v>182.57058939160001</v>
      </c>
      <c r="I30" s="32">
        <v>182.57058939160001</v>
      </c>
      <c r="J30" s="32">
        <v>182.57058939160001</v>
      </c>
      <c r="K30" s="32">
        <v>182.57058939160001</v>
      </c>
      <c r="L30" s="32">
        <v>182.57058939160001</v>
      </c>
      <c r="M30" s="32">
        <v>182.57058939160001</v>
      </c>
      <c r="N30" s="32">
        <v>182.57058939160001</v>
      </c>
      <c r="O30" s="32">
        <v>182.57058939160001</v>
      </c>
      <c r="P30" s="32">
        <v>182.57058939160001</v>
      </c>
      <c r="Q30" s="32">
        <v>182.57058939160001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spans="2:36">
      <c r="B31" s="31" t="s">
        <v>179</v>
      </c>
      <c r="C31" s="32"/>
      <c r="D31" s="32">
        <v>105.8322231497</v>
      </c>
      <c r="E31" s="32">
        <v>131.25409010749999</v>
      </c>
      <c r="F31" s="32">
        <v>132.1107382026</v>
      </c>
      <c r="G31" s="32">
        <v>163.39774929640001</v>
      </c>
      <c r="H31" s="32">
        <v>163.39774929640001</v>
      </c>
      <c r="I31" s="32">
        <v>175.05089951010001</v>
      </c>
      <c r="J31" s="32">
        <v>201.95984179120001</v>
      </c>
      <c r="K31" s="32">
        <v>213.86086694779999</v>
      </c>
      <c r="L31" s="32">
        <v>281.64296969439999</v>
      </c>
      <c r="M31" s="32">
        <v>294.2878857677</v>
      </c>
      <c r="N31" s="32">
        <v>306.63468210119999</v>
      </c>
      <c r="O31" s="32">
        <v>447.94619134959999</v>
      </c>
      <c r="P31" s="32">
        <v>726.73586032779997</v>
      </c>
      <c r="Q31" s="32">
        <v>807.96876862040006</v>
      </c>
      <c r="R31" s="32">
        <v>972.84492243420004</v>
      </c>
      <c r="S31" s="32">
        <v>1009.5354421236</v>
      </c>
      <c r="T31" s="32">
        <v>1043.2630052226</v>
      </c>
      <c r="U31" s="32">
        <v>1076.143829719</v>
      </c>
      <c r="V31" s="32">
        <v>1110.1902032108001</v>
      </c>
      <c r="W31" s="32">
        <v>1143.2335709096001</v>
      </c>
      <c r="X31" s="32">
        <v>1197.9852140989001</v>
      </c>
      <c r="Y31" s="32">
        <v>1253.4200617392</v>
      </c>
      <c r="Z31" s="32">
        <v>1308.3958704930999</v>
      </c>
      <c r="AA31" s="32">
        <v>1365.4772353549999</v>
      </c>
      <c r="AB31" s="32">
        <v>1420.6385901793999</v>
      </c>
      <c r="AC31" s="32">
        <v>1489.3587181400001</v>
      </c>
      <c r="AD31" s="32">
        <v>1562.3528010145001</v>
      </c>
      <c r="AE31" s="32">
        <v>1639.5326993727999</v>
      </c>
      <c r="AF31" s="32">
        <v>1710.4955473325999</v>
      </c>
      <c r="AG31" s="32">
        <v>1785.7608675234001</v>
      </c>
      <c r="AH31" s="32">
        <v>1874.2075835221001</v>
      </c>
      <c r="AI31" s="32">
        <v>1959.6347487180001</v>
      </c>
      <c r="AJ31" s="32">
        <v>2044.1665453947001</v>
      </c>
    </row>
    <row r="32" spans="2:36">
      <c r="B32" s="31" t="s">
        <v>180</v>
      </c>
      <c r="C32" s="32">
        <v>599.26102125039995</v>
      </c>
      <c r="D32" s="32">
        <v>599.26102125039995</v>
      </c>
      <c r="E32" s="32">
        <v>599.26102125039995</v>
      </c>
      <c r="F32" s="32">
        <v>599.26102125039995</v>
      </c>
      <c r="G32" s="32">
        <v>599.26102125039995</v>
      </c>
      <c r="H32" s="32">
        <v>599.26102125039995</v>
      </c>
      <c r="I32" s="32">
        <v>599.26102125039995</v>
      </c>
      <c r="J32" s="32">
        <v>599.26102125039995</v>
      </c>
      <c r="K32" s="32">
        <v>599.26102125039995</v>
      </c>
      <c r="L32" s="32">
        <v>599.26102125039995</v>
      </c>
      <c r="M32" s="32">
        <v>599.26102125039995</v>
      </c>
      <c r="N32" s="32">
        <v>599.26102125039995</v>
      </c>
      <c r="O32" s="32">
        <v>599.26102125039995</v>
      </c>
      <c r="P32" s="32">
        <v>599.26102125039995</v>
      </c>
      <c r="Q32" s="32">
        <v>599.26102125039995</v>
      </c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31" t="s">
        <v>181</v>
      </c>
      <c r="C33" s="32">
        <v>3421.7516000000001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 spans="2:36">
      <c r="B34" s="31" t="s">
        <v>183</v>
      </c>
      <c r="C34" s="32"/>
      <c r="D34" s="32"/>
      <c r="E34" s="32"/>
      <c r="F34" s="32"/>
      <c r="G34" s="32"/>
      <c r="H34" s="32"/>
      <c r="I34" s="32">
        <v>58.770346516799997</v>
      </c>
      <c r="J34" s="32">
        <v>117.5373834669</v>
      </c>
      <c r="K34" s="32">
        <v>176.3077299837</v>
      </c>
      <c r="L34" s="32">
        <v>235.07476693390001</v>
      </c>
      <c r="M34" s="32">
        <v>293.84511345070001</v>
      </c>
      <c r="N34" s="32">
        <v>352.61215040079998</v>
      </c>
      <c r="O34" s="32">
        <v>411.38249691760001</v>
      </c>
      <c r="P34" s="32">
        <v>468.59962495140002</v>
      </c>
      <c r="Q34" s="32">
        <v>525.45753771349996</v>
      </c>
      <c r="R34" s="32">
        <v>581.74099278040001</v>
      </c>
      <c r="S34" s="32">
        <v>638.37918783470002</v>
      </c>
      <c r="T34" s="32">
        <v>695.01430110629997</v>
      </c>
      <c r="U34" s="32">
        <v>759.56036397870002</v>
      </c>
      <c r="V34" s="32">
        <v>816.57583623120001</v>
      </c>
      <c r="W34" s="32">
        <v>918.08634174949998</v>
      </c>
      <c r="X34" s="32">
        <v>931.50522758709997</v>
      </c>
      <c r="Y34" s="32">
        <v>944.45712955149997</v>
      </c>
      <c r="Z34" s="32">
        <v>957.39904921979996</v>
      </c>
      <c r="AA34" s="32">
        <v>970.32793160740005</v>
      </c>
      <c r="AB34" s="32">
        <v>983.23366042750001</v>
      </c>
      <c r="AC34" s="32">
        <v>995.26812907999999</v>
      </c>
      <c r="AD34" s="32">
        <v>1007.2960991907</v>
      </c>
      <c r="AE34" s="32">
        <v>1019.3216172742</v>
      </c>
      <c r="AF34" s="32">
        <v>1031.335772959</v>
      </c>
      <c r="AG34" s="32">
        <v>1032.3815558210999</v>
      </c>
      <c r="AH34" s="32">
        <v>1037.9885780712</v>
      </c>
      <c r="AI34" s="32">
        <v>1041.8202924980001</v>
      </c>
      <c r="AJ34" s="32">
        <v>1021.8434534602</v>
      </c>
    </row>
    <row r="35" spans="2:36">
      <c r="B35" s="31" t="s">
        <v>184</v>
      </c>
      <c r="C35" s="32">
        <v>4.7691083948999999</v>
      </c>
      <c r="D35" s="32">
        <v>23.474642517900001</v>
      </c>
      <c r="E35" s="32">
        <v>40.262561397500001</v>
      </c>
      <c r="F35" s="32">
        <v>55.814060059799999</v>
      </c>
      <c r="G35" s="32">
        <v>77.135002852300005</v>
      </c>
      <c r="H35" s="32">
        <v>91.661749890799996</v>
      </c>
      <c r="I35" s="32">
        <v>99.828024978599998</v>
      </c>
      <c r="J35" s="32">
        <v>104.28424114969999</v>
      </c>
      <c r="K35" s="32">
        <v>108.8191919084</v>
      </c>
      <c r="L35" s="32">
        <v>113.6916159374</v>
      </c>
      <c r="M35" s="32">
        <v>113.6916159374</v>
      </c>
      <c r="N35" s="32">
        <v>118.9987914208</v>
      </c>
      <c r="O35" s="32">
        <v>125.9100384666</v>
      </c>
      <c r="P35" s="32">
        <v>127.143843679</v>
      </c>
      <c r="Q35" s="32">
        <v>127.143843679</v>
      </c>
      <c r="R35" s="32">
        <v>122.3747352841</v>
      </c>
      <c r="S35" s="32">
        <v>103.669201161</v>
      </c>
      <c r="T35" s="32">
        <v>86.881282281400004</v>
      </c>
      <c r="U35" s="32">
        <v>74.172101314599999</v>
      </c>
      <c r="V35" s="32">
        <v>57.7655694376</v>
      </c>
      <c r="W35" s="32">
        <v>51.730881226299999</v>
      </c>
      <c r="X35" s="32">
        <v>50.202387894799998</v>
      </c>
      <c r="Y35" s="32">
        <v>48.327851416999998</v>
      </c>
      <c r="Z35" s="32">
        <v>46.7903477877</v>
      </c>
      <c r="AA35" s="32">
        <v>45.252844158400002</v>
      </c>
      <c r="AB35" s="32">
        <v>45.252844158400002</v>
      </c>
      <c r="AC35" s="32">
        <v>42.067437813600002</v>
      </c>
      <c r="AD35" s="32">
        <v>39.731752094599997</v>
      </c>
      <c r="AE35" s="32">
        <v>38.497946882199997</v>
      </c>
      <c r="AF35" s="32">
        <v>38.497946882199997</v>
      </c>
      <c r="AG35" s="32">
        <v>38.497946882199997</v>
      </c>
      <c r="AH35" s="32">
        <v>38.502864926599997</v>
      </c>
      <c r="AI35" s="32">
        <v>39.342272339899999</v>
      </c>
      <c r="AJ35" s="32">
        <v>45.771963930399998</v>
      </c>
    </row>
    <row r="36" spans="2:36">
      <c r="B36" s="31" t="s">
        <v>186</v>
      </c>
      <c r="C36" s="32"/>
      <c r="D36" s="32">
        <v>104.7431021905</v>
      </c>
      <c r="E36" s="32">
        <v>212.20702417460001</v>
      </c>
      <c r="F36" s="32">
        <v>319.67094615870002</v>
      </c>
      <c r="G36" s="32">
        <v>421.59163379810002</v>
      </c>
      <c r="H36" s="32">
        <v>528.65793465729996</v>
      </c>
      <c r="I36" s="32">
        <v>651.38586140999996</v>
      </c>
      <c r="J36" s="32">
        <v>771.87263562880003</v>
      </c>
      <c r="K36" s="32">
        <v>885.85312689800003</v>
      </c>
      <c r="L36" s="32">
        <v>1004.925392432</v>
      </c>
      <c r="M36" s="32">
        <v>1127.3526387473</v>
      </c>
      <c r="N36" s="32">
        <v>1271.5447315690001</v>
      </c>
      <c r="O36" s="32">
        <v>1410.2956127642001</v>
      </c>
      <c r="P36" s="32">
        <v>1553.0457845049</v>
      </c>
      <c r="Q36" s="32">
        <v>1693.2004982997</v>
      </c>
      <c r="R36" s="32">
        <v>1829.8513469244001</v>
      </c>
      <c r="S36" s="32">
        <v>1988.5368864131999</v>
      </c>
      <c r="T36" s="32">
        <v>2147.5794289935002</v>
      </c>
      <c r="U36" s="32">
        <v>2300.2602704819001</v>
      </c>
      <c r="V36" s="32">
        <v>2492.7161931915998</v>
      </c>
      <c r="W36" s="32">
        <v>2492.7161931915998</v>
      </c>
      <c r="X36" s="32">
        <v>2660.0334125002</v>
      </c>
      <c r="Y36" s="32">
        <v>2798.6482481203998</v>
      </c>
      <c r="Z36" s="32">
        <v>2913.7570495134</v>
      </c>
      <c r="AA36" s="32">
        <v>3008.1851734586999</v>
      </c>
      <c r="AB36" s="32">
        <v>3081.4027819739999</v>
      </c>
      <c r="AC36" s="32">
        <v>3166.7153403722</v>
      </c>
      <c r="AD36" s="32">
        <v>3232.7420820368002</v>
      </c>
      <c r="AE36" s="32">
        <v>3284.0212449398</v>
      </c>
      <c r="AF36" s="32">
        <v>3467.6864470219002</v>
      </c>
      <c r="AG36" s="32">
        <v>3345.2592007067001</v>
      </c>
      <c r="AH36" s="32">
        <v>3201.0671078849</v>
      </c>
      <c r="AI36" s="32">
        <v>3062.3162266897002</v>
      </c>
      <c r="AJ36" s="32">
        <v>2919.5660549489999</v>
      </c>
    </row>
    <row r="37" spans="2:36">
      <c r="B37" s="31" t="s">
        <v>189</v>
      </c>
      <c r="C37" s="32">
        <v>1.0915385600000001E-2</v>
      </c>
      <c r="D37" s="32">
        <v>21.273617859400002</v>
      </c>
      <c r="E37" s="32">
        <v>33.363733296299998</v>
      </c>
      <c r="F37" s="32">
        <v>55.035065872300002</v>
      </c>
      <c r="G37" s="32">
        <v>67.338493844799999</v>
      </c>
      <c r="H37" s="32">
        <v>89.412264970999999</v>
      </c>
      <c r="I37" s="32">
        <v>101.7476867403</v>
      </c>
      <c r="J37" s="32">
        <v>123.9228537818</v>
      </c>
      <c r="K37" s="32">
        <v>136.46817163279999</v>
      </c>
      <c r="L37" s="32">
        <v>158.90768834619999</v>
      </c>
      <c r="M37" s="32">
        <v>171.93557724479999</v>
      </c>
      <c r="N37" s="32">
        <v>197.06590301559999</v>
      </c>
      <c r="O37" s="32">
        <v>211.04643990139999</v>
      </c>
      <c r="P37" s="32">
        <v>235.98887303449999</v>
      </c>
      <c r="Q37" s="32">
        <v>239.53290756679999</v>
      </c>
      <c r="R37" s="32">
        <v>243.76521574680001</v>
      </c>
      <c r="S37" s="32">
        <v>246.91431066050001</v>
      </c>
      <c r="T37" s="32">
        <v>250.6695856552</v>
      </c>
      <c r="U37" s="32">
        <v>253.7815312566</v>
      </c>
      <c r="V37" s="32">
        <v>257.37490086499997</v>
      </c>
      <c r="W37" s="32">
        <v>260.09369524430002</v>
      </c>
      <c r="X37" s="32">
        <v>263.340732618</v>
      </c>
      <c r="Y37" s="32">
        <v>266.04536783039998</v>
      </c>
      <c r="Z37" s="32">
        <v>269.27370721019997</v>
      </c>
      <c r="AA37" s="32">
        <v>271.78282751569998</v>
      </c>
      <c r="AB37" s="32">
        <v>274.51254961439997</v>
      </c>
      <c r="AC37" s="32">
        <v>276.71957891469998</v>
      </c>
      <c r="AD37" s="32">
        <v>279.07102431679999</v>
      </c>
      <c r="AE37" s="32">
        <v>281.25835658800003</v>
      </c>
      <c r="AF37" s="32">
        <v>283.62343080480002</v>
      </c>
      <c r="AG37" s="32">
        <v>285.8479123884</v>
      </c>
      <c r="AH37" s="32">
        <v>288.59173198500002</v>
      </c>
      <c r="AI37" s="32">
        <v>290.76977692809999</v>
      </c>
      <c r="AJ37" s="32">
        <v>293.25554940889998</v>
      </c>
    </row>
    <row r="38" spans="2:36">
      <c r="B38" s="31" t="s">
        <v>192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>
        <v>78.474766230200004</v>
      </c>
      <c r="AH38" s="32">
        <v>140.38225577029999</v>
      </c>
      <c r="AI38" s="32">
        <v>214.3418535248</v>
      </c>
      <c r="AJ38" s="32">
        <v>450.22562234809999</v>
      </c>
    </row>
    <row r="39" spans="2:36">
      <c r="B39" s="31" t="s">
        <v>194</v>
      </c>
      <c r="C39" s="32">
        <v>47.200132826400001</v>
      </c>
      <c r="D39" s="32">
        <v>181.407875612</v>
      </c>
      <c r="E39" s="32">
        <v>316.13176532189999</v>
      </c>
      <c r="F39" s="32">
        <v>450.07283265540002</v>
      </c>
      <c r="G39" s="32">
        <v>585.70605592840002</v>
      </c>
      <c r="H39" s="32">
        <v>721.71825305909999</v>
      </c>
      <c r="I39" s="32">
        <v>861.06809569990003</v>
      </c>
      <c r="J39" s="32">
        <v>999.47156346179997</v>
      </c>
      <c r="K39" s="32">
        <v>1139.4647340219999</v>
      </c>
      <c r="L39" s="32">
        <v>1279.7513631902</v>
      </c>
      <c r="M39" s="32">
        <v>1422.0320024482</v>
      </c>
      <c r="N39" s="32">
        <v>1562.7687703105</v>
      </c>
      <c r="O39" s="32">
        <v>1704.9185400402</v>
      </c>
      <c r="P39" s="32">
        <v>1847.1370614614</v>
      </c>
      <c r="Q39" s="32">
        <v>1905.0929298556</v>
      </c>
      <c r="R39" s="32">
        <v>1965.2254366151999</v>
      </c>
      <c r="S39" s="32">
        <v>2027.0755428537</v>
      </c>
      <c r="T39" s="32">
        <v>2088.5076703712998</v>
      </c>
      <c r="U39" s="32">
        <v>2149.5139558022001</v>
      </c>
      <c r="V39" s="32">
        <v>2210.2368389247999</v>
      </c>
      <c r="W39" s="32">
        <v>2270.9176067045</v>
      </c>
      <c r="X39" s="32">
        <v>2325.3193714069998</v>
      </c>
      <c r="Y39" s="32">
        <v>2379.4242275299998</v>
      </c>
      <c r="Z39" s="32">
        <v>2433.2772907905</v>
      </c>
      <c r="AA39" s="32">
        <v>2486.9086016312999</v>
      </c>
      <c r="AB39" s="32">
        <v>2538.590651081</v>
      </c>
      <c r="AC39" s="32">
        <v>2580.9132216231001</v>
      </c>
      <c r="AD39" s="32">
        <v>2623.1631776067002</v>
      </c>
      <c r="AE39" s="32">
        <v>2665.3753765890001</v>
      </c>
      <c r="AF39" s="32">
        <v>2706.9712510189001</v>
      </c>
      <c r="AG39" s="32">
        <v>2675.1666708050998</v>
      </c>
      <c r="AH39" s="32">
        <v>2650.6193624324001</v>
      </c>
      <c r="AI39" s="32">
        <v>2614.1837736114999</v>
      </c>
      <c r="AJ39" s="32">
        <v>2419.2364208470999</v>
      </c>
    </row>
    <row r="40" spans="2:36">
      <c r="B40" s="31" t="s">
        <v>197</v>
      </c>
      <c r="C40" s="32">
        <v>2.3232139529000002</v>
      </c>
      <c r="D40" s="32">
        <v>2.3232139529000002</v>
      </c>
      <c r="E40" s="32">
        <v>2.3232139529000002</v>
      </c>
      <c r="F40" s="32">
        <v>2.3232139529000002</v>
      </c>
      <c r="G40" s="32">
        <v>2.3232139529000002</v>
      </c>
      <c r="H40" s="32">
        <v>2.3232139529000002</v>
      </c>
      <c r="I40" s="32">
        <v>2.3232139529000002</v>
      </c>
      <c r="J40" s="32">
        <v>2.3232139529000002</v>
      </c>
      <c r="K40" s="32">
        <v>2.3232139529000002</v>
      </c>
      <c r="L40" s="32">
        <v>2.3232139529000002</v>
      </c>
      <c r="M40" s="32">
        <v>2.3232139529000002</v>
      </c>
      <c r="N40" s="32">
        <v>2.3232139529000002</v>
      </c>
      <c r="O40" s="32">
        <v>2.3232139529000002</v>
      </c>
      <c r="P40" s="32">
        <v>2.3232139529000002</v>
      </c>
      <c r="Q40" s="32">
        <v>2.3232139529000002</v>
      </c>
      <c r="R40" s="32">
        <v>2.3232139529000002</v>
      </c>
      <c r="S40" s="32">
        <v>2.3232139529000002</v>
      </c>
      <c r="T40" s="32">
        <v>2.3232139529000002</v>
      </c>
      <c r="U40" s="32">
        <v>2.3232139529000002</v>
      </c>
      <c r="V40" s="32">
        <v>2.3232139529000002</v>
      </c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 spans="2:36">
      <c r="B41" s="31" t="s">
        <v>199</v>
      </c>
      <c r="C41" s="32"/>
      <c r="D41" s="32"/>
      <c r="E41" s="32">
        <v>1.2227441858000001</v>
      </c>
      <c r="F41" s="32">
        <v>1.2227441858000001</v>
      </c>
      <c r="G41" s="32">
        <v>2.4454883715000002</v>
      </c>
      <c r="H41" s="32">
        <v>2.6163286606999998</v>
      </c>
      <c r="I41" s="32">
        <v>3.8390728465000001</v>
      </c>
      <c r="J41" s="32">
        <v>5.0618170322999996</v>
      </c>
      <c r="K41" s="32">
        <v>5.0618170322999996</v>
      </c>
      <c r="L41" s="32">
        <v>6.3982917115999998</v>
      </c>
      <c r="M41" s="32">
        <v>7.6210358973999996</v>
      </c>
      <c r="N41" s="32">
        <v>8.8437800831000004</v>
      </c>
      <c r="O41" s="32">
        <v>8.8437800831000004</v>
      </c>
      <c r="P41" s="32">
        <v>10.0665242689</v>
      </c>
      <c r="Q41" s="32">
        <v>11.4515648189</v>
      </c>
      <c r="R41" s="32">
        <v>12.6743090046</v>
      </c>
      <c r="S41" s="32">
        <v>14.899611716900001</v>
      </c>
      <c r="T41" s="32">
        <v>16.121270717200002</v>
      </c>
      <c r="U41" s="32">
        <v>16.6714750322</v>
      </c>
      <c r="V41" s="32">
        <v>19.113707847299999</v>
      </c>
      <c r="W41" s="32">
        <v>22.009380059400002</v>
      </c>
      <c r="X41" s="32">
        <v>23.232124245200001</v>
      </c>
      <c r="Y41" s="32">
        <v>25.677612616699999</v>
      </c>
      <c r="Z41" s="32">
        <v>28.123100988200001</v>
      </c>
      <c r="AA41" s="32">
        <v>29.345845174000001</v>
      </c>
      <c r="AB41" s="32">
        <v>31.791333545499999</v>
      </c>
      <c r="AC41" s="32">
        <v>34.236821917100002</v>
      </c>
      <c r="AD41" s="32">
        <v>36.6823102886</v>
      </c>
      <c r="AE41" s="32">
        <v>39.127798660099998</v>
      </c>
      <c r="AF41" s="32">
        <v>41.573287031600003</v>
      </c>
      <c r="AG41" s="32">
        <v>44.018775403200003</v>
      </c>
      <c r="AH41" s="32">
        <v>47.687007960499997</v>
      </c>
      <c r="AI41" s="32">
        <v>50.132496332000002</v>
      </c>
      <c r="AJ41" s="32">
        <v>53.800728889299997</v>
      </c>
    </row>
    <row r="42" spans="2:36">
      <c r="B42" s="31" t="s">
        <v>200</v>
      </c>
      <c r="C42" s="32">
        <v>2.3232139529000002</v>
      </c>
      <c r="D42" s="32">
        <v>2.3232139529000002</v>
      </c>
      <c r="E42" s="32">
        <v>2.3232139529000002</v>
      </c>
      <c r="F42" s="32">
        <v>2.3232139529000002</v>
      </c>
      <c r="G42" s="32">
        <v>2.3232139529000002</v>
      </c>
      <c r="H42" s="32">
        <v>2.3232139529000002</v>
      </c>
      <c r="I42" s="32">
        <v>2.3232139529000002</v>
      </c>
      <c r="J42" s="32">
        <v>2.3232139529000002</v>
      </c>
      <c r="K42" s="32">
        <v>2.3232139529000002</v>
      </c>
      <c r="L42" s="32">
        <v>2.3232139529000002</v>
      </c>
      <c r="M42" s="32">
        <v>2.3232139529000002</v>
      </c>
      <c r="N42" s="32">
        <v>2.3232139529000002</v>
      </c>
      <c r="O42" s="32">
        <v>2.3232139529000002</v>
      </c>
      <c r="P42" s="32">
        <v>2.3232139529000002</v>
      </c>
      <c r="Q42" s="32">
        <v>2.3232139529000002</v>
      </c>
      <c r="R42" s="32">
        <v>2.3232139529000002</v>
      </c>
      <c r="S42" s="32">
        <v>2.3232139529000002</v>
      </c>
      <c r="T42" s="32">
        <v>2.3232139529000002</v>
      </c>
      <c r="U42" s="32">
        <v>2.3232139529000002</v>
      </c>
      <c r="V42" s="32">
        <v>2.3232139529000002</v>
      </c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 spans="2:36">
      <c r="B43" s="31" t="s">
        <v>202</v>
      </c>
      <c r="C43" s="32"/>
      <c r="D43" s="32"/>
      <c r="E43" s="32">
        <v>1.2227441858000001</v>
      </c>
      <c r="F43" s="32">
        <v>1.2227441858000001</v>
      </c>
      <c r="G43" s="32">
        <v>2.4454883715000002</v>
      </c>
      <c r="H43" s="32">
        <v>2.6163286606999998</v>
      </c>
      <c r="I43" s="32">
        <v>3.8390728465000001</v>
      </c>
      <c r="J43" s="32">
        <v>3.8390728465000001</v>
      </c>
      <c r="K43" s="32">
        <v>5.0618170322999996</v>
      </c>
      <c r="L43" s="32">
        <v>5.1755475257999999</v>
      </c>
      <c r="M43" s="32">
        <v>6.3982917115999998</v>
      </c>
      <c r="N43" s="32">
        <v>7.6210358973999996</v>
      </c>
      <c r="O43" s="32">
        <v>7.6210358973999996</v>
      </c>
      <c r="P43" s="32">
        <v>8.8437800831000004</v>
      </c>
      <c r="Q43" s="32">
        <v>10.2288206331</v>
      </c>
      <c r="R43" s="32">
        <v>11.4515648189</v>
      </c>
      <c r="S43" s="32">
        <v>13.676867531099999</v>
      </c>
      <c r="T43" s="32">
        <v>14.8985265314</v>
      </c>
      <c r="U43" s="32">
        <v>15.4487308464</v>
      </c>
      <c r="V43" s="32">
        <v>16.668219475800001</v>
      </c>
      <c r="W43" s="32">
        <v>19.5638916879</v>
      </c>
      <c r="X43" s="32">
        <v>22.009380059400002</v>
      </c>
      <c r="Y43" s="32">
        <v>23.232124245200001</v>
      </c>
      <c r="Z43" s="32">
        <v>24.454868431000001</v>
      </c>
      <c r="AA43" s="32">
        <v>26.900356802499999</v>
      </c>
      <c r="AB43" s="32">
        <v>28.123100988200001</v>
      </c>
      <c r="AC43" s="32">
        <v>30.568589359800001</v>
      </c>
      <c r="AD43" s="32">
        <v>33.014077731299999</v>
      </c>
      <c r="AE43" s="32">
        <v>35.459566102799997</v>
      </c>
      <c r="AF43" s="32">
        <v>37.905054474300002</v>
      </c>
      <c r="AG43" s="32">
        <v>40.350542845900002</v>
      </c>
      <c r="AH43" s="32">
        <v>42.796031217399999</v>
      </c>
      <c r="AI43" s="32">
        <v>45.241519588899997</v>
      </c>
      <c r="AJ43" s="32">
        <v>48.909752146199999</v>
      </c>
    </row>
    <row r="44" spans="2:36">
      <c r="B44" s="31" t="s">
        <v>204</v>
      </c>
      <c r="C44" s="32"/>
      <c r="D44" s="32">
        <v>1602006.2652505341</v>
      </c>
      <c r="E44" s="32">
        <v>3204412.3678498128</v>
      </c>
      <c r="F44" s="32">
        <v>4806787.9018444484</v>
      </c>
      <c r="G44" s="32">
        <v>6407561.0295836395</v>
      </c>
      <c r="H44" s="32">
        <v>8004007.7062860439</v>
      </c>
      <c r="I44" s="32">
        <v>9725532.4775611833</v>
      </c>
      <c r="J44" s="32">
        <v>11437407.35172228</v>
      </c>
      <c r="K44" s="32">
        <v>13132163.501596652</v>
      </c>
      <c r="L44" s="32">
        <v>14805349.985505097</v>
      </c>
      <c r="M44" s="32">
        <v>16544764.497697596</v>
      </c>
      <c r="N44" s="32">
        <v>18362006.677313909</v>
      </c>
      <c r="O44" s="32">
        <v>20179218.288325574</v>
      </c>
      <c r="P44" s="32">
        <v>21978288.043853082</v>
      </c>
      <c r="Q44" s="32">
        <v>23741646.485534213</v>
      </c>
      <c r="R44" s="32">
        <v>25463817.9356406</v>
      </c>
      <c r="S44" s="32">
        <v>27229196.350716613</v>
      </c>
      <c r="T44" s="32">
        <v>28931498.437068883</v>
      </c>
      <c r="U44" s="32">
        <v>30565708.498047411</v>
      </c>
      <c r="V44" s="32">
        <v>32602490.193034321</v>
      </c>
      <c r="W44" s="32">
        <v>32602490.193034321</v>
      </c>
      <c r="X44" s="32">
        <v>33952430.113456689</v>
      </c>
      <c r="Y44" s="32">
        <v>35007162.905110314</v>
      </c>
      <c r="Z44" s="32">
        <v>35796162.816593021</v>
      </c>
      <c r="AA44" s="32">
        <v>36347627.627994187</v>
      </c>
      <c r="AB44" s="32">
        <v>36688215.149522752</v>
      </c>
      <c r="AC44" s="32">
        <v>36842619.769911364</v>
      </c>
      <c r="AD44" s="32">
        <v>36820689.62367516</v>
      </c>
      <c r="AE44" s="32">
        <v>36646898.394221283</v>
      </c>
      <c r="AF44" s="32">
        <v>37711435.530863918</v>
      </c>
      <c r="AG44" s="32">
        <v>35972021.018671416</v>
      </c>
      <c r="AH44" s="32">
        <v>34154778.839055106</v>
      </c>
      <c r="AI44" s="32">
        <v>32337567.228043441</v>
      </c>
      <c r="AJ44" s="32">
        <v>30538497.472515933</v>
      </c>
    </row>
    <row r="45" spans="2:36">
      <c r="B45" s="31" t="s">
        <v>207</v>
      </c>
      <c r="C45" s="32">
        <v>24.9622683686</v>
      </c>
      <c r="D45" s="32">
        <v>91.317431730300001</v>
      </c>
      <c r="E45" s="32">
        <v>158.89241690950001</v>
      </c>
      <c r="F45" s="32">
        <v>227.5930745526</v>
      </c>
      <c r="G45" s="32">
        <v>297.33362332180002</v>
      </c>
      <c r="H45" s="32">
        <v>368.03571399859999</v>
      </c>
      <c r="I45" s="32">
        <v>446.97959376569997</v>
      </c>
      <c r="J45" s="32">
        <v>520.98412372810003</v>
      </c>
      <c r="K45" s="32">
        <v>601.60613933809998</v>
      </c>
      <c r="L45" s="32">
        <v>683.00855500420005</v>
      </c>
      <c r="M45" s="32">
        <v>769.23304897230003</v>
      </c>
      <c r="N45" s="32">
        <v>864.31159185640001</v>
      </c>
      <c r="O45" s="32">
        <v>959.64848805400004</v>
      </c>
      <c r="P45" s="32">
        <v>1055.3092227943</v>
      </c>
      <c r="Q45" s="32">
        <v>1106.9737104213</v>
      </c>
      <c r="R45" s="32">
        <v>1164.4692003125999</v>
      </c>
      <c r="S45" s="32">
        <v>1241.4644884969</v>
      </c>
      <c r="T45" s="32">
        <v>1317.5567741827001</v>
      </c>
      <c r="U45" s="32">
        <v>1392.9784441431</v>
      </c>
      <c r="V45" s="32">
        <v>1467.7143772265999</v>
      </c>
      <c r="W45" s="32">
        <v>1542.7188208534001</v>
      </c>
      <c r="X45" s="32">
        <v>1628.8011319560001</v>
      </c>
      <c r="Y45" s="32">
        <v>1713.5897679960001</v>
      </c>
      <c r="Z45" s="32">
        <v>1798.576557183</v>
      </c>
      <c r="AA45" s="32">
        <v>1883.0658990249999</v>
      </c>
      <c r="AB45" s="32">
        <v>1962.9878181695999</v>
      </c>
      <c r="AC45" s="32">
        <v>2049.9081511916002</v>
      </c>
      <c r="AD45" s="32">
        <v>2136.7138735931999</v>
      </c>
      <c r="AE45" s="32">
        <v>2223.4807287632998</v>
      </c>
      <c r="AF45" s="32">
        <v>2308.3841681082999</v>
      </c>
      <c r="AG45" s="32">
        <v>2395.7723851562</v>
      </c>
      <c r="AH45" s="32">
        <v>2486.1155944988</v>
      </c>
      <c r="AI45" s="32">
        <v>2576.1419845224</v>
      </c>
      <c r="AJ45" s="32">
        <v>2665.7961262977001</v>
      </c>
    </row>
    <row r="46" spans="2:36">
      <c r="B46" s="31" t="s">
        <v>212</v>
      </c>
      <c r="C46" s="32"/>
      <c r="D46" s="32">
        <v>173.67996710829999</v>
      </c>
      <c r="E46" s="32">
        <v>349.43166041839999</v>
      </c>
      <c r="F46" s="32">
        <v>523.87773222240003</v>
      </c>
      <c r="G46" s="32">
        <v>700.29704088380004</v>
      </c>
      <c r="H46" s="32">
        <v>875.4270603507</v>
      </c>
      <c r="I46" s="32">
        <v>1070.0536116482001</v>
      </c>
      <c r="J46" s="32">
        <v>1265.0144248065001</v>
      </c>
      <c r="K46" s="32">
        <v>1458.7169709868001</v>
      </c>
      <c r="L46" s="32">
        <v>1654.2965493688</v>
      </c>
      <c r="M46" s="32">
        <v>1849.3856354014999</v>
      </c>
      <c r="N46" s="32">
        <v>2065.1210113006</v>
      </c>
      <c r="O46" s="32">
        <v>2279.5093935626001</v>
      </c>
      <c r="P46" s="32">
        <v>2495.7794141052</v>
      </c>
      <c r="Q46" s="32">
        <v>2609.7392928486001</v>
      </c>
      <c r="R46" s="32">
        <v>2723.7484437905</v>
      </c>
      <c r="S46" s="32">
        <v>2867.9538367967002</v>
      </c>
      <c r="T46" s="32">
        <v>3012.0238826520999</v>
      </c>
      <c r="U46" s="32">
        <v>3155.9917414544002</v>
      </c>
      <c r="V46" s="32">
        <v>3299.8218858382002</v>
      </c>
      <c r="W46" s="32">
        <v>3444.3757901883</v>
      </c>
      <c r="X46" s="32">
        <v>3612.2873866947002</v>
      </c>
      <c r="Y46" s="32">
        <v>3779.9972057489999</v>
      </c>
      <c r="Z46" s="32">
        <v>3947.5889917376999</v>
      </c>
      <c r="AA46" s="32">
        <v>4115.0684059173</v>
      </c>
      <c r="AB46" s="32">
        <v>4281.5083326908998</v>
      </c>
      <c r="AC46" s="32">
        <v>4462.5903695108</v>
      </c>
      <c r="AD46" s="32">
        <v>4643.5918183009999</v>
      </c>
      <c r="AE46" s="32">
        <v>4824.4944015531</v>
      </c>
      <c r="AF46" s="32">
        <v>5004.1387820555001</v>
      </c>
      <c r="AG46" s="32">
        <v>5184.2818944666997</v>
      </c>
      <c r="AH46" s="32">
        <v>5368.5962242113001</v>
      </c>
      <c r="AI46" s="32">
        <v>5552.6014144935998</v>
      </c>
      <c r="AJ46" s="32">
        <v>5736.3385346546002</v>
      </c>
    </row>
    <row r="47" spans="2:36">
      <c r="B47" s="31" t="s">
        <v>217</v>
      </c>
      <c r="C47" s="32"/>
      <c r="D47" s="32">
        <v>23.256165736</v>
      </c>
      <c r="E47" s="32">
        <v>48.181695578999999</v>
      </c>
      <c r="F47" s="32">
        <v>71.540479614500001</v>
      </c>
      <c r="G47" s="32">
        <v>96.568930546999994</v>
      </c>
      <c r="H47" s="32">
        <v>120.0193039839</v>
      </c>
      <c r="I47" s="32">
        <v>147.57016116419999</v>
      </c>
      <c r="J47" s="32">
        <v>173.51267101970001</v>
      </c>
      <c r="K47" s="32">
        <v>201.15577823429999</v>
      </c>
      <c r="L47" s="32">
        <v>227.18061945619999</v>
      </c>
      <c r="M47" s="32">
        <v>255.0056943134</v>
      </c>
      <c r="N47" s="32">
        <v>283.82013106070002</v>
      </c>
      <c r="O47" s="32">
        <v>314.29306817510002</v>
      </c>
      <c r="P47" s="32">
        <v>343.17101742860001</v>
      </c>
      <c r="Q47" s="32">
        <v>358.84864190849999</v>
      </c>
      <c r="R47" s="32">
        <v>374.51675144059999</v>
      </c>
      <c r="S47" s="32">
        <v>394.33599323300001</v>
      </c>
      <c r="T47" s="32">
        <v>414.15724445019998</v>
      </c>
      <c r="U47" s="32">
        <v>433.94550990329998</v>
      </c>
      <c r="V47" s="32">
        <v>453.7320044933</v>
      </c>
      <c r="W47" s="32">
        <v>473.60077539700001</v>
      </c>
      <c r="X47" s="32">
        <v>496.6989673077</v>
      </c>
      <c r="Y47" s="32">
        <v>519.73979426769995</v>
      </c>
      <c r="Z47" s="32">
        <v>542.79675167929997</v>
      </c>
      <c r="AA47" s="32">
        <v>565.82428340369995</v>
      </c>
      <c r="AB47" s="32">
        <v>588.71593580060005</v>
      </c>
      <c r="AC47" s="32">
        <v>613.60324069410001</v>
      </c>
      <c r="AD47" s="32">
        <v>638.49532599999998</v>
      </c>
      <c r="AE47" s="32">
        <v>663.37567589790001</v>
      </c>
      <c r="AF47" s="32">
        <v>688.06863545850001</v>
      </c>
      <c r="AG47" s="32">
        <v>712.83821007649999</v>
      </c>
      <c r="AH47" s="32">
        <v>738.18236092229995</v>
      </c>
      <c r="AI47" s="32">
        <v>763.48307515960005</v>
      </c>
      <c r="AJ47" s="32">
        <v>788.73238849259997</v>
      </c>
    </row>
  </sheetData>
  <autoFilter ref="A2:AG46" xr:uid="{EE7FC028-2B0E-4320-9ED3-8D63064B964B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56"/>
  <sheetViews>
    <sheetView zoomScale="70" zoomScaleNormal="70" workbookViewId="0">
      <selection activeCell="A21" sqref="A21:A26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7">
      <c r="A1" t="s">
        <v>22</v>
      </c>
    </row>
    <row r="2" spans="1:37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7">
      <c r="A3" t="s">
        <v>19</v>
      </c>
      <c r="B3" s="29" t="s">
        <v>132</v>
      </c>
      <c r="D3">
        <v>4.5000999999999998</v>
      </c>
      <c r="E3">
        <v>5.2020999999999997</v>
      </c>
      <c r="F3">
        <v>4.7591000000000001</v>
      </c>
      <c r="G3">
        <v>5.0718999999999994</v>
      </c>
      <c r="H3">
        <v>5.2058999999999997</v>
      </c>
    </row>
    <row r="4" spans="1:37">
      <c r="A4" t="s">
        <v>19</v>
      </c>
      <c r="B4" s="29" t="s">
        <v>133</v>
      </c>
      <c r="D4">
        <v>209.44799999999995</v>
      </c>
      <c r="E4">
        <v>223.38679999999997</v>
      </c>
      <c r="F4">
        <v>239.14760000000001</v>
      </c>
      <c r="G4">
        <v>265.5136</v>
      </c>
      <c r="H4">
        <v>285.69220000000007</v>
      </c>
      <c r="I4">
        <v>262.30829999999997</v>
      </c>
      <c r="J4">
        <v>249.99010000000007</v>
      </c>
      <c r="K4">
        <v>232.13009999999997</v>
      </c>
      <c r="L4">
        <v>214.28020000000001</v>
      </c>
      <c r="M4">
        <v>196.41970000000001</v>
      </c>
      <c r="N4">
        <v>33.49</v>
      </c>
      <c r="O4">
        <v>59.004299999999986</v>
      </c>
      <c r="P4">
        <v>85.249399999999994</v>
      </c>
      <c r="Q4">
        <v>113.93119999999998</v>
      </c>
      <c r="R4">
        <v>107.13989999999998</v>
      </c>
      <c r="S4">
        <v>89.279999999999987</v>
      </c>
      <c r="T4">
        <v>71.430300000000017</v>
      </c>
      <c r="U4">
        <v>53.569999999999993</v>
      </c>
      <c r="V4">
        <v>35.709799999999994</v>
      </c>
      <c r="W4">
        <v>17.86</v>
      </c>
    </row>
    <row r="5" spans="1:37">
      <c r="A5" t="s">
        <v>19</v>
      </c>
      <c r="B5" s="29" t="s">
        <v>134</v>
      </c>
      <c r="D5">
        <v>70.199799999999982</v>
      </c>
      <c r="E5">
        <v>68.615899999999996</v>
      </c>
      <c r="F5">
        <v>64.381999999999991</v>
      </c>
      <c r="G5">
        <v>60.004899999999985</v>
      </c>
      <c r="H5">
        <v>64.969099999999983</v>
      </c>
      <c r="I5">
        <v>1.1576</v>
      </c>
      <c r="J5">
        <v>1.62</v>
      </c>
      <c r="T5">
        <v>10.351600000000001</v>
      </c>
      <c r="U5">
        <v>8.9188000000000027</v>
      </c>
      <c r="V5">
        <v>5.0988000000000007</v>
      </c>
      <c r="W5">
        <v>5.0702999999999996</v>
      </c>
      <c r="X5">
        <v>2.5324</v>
      </c>
      <c r="Y5">
        <v>2.5324</v>
      </c>
      <c r="Z5">
        <v>2.528</v>
      </c>
      <c r="AA5">
        <v>2.528</v>
      </c>
      <c r="AB5">
        <v>2.528</v>
      </c>
      <c r="AC5">
        <v>2.528</v>
      </c>
    </row>
    <row r="6" spans="1:37">
      <c r="A6" t="s">
        <v>19</v>
      </c>
      <c r="B6" s="29" t="s">
        <v>135</v>
      </c>
      <c r="D6">
        <v>8.8920999999999992</v>
      </c>
      <c r="E6">
        <v>5.8179999999999996</v>
      </c>
      <c r="F6">
        <v>9.0678000000000001</v>
      </c>
      <c r="G6">
        <v>4.6939000000000002</v>
      </c>
      <c r="H6">
        <v>4.8309999999999995</v>
      </c>
    </row>
    <row r="7" spans="1:37">
      <c r="A7" t="s">
        <v>19</v>
      </c>
      <c r="B7" s="29" t="s">
        <v>138</v>
      </c>
      <c r="D7">
        <v>38.808399999999999</v>
      </c>
      <c r="E7">
        <v>36.058199999999999</v>
      </c>
      <c r="F7">
        <v>37.53029999999999</v>
      </c>
      <c r="G7">
        <v>38.628000000000007</v>
      </c>
      <c r="H7">
        <v>38.839799999999997</v>
      </c>
      <c r="I7">
        <v>39.966599999999993</v>
      </c>
      <c r="J7">
        <v>66.645000000000024</v>
      </c>
      <c r="K7">
        <v>66.645000000000024</v>
      </c>
      <c r="L7">
        <v>66.645000000000024</v>
      </c>
      <c r="M7">
        <v>66.645000000000024</v>
      </c>
      <c r="N7">
        <v>66.645000000000024</v>
      </c>
      <c r="O7">
        <v>66.645000000000024</v>
      </c>
      <c r="P7">
        <v>66.645000000000024</v>
      </c>
      <c r="Q7">
        <v>62.230800000000016</v>
      </c>
      <c r="R7">
        <v>68.081999999999994</v>
      </c>
      <c r="S7">
        <v>126.00000000000001</v>
      </c>
      <c r="T7">
        <v>126.00000000000001</v>
      </c>
      <c r="U7">
        <v>126.00000000000001</v>
      </c>
      <c r="V7">
        <v>126.00000000000001</v>
      </c>
      <c r="W7">
        <v>126.00000000000001</v>
      </c>
      <c r="X7">
        <v>126.00000000000001</v>
      </c>
      <c r="Y7">
        <v>126.00000000000001</v>
      </c>
      <c r="Z7">
        <v>126.00000000000001</v>
      </c>
      <c r="AA7">
        <v>126.00000000000001</v>
      </c>
      <c r="AB7">
        <v>126.00000000000001</v>
      </c>
      <c r="AC7">
        <v>126.00000000000001</v>
      </c>
      <c r="AD7">
        <v>126.00000000000001</v>
      </c>
      <c r="AE7">
        <v>119.05110000000002</v>
      </c>
      <c r="AF7">
        <v>109.14040000000001</v>
      </c>
      <c r="AG7">
        <v>96.030600000000021</v>
      </c>
      <c r="AH7">
        <v>97.04800000000003</v>
      </c>
      <c r="AI7">
        <v>92.08880000000002</v>
      </c>
      <c r="AJ7">
        <v>71.65600000000002</v>
      </c>
      <c r="AK7">
        <v>126.00000000000001</v>
      </c>
    </row>
    <row r="8" spans="1:37">
      <c r="A8" t="s">
        <v>19</v>
      </c>
      <c r="B8" s="29" t="s">
        <v>142</v>
      </c>
      <c r="I8">
        <v>66.049200000000013</v>
      </c>
      <c r="J8">
        <v>66.049200000000013</v>
      </c>
      <c r="K8">
        <v>112.70039999999999</v>
      </c>
      <c r="L8">
        <v>159.17580000000001</v>
      </c>
      <c r="M8">
        <v>205.4298</v>
      </c>
      <c r="N8">
        <v>398.21239999999989</v>
      </c>
      <c r="O8">
        <v>406.44099999999986</v>
      </c>
      <c r="P8">
        <v>411.04519999999985</v>
      </c>
      <c r="Q8">
        <v>416.48399999999987</v>
      </c>
      <c r="R8">
        <v>393.89499999999987</v>
      </c>
      <c r="S8">
        <v>379.90959999999984</v>
      </c>
      <c r="T8">
        <v>355.48919999999993</v>
      </c>
      <c r="U8">
        <v>339.86559999999992</v>
      </c>
      <c r="V8">
        <v>314.01859999999988</v>
      </c>
      <c r="W8">
        <v>305.98649999999992</v>
      </c>
      <c r="X8">
        <v>304.89449999999999</v>
      </c>
      <c r="Y8">
        <v>307.28759999999994</v>
      </c>
      <c r="Z8">
        <v>309.89479999999992</v>
      </c>
      <c r="AA8">
        <v>314.14709999999997</v>
      </c>
      <c r="AB8">
        <v>316.70229999999992</v>
      </c>
      <c r="AC8">
        <v>316.56959999999992</v>
      </c>
      <c r="AD8">
        <v>296.41359999999997</v>
      </c>
      <c r="AE8">
        <v>269.60600000000005</v>
      </c>
      <c r="AF8">
        <v>260.36279999999999</v>
      </c>
      <c r="AG8">
        <v>250.33399999999997</v>
      </c>
      <c r="AH8">
        <v>222.84979999999999</v>
      </c>
      <c r="AI8">
        <v>216.72810000000001</v>
      </c>
      <c r="AJ8">
        <v>203.08430000000004</v>
      </c>
      <c r="AK8">
        <v>168.65330000000003</v>
      </c>
    </row>
    <row r="9" spans="1:37">
      <c r="A9" t="s">
        <v>19</v>
      </c>
      <c r="B9" s="29" t="s">
        <v>145</v>
      </c>
      <c r="D9">
        <v>25.885199999999987</v>
      </c>
      <c r="E9">
        <v>33.065899999999999</v>
      </c>
      <c r="F9">
        <v>36.306100000000015</v>
      </c>
      <c r="G9">
        <v>37.033799999999999</v>
      </c>
      <c r="H9">
        <v>39.271800000000006</v>
      </c>
      <c r="I9">
        <v>39.271800000000006</v>
      </c>
      <c r="J9">
        <v>39.271800000000006</v>
      </c>
      <c r="K9">
        <v>39.271800000000006</v>
      </c>
      <c r="L9">
        <v>39.271800000000006</v>
      </c>
      <c r="M9">
        <v>39.271800000000006</v>
      </c>
      <c r="N9">
        <v>39.271800000000006</v>
      </c>
      <c r="O9">
        <v>39.271800000000006</v>
      </c>
      <c r="P9">
        <v>39.271800000000006</v>
      </c>
      <c r="Q9">
        <v>39.271800000000006</v>
      </c>
      <c r="R9">
        <v>39.271800000000006</v>
      </c>
      <c r="S9">
        <v>39.271800000000006</v>
      </c>
      <c r="T9">
        <v>39.271800000000006</v>
      </c>
      <c r="U9">
        <v>39.271800000000006</v>
      </c>
      <c r="V9">
        <v>39.271800000000006</v>
      </c>
      <c r="W9">
        <v>39.271800000000006</v>
      </c>
      <c r="X9">
        <v>39.271800000000006</v>
      </c>
      <c r="Y9">
        <v>39.271800000000006</v>
      </c>
      <c r="Z9">
        <v>39.271800000000006</v>
      </c>
      <c r="AA9">
        <v>39.271800000000006</v>
      </c>
      <c r="AB9">
        <v>39.271800000000006</v>
      </c>
      <c r="AC9">
        <v>39.271800000000006</v>
      </c>
      <c r="AD9">
        <v>39.271800000000006</v>
      </c>
      <c r="AE9">
        <v>39.098600000000005</v>
      </c>
      <c r="AF9">
        <v>39.156600000000005</v>
      </c>
      <c r="AG9">
        <v>35.381999999999998</v>
      </c>
      <c r="AH9">
        <v>31.607399999999998</v>
      </c>
      <c r="AI9">
        <v>31.607399999999998</v>
      </c>
      <c r="AJ9">
        <v>28.8704</v>
      </c>
      <c r="AK9">
        <v>39.156600000000005</v>
      </c>
    </row>
    <row r="10" spans="1:37">
      <c r="A10" t="s">
        <v>19</v>
      </c>
      <c r="B10" s="29" t="s">
        <v>146</v>
      </c>
      <c r="I10">
        <v>5.5228000000000002</v>
      </c>
      <c r="J10">
        <v>5.9750000000000005</v>
      </c>
      <c r="K10">
        <v>4.0064000000000002</v>
      </c>
      <c r="L10">
        <v>0.86620000000000008</v>
      </c>
      <c r="S10">
        <v>0.24340000000000006</v>
      </c>
      <c r="T10">
        <v>17.645199999999999</v>
      </c>
      <c r="U10">
        <v>15.841000000000001</v>
      </c>
      <c r="V10">
        <v>11.6244</v>
      </c>
      <c r="W10">
        <v>25.739400000000003</v>
      </c>
      <c r="X10">
        <v>46.506699999999988</v>
      </c>
      <c r="Y10">
        <v>52.2682</v>
      </c>
      <c r="Z10">
        <v>58.565800000000003</v>
      </c>
      <c r="AA10">
        <v>68.991699999999994</v>
      </c>
      <c r="AB10">
        <v>75.154399999999995</v>
      </c>
      <c r="AC10">
        <v>78.141700000000014</v>
      </c>
      <c r="AD10">
        <v>82.106999999999999</v>
      </c>
      <c r="AE10">
        <v>79.783500000000004</v>
      </c>
      <c r="AF10">
        <v>76.930999999999983</v>
      </c>
      <c r="AG10">
        <v>74.545500000000004</v>
      </c>
      <c r="AH10">
        <v>80.94550000000001</v>
      </c>
      <c r="AI10">
        <v>78.299300000000002</v>
      </c>
      <c r="AJ10">
        <v>80.927800000000005</v>
      </c>
      <c r="AK10">
        <v>125.7479</v>
      </c>
    </row>
    <row r="11" spans="1:37">
      <c r="A11" t="s">
        <v>19</v>
      </c>
      <c r="B11" s="29" t="s">
        <v>149</v>
      </c>
      <c r="T11">
        <v>16.979399999999998</v>
      </c>
      <c r="U11">
        <v>89.385000000000019</v>
      </c>
      <c r="V11">
        <v>176.93159999999997</v>
      </c>
      <c r="W11">
        <v>226.10340000000002</v>
      </c>
      <c r="X11">
        <v>262.7172000000001</v>
      </c>
      <c r="Y11">
        <v>288.57179999999994</v>
      </c>
      <c r="Z11">
        <v>316.2672</v>
      </c>
      <c r="AA11">
        <v>335.06399999999991</v>
      </c>
      <c r="AB11">
        <v>363.21779999999995</v>
      </c>
      <c r="AC11">
        <v>398.92360000000014</v>
      </c>
      <c r="AD11">
        <v>460.36939999999993</v>
      </c>
      <c r="AE11">
        <v>535.35780000000011</v>
      </c>
      <c r="AF11">
        <v>583.30560000000014</v>
      </c>
      <c r="AG11">
        <v>650.08079999999984</v>
      </c>
      <c r="AH11">
        <v>670.31580000000008</v>
      </c>
      <c r="AI11">
        <v>703.80120000000011</v>
      </c>
      <c r="AJ11">
        <v>777.47339999999997</v>
      </c>
      <c r="AK11">
        <v>743.05700000000002</v>
      </c>
    </row>
    <row r="12" spans="1:37">
      <c r="A12" t="s">
        <v>19</v>
      </c>
      <c r="B12" s="29" t="s">
        <v>150</v>
      </c>
      <c r="D12">
        <v>4.9571000000000005</v>
      </c>
      <c r="E12">
        <v>5.2923</v>
      </c>
      <c r="F12">
        <v>6.5590000000000002</v>
      </c>
      <c r="G12">
        <v>9.1578999999999997</v>
      </c>
      <c r="H12">
        <v>13.719999999999999</v>
      </c>
      <c r="I12">
        <v>17.098199999999999</v>
      </c>
      <c r="J12">
        <v>17.098199999999999</v>
      </c>
      <c r="K12">
        <v>17.098199999999999</v>
      </c>
      <c r="L12">
        <v>17.098199999999999</v>
      </c>
      <c r="M12">
        <v>17.098199999999999</v>
      </c>
      <c r="N12">
        <v>17.098199999999999</v>
      </c>
      <c r="O12">
        <v>17.098199999999999</v>
      </c>
      <c r="P12">
        <v>17.098199999999999</v>
      </c>
      <c r="Q12">
        <v>17.098199999999999</v>
      </c>
      <c r="R12">
        <v>63.151399999999988</v>
      </c>
      <c r="S12">
        <v>63.151399999999988</v>
      </c>
      <c r="T12">
        <v>96.198999999999984</v>
      </c>
      <c r="U12">
        <v>96.198999999999984</v>
      </c>
      <c r="V12">
        <v>96.198999999999984</v>
      </c>
      <c r="W12">
        <v>96.198999999999984</v>
      </c>
      <c r="X12">
        <v>96.198999999999984</v>
      </c>
      <c r="Y12">
        <v>96.198999999999984</v>
      </c>
      <c r="Z12">
        <v>96.198999999999984</v>
      </c>
      <c r="AA12">
        <v>99.398599999999988</v>
      </c>
      <c r="AB12">
        <v>99.272999999999996</v>
      </c>
      <c r="AC12">
        <v>98.860600000000005</v>
      </c>
      <c r="AD12">
        <v>95.182399999999973</v>
      </c>
      <c r="AE12">
        <v>94.686200000000014</v>
      </c>
      <c r="AF12">
        <v>107.1146</v>
      </c>
      <c r="AG12">
        <v>107.97659999999999</v>
      </c>
      <c r="AH12">
        <v>166.4102</v>
      </c>
      <c r="AI12">
        <v>184.24879999999999</v>
      </c>
      <c r="AJ12">
        <v>182.50540000000004</v>
      </c>
      <c r="AK12">
        <v>181.60899999999998</v>
      </c>
    </row>
    <row r="13" spans="1:37">
      <c r="A13" t="s">
        <v>19</v>
      </c>
      <c r="B13" s="29" t="s">
        <v>152</v>
      </c>
      <c r="D13">
        <v>3.7079999999999997</v>
      </c>
      <c r="E13">
        <v>4.5722000000000005</v>
      </c>
      <c r="F13">
        <v>3.7081999999999997</v>
      </c>
      <c r="G13">
        <v>4.7092000000000001</v>
      </c>
      <c r="H13">
        <v>4.4601999999999995</v>
      </c>
      <c r="I13">
        <v>4.7092000000000001</v>
      </c>
      <c r="J13">
        <v>4.7092000000000001</v>
      </c>
      <c r="K13">
        <v>4.7092000000000001</v>
      </c>
      <c r="L13">
        <v>4.7092000000000001</v>
      </c>
      <c r="M13">
        <v>4.7092000000000001</v>
      </c>
      <c r="N13">
        <v>4.5250000000000004</v>
      </c>
      <c r="O13">
        <v>4.5250000000000004</v>
      </c>
      <c r="P13">
        <v>4.5250000000000004</v>
      </c>
      <c r="Q13">
        <v>4.5250000000000004</v>
      </c>
      <c r="R13">
        <v>4.5250000000000004</v>
      </c>
      <c r="S13">
        <v>4.5250000000000004</v>
      </c>
      <c r="T13">
        <v>4.5250000000000004</v>
      </c>
      <c r="U13">
        <v>4.5250000000000004</v>
      </c>
      <c r="V13">
        <v>4.5250000000000004</v>
      </c>
      <c r="W13">
        <v>2.8333999999999997</v>
      </c>
      <c r="X13">
        <v>2.3317999999999994</v>
      </c>
      <c r="Y13">
        <v>2.3317999999999994</v>
      </c>
      <c r="Z13">
        <v>2.3317999999999994</v>
      </c>
      <c r="AA13">
        <v>2.3317999999999994</v>
      </c>
      <c r="AB13">
        <v>2.3317999999999994</v>
      </c>
      <c r="AC13">
        <v>1.0010000000000001</v>
      </c>
      <c r="AD13">
        <v>0.13719999999999996</v>
      </c>
      <c r="AE13">
        <v>0.13719999999999996</v>
      </c>
    </row>
    <row r="14" spans="1:37">
      <c r="A14" t="s">
        <v>19</v>
      </c>
      <c r="B14" s="29" t="s">
        <v>161</v>
      </c>
      <c r="D14">
        <v>440.9853</v>
      </c>
      <c r="E14">
        <v>453.45069999999998</v>
      </c>
      <c r="F14">
        <v>466.26029999999997</v>
      </c>
      <c r="G14">
        <v>477.20440000000002</v>
      </c>
      <c r="H14">
        <v>491.58849999999984</v>
      </c>
      <c r="I14">
        <v>501.24719999999991</v>
      </c>
      <c r="J14">
        <v>511.78780000000006</v>
      </c>
      <c r="K14">
        <v>519.19949999999994</v>
      </c>
      <c r="L14">
        <v>526.64379999999994</v>
      </c>
      <c r="M14">
        <v>534.12619999999993</v>
      </c>
      <c r="N14">
        <v>517.46879999999987</v>
      </c>
      <c r="O14">
        <v>528.6712</v>
      </c>
      <c r="P14">
        <v>539.45680000000004</v>
      </c>
      <c r="Q14">
        <v>550.51170000000002</v>
      </c>
      <c r="R14">
        <v>561.56119999999999</v>
      </c>
      <c r="S14">
        <v>572.53199999999981</v>
      </c>
      <c r="T14">
        <v>586.4914</v>
      </c>
      <c r="U14">
        <v>600.11629999999991</v>
      </c>
      <c r="V14">
        <v>613.53100000000006</v>
      </c>
      <c r="W14">
        <v>627.2888999999999</v>
      </c>
      <c r="X14">
        <v>638.77409999999986</v>
      </c>
      <c r="Y14">
        <v>660.23180000000013</v>
      </c>
      <c r="Z14">
        <v>681.72169999999983</v>
      </c>
      <c r="AA14">
        <v>703.2822000000001</v>
      </c>
      <c r="AB14">
        <v>724.89630000000022</v>
      </c>
      <c r="AC14">
        <v>746.55729999999994</v>
      </c>
      <c r="AD14">
        <v>770.0234999999999</v>
      </c>
      <c r="AE14">
        <v>793.53030000000012</v>
      </c>
      <c r="AF14">
        <v>817.09429999999998</v>
      </c>
      <c r="AG14">
        <v>840.68819999999971</v>
      </c>
      <c r="AH14">
        <v>855.26089999999976</v>
      </c>
      <c r="AI14">
        <v>878.34739999999999</v>
      </c>
      <c r="AJ14">
        <v>900.88379999999984</v>
      </c>
      <c r="AK14">
        <v>918.77480000000025</v>
      </c>
    </row>
    <row r="15" spans="1:37" ht="13.8" customHeight="1">
      <c r="A15" t="s">
        <v>19</v>
      </c>
      <c r="B15" s="29" t="s">
        <v>162</v>
      </c>
      <c r="G15">
        <v>1.5246999999999997</v>
      </c>
      <c r="I15">
        <v>2.9255999999999993</v>
      </c>
    </row>
    <row r="16" spans="1:37" ht="13.8" customHeight="1">
      <c r="A16" t="s">
        <v>19</v>
      </c>
      <c r="B16" s="29" t="s">
        <v>164</v>
      </c>
      <c r="D16">
        <v>743.19129999999984</v>
      </c>
      <c r="E16">
        <v>1159.6624999999999</v>
      </c>
      <c r="F16">
        <v>1243.3869000000002</v>
      </c>
      <c r="G16">
        <v>1329.9997000000003</v>
      </c>
      <c r="H16">
        <v>1408.0054000000005</v>
      </c>
      <c r="I16">
        <v>1492.4646</v>
      </c>
      <c r="J16">
        <v>1476.4569999999999</v>
      </c>
      <c r="K16">
        <v>1536.3958000000002</v>
      </c>
      <c r="L16">
        <v>1595.7098000000001</v>
      </c>
      <c r="M16">
        <v>1652.7743999999998</v>
      </c>
      <c r="N16">
        <v>1587.9765000000002</v>
      </c>
      <c r="O16">
        <v>1693.4256999999998</v>
      </c>
      <c r="P16">
        <v>1795.2293999999999</v>
      </c>
      <c r="Q16">
        <v>1842.3222000000001</v>
      </c>
    </row>
    <row r="17" spans="1:37">
      <c r="A17" t="s">
        <v>19</v>
      </c>
      <c r="B17" s="29" t="s">
        <v>165</v>
      </c>
      <c r="D17">
        <v>140.44419999999994</v>
      </c>
      <c r="E17">
        <v>154.3177</v>
      </c>
      <c r="F17">
        <v>154.18510000000003</v>
      </c>
      <c r="G17">
        <v>142.14409999999998</v>
      </c>
      <c r="H17">
        <v>161.49810000000002</v>
      </c>
      <c r="I17">
        <v>40.920699999999997</v>
      </c>
      <c r="J17">
        <v>48.546500000000002</v>
      </c>
      <c r="K17">
        <v>47.199800000000003</v>
      </c>
      <c r="L17">
        <v>43.846599999999995</v>
      </c>
      <c r="M17">
        <v>55.308000000000014</v>
      </c>
      <c r="N17">
        <v>56.452799999999989</v>
      </c>
      <c r="O17">
        <v>58.64820000000001</v>
      </c>
      <c r="P17">
        <v>85.005600000000015</v>
      </c>
      <c r="Q17">
        <v>136.8083</v>
      </c>
      <c r="R17">
        <v>151.51740000000004</v>
      </c>
      <c r="S17">
        <v>166.64329999999998</v>
      </c>
      <c r="T17">
        <v>222.70320000000004</v>
      </c>
      <c r="U17">
        <v>221.86280000000002</v>
      </c>
      <c r="V17">
        <v>212.07790000000008</v>
      </c>
      <c r="W17">
        <v>241.8552</v>
      </c>
      <c r="X17">
        <v>277.8725</v>
      </c>
      <c r="Y17">
        <v>296.44260000000008</v>
      </c>
      <c r="Z17">
        <v>315.94980000000004</v>
      </c>
      <c r="AA17">
        <v>342.69599999999997</v>
      </c>
      <c r="AB17">
        <v>361.99220000000003</v>
      </c>
      <c r="AC17">
        <v>375.7419000000001</v>
      </c>
      <c r="AD17">
        <v>388.3968999999999</v>
      </c>
      <c r="AE17">
        <v>395.04960000000005</v>
      </c>
      <c r="AF17">
        <v>400.78250000000003</v>
      </c>
      <c r="AG17">
        <v>407.33889999999997</v>
      </c>
      <c r="AH17">
        <v>426.98609999999996</v>
      </c>
      <c r="AI17">
        <v>435.50759999999985</v>
      </c>
      <c r="AJ17">
        <v>453.25810000000001</v>
      </c>
      <c r="AK17">
        <v>544.82809999999995</v>
      </c>
    </row>
    <row r="18" spans="1:37">
      <c r="A18" t="s">
        <v>19</v>
      </c>
      <c r="B18" s="29" t="s">
        <v>166</v>
      </c>
      <c r="D18">
        <v>75.360500000000002</v>
      </c>
      <c r="F18">
        <v>0.68009999999999993</v>
      </c>
      <c r="H18">
        <v>0.51029999999999998</v>
      </c>
      <c r="K18">
        <v>9.545300000000001</v>
      </c>
      <c r="L18">
        <v>20.991299999999999</v>
      </c>
      <c r="M18">
        <v>24.0625</v>
      </c>
      <c r="N18">
        <v>33.706900000000005</v>
      </c>
      <c r="O18">
        <v>45.347200000000001</v>
      </c>
      <c r="P18">
        <v>34.51570000000001</v>
      </c>
    </row>
    <row r="19" spans="1:37">
      <c r="A19" t="s">
        <v>19</v>
      </c>
      <c r="B19" s="29" t="s">
        <v>167</v>
      </c>
      <c r="Q19">
        <v>65.235199999999992</v>
      </c>
      <c r="R19">
        <v>1849.6668999999995</v>
      </c>
      <c r="S19">
        <v>1773.5271</v>
      </c>
      <c r="T19">
        <v>1671.4766999999997</v>
      </c>
      <c r="U19">
        <v>1589.5663</v>
      </c>
      <c r="V19">
        <v>1484.2083999999998</v>
      </c>
      <c r="W19">
        <v>1419.7393999999997</v>
      </c>
      <c r="X19">
        <v>1370.7953999999997</v>
      </c>
      <c r="Y19">
        <v>1387.3201000000001</v>
      </c>
      <c r="Z19">
        <v>1404.3569999999997</v>
      </c>
      <c r="AA19">
        <v>1425.1865999999995</v>
      </c>
      <c r="AB19">
        <v>1442.1435999999997</v>
      </c>
      <c r="AC19">
        <v>1452.9546999999998</v>
      </c>
      <c r="AD19">
        <v>1418.7565000000006</v>
      </c>
      <c r="AE19">
        <v>1369.3165999999999</v>
      </c>
      <c r="AF19">
        <v>1360.1728000000001</v>
      </c>
      <c r="AG19">
        <v>1349.2404999999999</v>
      </c>
      <c r="AH19">
        <v>1296.5573999999999</v>
      </c>
      <c r="AI19">
        <v>1295.4398000000003</v>
      </c>
      <c r="AJ19">
        <v>1277.0714</v>
      </c>
      <c r="AK19">
        <v>1211.0262999999998</v>
      </c>
    </row>
    <row r="20" spans="1:37">
      <c r="A20" t="s">
        <v>19</v>
      </c>
      <c r="B20" s="29" t="s">
        <v>169</v>
      </c>
      <c r="D20">
        <v>184.56029999999998</v>
      </c>
      <c r="E20">
        <v>172.26059999999998</v>
      </c>
      <c r="F20">
        <v>159.95000000000005</v>
      </c>
      <c r="G20">
        <v>147.65040000000008</v>
      </c>
      <c r="H20">
        <v>135.3399</v>
      </c>
      <c r="I20">
        <v>123.03969999999998</v>
      </c>
      <c r="J20">
        <v>110.74</v>
      </c>
      <c r="K20">
        <v>98.429900000000004</v>
      </c>
      <c r="L20">
        <v>86.130099999999999</v>
      </c>
      <c r="M20">
        <v>73.819800000000015</v>
      </c>
      <c r="N20">
        <v>61.52</v>
      </c>
      <c r="O20">
        <v>49.220099999999995</v>
      </c>
      <c r="P20">
        <v>36.9101</v>
      </c>
      <c r="Q20">
        <v>24.610199999999999</v>
      </c>
      <c r="R20">
        <v>12.299799999999999</v>
      </c>
    </row>
    <row r="21" spans="1:37">
      <c r="A21" t="s">
        <v>19</v>
      </c>
      <c r="B21" s="29" t="s">
        <v>227</v>
      </c>
      <c r="T21">
        <v>44.681399999999982</v>
      </c>
      <c r="U21">
        <v>235.22280000000009</v>
      </c>
      <c r="V21">
        <v>465.60900000000004</v>
      </c>
      <c r="W21">
        <v>595.00980000000015</v>
      </c>
      <c r="X21">
        <v>691.36379999999997</v>
      </c>
      <c r="Y21">
        <v>759.40200000000004</v>
      </c>
      <c r="Z21">
        <v>832.28399999999965</v>
      </c>
      <c r="AA21">
        <v>881.74739999999974</v>
      </c>
      <c r="AB21">
        <v>955.8389999999996</v>
      </c>
      <c r="AC21">
        <v>1049.7975999999999</v>
      </c>
      <c r="AD21">
        <v>1211.4980000000003</v>
      </c>
      <c r="AE21">
        <v>1408.8353999999999</v>
      </c>
      <c r="AF21">
        <v>1535.0160000000005</v>
      </c>
      <c r="AG21">
        <v>1710.7392000000007</v>
      </c>
      <c r="AH21">
        <v>1763.9893999999995</v>
      </c>
      <c r="AI21">
        <v>1852.1100000000006</v>
      </c>
      <c r="AJ21">
        <v>2045.9798000000005</v>
      </c>
      <c r="AK21">
        <v>1955.4105999999997</v>
      </c>
    </row>
    <row r="22" spans="1:37">
      <c r="A22" t="s">
        <v>19</v>
      </c>
      <c r="B22" s="29" t="s">
        <v>170</v>
      </c>
      <c r="D22">
        <v>440.9853</v>
      </c>
      <c r="E22">
        <v>453.45069999999998</v>
      </c>
      <c r="F22">
        <v>466.26029999999997</v>
      </c>
      <c r="G22">
        <v>477.20440000000002</v>
      </c>
      <c r="H22">
        <v>491.58849999999984</v>
      </c>
      <c r="I22">
        <v>501.24719999999991</v>
      </c>
      <c r="J22">
        <v>511.78780000000006</v>
      </c>
      <c r="K22">
        <v>519.19949999999994</v>
      </c>
      <c r="L22">
        <v>526.64379999999994</v>
      </c>
      <c r="M22">
        <v>534.12619999999993</v>
      </c>
      <c r="N22">
        <v>517.46879999999987</v>
      </c>
      <c r="O22">
        <v>528.6712</v>
      </c>
      <c r="P22">
        <v>539.45680000000004</v>
      </c>
      <c r="Q22">
        <v>550.51170000000002</v>
      </c>
      <c r="R22">
        <v>561.56119999999999</v>
      </c>
      <c r="S22">
        <v>572.53199999999981</v>
      </c>
      <c r="T22">
        <v>586.4914</v>
      </c>
      <c r="U22">
        <v>600.11629999999991</v>
      </c>
      <c r="V22">
        <v>613.53100000000006</v>
      </c>
      <c r="W22">
        <v>627.2888999999999</v>
      </c>
      <c r="X22">
        <v>638.77409999999986</v>
      </c>
      <c r="Y22">
        <v>660.23180000000013</v>
      </c>
      <c r="Z22">
        <v>681.72169999999994</v>
      </c>
      <c r="AA22">
        <v>703.2822000000001</v>
      </c>
      <c r="AB22">
        <v>724.89630000000022</v>
      </c>
      <c r="AC22">
        <v>746.55729999999994</v>
      </c>
      <c r="AD22">
        <v>770.0234999999999</v>
      </c>
      <c r="AE22">
        <v>793.53030000000012</v>
      </c>
      <c r="AF22">
        <v>817.09429999999998</v>
      </c>
      <c r="AG22">
        <v>840.68819999999971</v>
      </c>
      <c r="AH22">
        <v>855.26089999999976</v>
      </c>
      <c r="AI22">
        <v>878.34739999999999</v>
      </c>
      <c r="AJ22">
        <v>900.88379999999984</v>
      </c>
      <c r="AK22">
        <v>918.77480000000025</v>
      </c>
    </row>
    <row r="23" spans="1:37">
      <c r="A23" t="s">
        <v>19</v>
      </c>
      <c r="B23" s="29" t="s">
        <v>171</v>
      </c>
      <c r="D23">
        <v>304.30340000000001</v>
      </c>
      <c r="E23">
        <v>24.998699999999999</v>
      </c>
      <c r="F23">
        <v>21.503799999999998</v>
      </c>
      <c r="G23">
        <v>24.207599999999999</v>
      </c>
      <c r="H23">
        <v>22.7928</v>
      </c>
      <c r="I23">
        <v>2.9830000000000001</v>
      </c>
      <c r="J23">
        <v>3.0078</v>
      </c>
      <c r="K23">
        <v>1.8438000000000001</v>
      </c>
      <c r="L23">
        <v>1.8597999999999999</v>
      </c>
      <c r="X23">
        <v>9.7999999999999997E-3</v>
      </c>
    </row>
    <row r="24" spans="1:37">
      <c r="A24" t="s">
        <v>19</v>
      </c>
      <c r="B24" s="29" t="s">
        <v>172</v>
      </c>
      <c r="D24">
        <v>740.2595</v>
      </c>
      <c r="E24">
        <v>1155.0879999999997</v>
      </c>
      <c r="F24">
        <v>1238.4814000000001</v>
      </c>
      <c r="G24">
        <v>1324.7535</v>
      </c>
      <c r="H24">
        <v>1402.4501</v>
      </c>
      <c r="I24">
        <v>1486.5768000000003</v>
      </c>
      <c r="J24">
        <v>1470.6324999999999</v>
      </c>
      <c r="K24">
        <v>1530.3351999999998</v>
      </c>
      <c r="L24">
        <v>1589.4148000000002</v>
      </c>
      <c r="M24">
        <v>1646.2538000000004</v>
      </c>
      <c r="N24">
        <v>1581.7120000000002</v>
      </c>
      <c r="O24">
        <v>1686.7452000000005</v>
      </c>
      <c r="P24">
        <v>1788.1476</v>
      </c>
      <c r="Q24">
        <v>1900.0315000000005</v>
      </c>
      <c r="R24">
        <v>1842.3690999999997</v>
      </c>
      <c r="S24">
        <v>1766.5305999999998</v>
      </c>
      <c r="T24">
        <v>1664.8826999999999</v>
      </c>
      <c r="U24">
        <v>1583.2952</v>
      </c>
      <c r="V24">
        <v>1478.3539000000001</v>
      </c>
      <c r="W24">
        <v>1414.1385999999998</v>
      </c>
      <c r="X24">
        <v>1365.3875</v>
      </c>
      <c r="Y24">
        <v>1381.8466999999998</v>
      </c>
      <c r="Z24">
        <v>1398.8168000000001</v>
      </c>
      <c r="AA24">
        <v>1419.5645999999999</v>
      </c>
      <c r="AB24">
        <v>1436.4539999999997</v>
      </c>
      <c r="AC24">
        <v>1447.2231999999997</v>
      </c>
      <c r="AD24">
        <v>1413.1587999999999</v>
      </c>
      <c r="AE24">
        <v>1363.9146000000001</v>
      </c>
      <c r="AF24">
        <v>1354.8065999999997</v>
      </c>
      <c r="AG24">
        <v>1343.9180000000001</v>
      </c>
      <c r="AH24">
        <v>1291.4431000000002</v>
      </c>
      <c r="AI24">
        <v>1290.3297</v>
      </c>
      <c r="AJ24">
        <v>1272.0339000000004</v>
      </c>
      <c r="AK24">
        <v>1206.2487000000001</v>
      </c>
    </row>
    <row r="25" spans="1:37">
      <c r="A25" t="s">
        <v>19</v>
      </c>
      <c r="B25" s="29" t="s">
        <v>173</v>
      </c>
      <c r="D25">
        <v>132.89899999999994</v>
      </c>
      <c r="E25">
        <v>146.02779999999998</v>
      </c>
      <c r="F25">
        <v>145.90179999999995</v>
      </c>
      <c r="G25">
        <v>134.50799999999998</v>
      </c>
      <c r="H25">
        <v>152.82230000000001</v>
      </c>
      <c r="I25">
        <v>38.7224</v>
      </c>
      <c r="J25">
        <v>45.938600000000001</v>
      </c>
      <c r="K25">
        <v>44.6646</v>
      </c>
      <c r="L25">
        <v>41.491</v>
      </c>
      <c r="M25">
        <v>52.336199999999984</v>
      </c>
      <c r="N25">
        <v>53.419800000000009</v>
      </c>
      <c r="O25">
        <v>55.497599999999984</v>
      </c>
      <c r="P25">
        <v>80.438399999999959</v>
      </c>
      <c r="Q25">
        <v>129.4589</v>
      </c>
      <c r="R25">
        <v>143.37810000000002</v>
      </c>
      <c r="S25">
        <v>157.6909</v>
      </c>
      <c r="T25">
        <v>210.73849999999999</v>
      </c>
      <c r="U25">
        <v>209.94390000000001</v>
      </c>
      <c r="V25">
        <v>200.68449999999996</v>
      </c>
      <c r="W25">
        <v>228.86199999999999</v>
      </c>
      <c r="X25">
        <v>262.94439999999997</v>
      </c>
      <c r="Y25">
        <v>280.51699999999994</v>
      </c>
      <c r="Z25">
        <v>298.97640000000001</v>
      </c>
      <c r="AA25">
        <v>324.28610000000009</v>
      </c>
      <c r="AB25">
        <v>342.54480000000001</v>
      </c>
      <c r="AC25">
        <v>355.55630000000002</v>
      </c>
      <c r="AD25">
        <v>367.53129999999999</v>
      </c>
      <c r="AE25">
        <v>373.82689999999991</v>
      </c>
      <c r="AF25">
        <v>379.25139999999993</v>
      </c>
      <c r="AG25">
        <v>385.45590000000004</v>
      </c>
      <c r="AH25">
        <v>404.04759999999993</v>
      </c>
      <c r="AI25">
        <v>412.11129999999991</v>
      </c>
      <c r="AJ25">
        <v>428.90809999999999</v>
      </c>
      <c r="AK25">
        <v>515.55900000000008</v>
      </c>
    </row>
    <row r="26" spans="1:37">
      <c r="A26" t="s">
        <v>19</v>
      </c>
      <c r="B26" s="29" t="s">
        <v>174</v>
      </c>
      <c r="D26">
        <v>264.40279999999996</v>
      </c>
      <c r="E26">
        <v>175.23050000000006</v>
      </c>
      <c r="F26">
        <v>163.40020000000001</v>
      </c>
      <c r="G26">
        <v>150.19570000000004</v>
      </c>
      <c r="H26">
        <v>138.19319999999999</v>
      </c>
      <c r="I26">
        <v>125.1618</v>
      </c>
      <c r="J26">
        <v>112.65020000000003</v>
      </c>
      <c r="K26">
        <v>109.83759999999999</v>
      </c>
      <c r="L26">
        <v>108.9687</v>
      </c>
      <c r="M26">
        <v>99.570500000000024</v>
      </c>
      <c r="N26">
        <v>96.869100000000032</v>
      </c>
      <c r="O26">
        <v>96.1982</v>
      </c>
      <c r="P26">
        <v>72.657700000000006</v>
      </c>
      <c r="Q26">
        <v>25.034300000000002</v>
      </c>
      <c r="R26">
        <v>12.5122</v>
      </c>
    </row>
    <row r="32" spans="1:37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A2" sqref="A2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240.41419999999999</v>
      </c>
      <c r="E17">
        <v>3.6951999999999998</v>
      </c>
      <c r="F17">
        <v>3.6941999999999999</v>
      </c>
      <c r="G17">
        <v>3.7911999999999999</v>
      </c>
      <c r="H17">
        <v>6.8913000000000002</v>
      </c>
      <c r="I17">
        <v>8.3065999999999995</v>
      </c>
      <c r="J17">
        <v>7.1201999999999996</v>
      </c>
      <c r="K17">
        <v>3.4220000000000002</v>
      </c>
      <c r="L17">
        <v>3.423</v>
      </c>
      <c r="M17">
        <v>1.5251999999999999</v>
      </c>
      <c r="N17">
        <v>2.4192999999999998</v>
      </c>
      <c r="O17">
        <v>2.8513000000000002</v>
      </c>
      <c r="P17">
        <v>2.4058999999999999</v>
      </c>
      <c r="Q17">
        <v>3.1600999999999999</v>
      </c>
      <c r="R17">
        <v>6.8532000000000002</v>
      </c>
      <c r="S17">
        <v>243.2722</v>
      </c>
      <c r="T17">
        <v>6.5532000000000004</v>
      </c>
      <c r="U17">
        <v>6.5532000000000004</v>
      </c>
      <c r="V17">
        <v>6.6492000000000004</v>
      </c>
      <c r="W17">
        <v>9.7502999999999993</v>
      </c>
      <c r="X17">
        <v>10.845599999999999</v>
      </c>
      <c r="Y17">
        <v>9.6592000000000002</v>
      </c>
      <c r="Z17">
        <v>5.9610000000000003</v>
      </c>
      <c r="AA17">
        <v>5.9619999999999997</v>
      </c>
      <c r="AB17">
        <v>4.0651999999999999</v>
      </c>
      <c r="AC17">
        <v>4.6162999999999998</v>
      </c>
      <c r="AD17">
        <v>5.0483000000000002</v>
      </c>
      <c r="AE17">
        <v>4.6029</v>
      </c>
      <c r="AF17">
        <v>5.3581000000000003</v>
      </c>
      <c r="AG17">
        <v>9.0502000000000002</v>
      </c>
      <c r="AH17">
        <v>245.16820000000001</v>
      </c>
      <c r="AI17">
        <v>8.4481999999999999</v>
      </c>
      <c r="AJ17">
        <v>8.4491999999999994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0</v>
      </c>
      <c r="G24">
        <v>0.1522</v>
      </c>
      <c r="H24">
        <v>0</v>
      </c>
      <c r="I24">
        <v>0.15840000000000001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0.14399999999999999</v>
      </c>
      <c r="AF24">
        <v>0.29620000000000002</v>
      </c>
      <c r="AG24">
        <v>0.14399999999999999</v>
      </c>
      <c r="AH24">
        <v>0.31680000000000003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1.4928999999999999</v>
      </c>
      <c r="E31">
        <v>0.78159999999999996</v>
      </c>
      <c r="F31">
        <v>0</v>
      </c>
      <c r="G31">
        <v>0.1522</v>
      </c>
      <c r="H31">
        <v>0</v>
      </c>
      <c r="I31">
        <v>0.15840000000000001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1.637</v>
      </c>
      <c r="AD31">
        <v>0.92559999999999998</v>
      </c>
      <c r="AE31">
        <v>0.14399999999999999</v>
      </c>
      <c r="AF31">
        <v>0.29620000000000002</v>
      </c>
      <c r="AG31">
        <v>0.14399999999999999</v>
      </c>
      <c r="AH31">
        <v>0.31680000000000003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18.683800000000002</v>
      </c>
      <c r="E36">
        <v>0</v>
      </c>
      <c r="F36">
        <v>0</v>
      </c>
      <c r="G36">
        <v>0</v>
      </c>
      <c r="H36">
        <v>19.863900000000001</v>
      </c>
      <c r="I36">
        <v>0</v>
      </c>
      <c r="J36">
        <v>0</v>
      </c>
      <c r="K36">
        <v>0</v>
      </c>
      <c r="L36">
        <v>5.0643000000000002</v>
      </c>
      <c r="M36">
        <v>22.324999999999999</v>
      </c>
      <c r="N36">
        <v>0</v>
      </c>
      <c r="O36">
        <v>0</v>
      </c>
      <c r="P36">
        <v>0</v>
      </c>
      <c r="Q36">
        <v>45.732100000000003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361.26060000000001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0.28110000000000002</v>
      </c>
      <c r="G52">
        <v>6.7000000000000002E-3</v>
      </c>
      <c r="H52">
        <v>3.5700000000000003E-2</v>
      </c>
      <c r="I52">
        <v>1.0224</v>
      </c>
      <c r="J52">
        <v>1.3028999999999999</v>
      </c>
      <c r="K52">
        <v>0.40279999999999999</v>
      </c>
      <c r="L52">
        <v>0</v>
      </c>
      <c r="M52">
        <v>0</v>
      </c>
      <c r="N52">
        <v>0</v>
      </c>
      <c r="O52">
        <v>0</v>
      </c>
      <c r="P52">
        <v>0.14000000000000001</v>
      </c>
      <c r="Q52">
        <v>0</v>
      </c>
      <c r="R52">
        <v>0</v>
      </c>
      <c r="S52">
        <v>0.1085</v>
      </c>
      <c r="T52">
        <v>0.61019999999999996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4.5999999999999999E-3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</v>
      </c>
      <c r="K56">
        <v>1.0709</v>
      </c>
      <c r="L56">
        <v>1.4013</v>
      </c>
      <c r="M56">
        <v>0</v>
      </c>
      <c r="N56">
        <v>1.4285000000000001</v>
      </c>
      <c r="O56">
        <v>1.8525</v>
      </c>
      <c r="P56">
        <v>1.8049999999999999</v>
      </c>
      <c r="Q56">
        <v>1.8476999999999999</v>
      </c>
      <c r="R56">
        <v>0.96809999999999996</v>
      </c>
      <c r="S56">
        <v>2.0697000000000001</v>
      </c>
      <c r="T56">
        <v>2.1351</v>
      </c>
      <c r="U56">
        <v>2.0876999999999999</v>
      </c>
      <c r="V56">
        <v>2.3744999999999998</v>
      </c>
      <c r="W56">
        <v>3.0300000000000001E-2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1.0570999999999999</v>
      </c>
      <c r="AD56">
        <v>0.96250000000000002</v>
      </c>
      <c r="AE56">
        <v>0.22409999999999999</v>
      </c>
      <c r="AF56">
        <v>0.4284</v>
      </c>
      <c r="AG56">
        <v>12.633699999999999</v>
      </c>
      <c r="AH56">
        <v>1.1638999999999999</v>
      </c>
      <c r="AI56">
        <v>1.2165999999999999</v>
      </c>
      <c r="AJ56">
        <v>2.2871000000000001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2.5546000000000002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0.9929</v>
      </c>
      <c r="W60">
        <v>3.0674999999999999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0.2185</v>
      </c>
      <c r="AD60">
        <v>6.9999999999999999E-4</v>
      </c>
      <c r="AE60">
        <v>1.34E-2</v>
      </c>
      <c r="AF60">
        <v>0.39250000000000002</v>
      </c>
      <c r="AG60">
        <v>5.0735999999999999</v>
      </c>
      <c r="AH60">
        <v>0.30049999999999999</v>
      </c>
      <c r="AI60">
        <v>0.30049999999999999</v>
      </c>
      <c r="AJ60">
        <v>0.30049999999999999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7.9589999999999996</v>
      </c>
      <c r="N64">
        <v>3.1223999999999998</v>
      </c>
      <c r="O64">
        <v>0</v>
      </c>
      <c r="P64">
        <v>0</v>
      </c>
      <c r="Q64">
        <v>0</v>
      </c>
      <c r="R64">
        <v>0</v>
      </c>
      <c r="S64">
        <v>2.9870999999999999</v>
      </c>
      <c r="T64">
        <v>10.622299999999999</v>
      </c>
      <c r="U64">
        <v>0</v>
      </c>
      <c r="V64">
        <v>0</v>
      </c>
      <c r="W64">
        <v>4.2366000000000001</v>
      </c>
      <c r="X64">
        <v>0</v>
      </c>
      <c r="Y64">
        <v>0</v>
      </c>
      <c r="Z64">
        <v>0.12039999999999999</v>
      </c>
      <c r="AA64">
        <v>0.2175</v>
      </c>
      <c r="AB64">
        <v>0.40339999999999998</v>
      </c>
      <c r="AC64">
        <v>1.1085</v>
      </c>
      <c r="AD64">
        <v>0.49759999999999999</v>
      </c>
      <c r="AE64">
        <v>0.45600000000000002</v>
      </c>
      <c r="AF64">
        <v>0.4803</v>
      </c>
      <c r="AG64">
        <v>27.850300000000001</v>
      </c>
      <c r="AH64">
        <v>2.4426000000000001</v>
      </c>
      <c r="AI64">
        <v>2.5592000000000001</v>
      </c>
      <c r="AJ64">
        <v>2.4098999999999999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0.1552</v>
      </c>
      <c r="E66">
        <v>0</v>
      </c>
      <c r="F66">
        <v>2.46E-2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0.26269999999999999</v>
      </c>
      <c r="I68">
        <v>0.75239999999999996</v>
      </c>
      <c r="J68">
        <v>0.75239999999999996</v>
      </c>
      <c r="K68">
        <v>0.75239999999999996</v>
      </c>
      <c r="L68">
        <v>0.75239999999999996</v>
      </c>
      <c r="M68">
        <v>0.75239999999999996</v>
      </c>
      <c r="N68">
        <v>1.0521</v>
      </c>
      <c r="O68">
        <v>0.74629999999999996</v>
      </c>
      <c r="P68">
        <v>0.91610000000000003</v>
      </c>
      <c r="Q68">
        <v>0.94199999999999995</v>
      </c>
      <c r="R68">
        <v>0.94199999999999995</v>
      </c>
      <c r="S68">
        <v>1.1287</v>
      </c>
      <c r="T68">
        <v>1.1287</v>
      </c>
      <c r="U68">
        <v>1.0656000000000001</v>
      </c>
      <c r="V68">
        <v>1.0179</v>
      </c>
      <c r="W68">
        <v>1.0161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13.2166</v>
      </c>
      <c r="AH68">
        <v>1.1980999999999999</v>
      </c>
      <c r="AI68">
        <v>1.2412000000000001</v>
      </c>
      <c r="AJ68">
        <v>1.2407999999999999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13.354100000000001</v>
      </c>
      <c r="D85">
        <v>0.42359999999999998</v>
      </c>
      <c r="E85">
        <v>0.4466</v>
      </c>
      <c r="F85">
        <v>0.37819999999999998</v>
      </c>
      <c r="G85">
        <v>0.48209999999999997</v>
      </c>
      <c r="H85">
        <v>0.32600000000000001</v>
      </c>
      <c r="I85">
        <v>0.37459999999999999</v>
      </c>
      <c r="J85">
        <v>0.26379999999999998</v>
      </c>
      <c r="K85">
        <v>0.26479999999999998</v>
      </c>
      <c r="L85">
        <v>0.26190000000000002</v>
      </c>
      <c r="M85">
        <v>0</v>
      </c>
      <c r="N85">
        <v>0</v>
      </c>
      <c r="O85">
        <v>0.25950000000000001</v>
      </c>
      <c r="P85">
        <v>0.51129999999999998</v>
      </c>
      <c r="Q85">
        <v>0.20899999999999999</v>
      </c>
      <c r="R85">
        <v>0.374</v>
      </c>
      <c r="S85">
        <v>0.47499999999999998</v>
      </c>
      <c r="T85">
        <v>0.48570000000000002</v>
      </c>
      <c r="U85">
        <v>0.46939999999999998</v>
      </c>
      <c r="V85">
        <v>0.28849999999999998</v>
      </c>
      <c r="W85">
        <v>0.20730000000000001</v>
      </c>
      <c r="X85">
        <v>0.50939999999999996</v>
      </c>
      <c r="Y85">
        <v>0.51700000000000002</v>
      </c>
      <c r="Z85">
        <v>0.5151</v>
      </c>
      <c r="AA85">
        <v>0.49080000000000001</v>
      </c>
      <c r="AB85">
        <v>13.8461</v>
      </c>
      <c r="AC85">
        <v>0.9849</v>
      </c>
      <c r="AD85">
        <v>1.0082</v>
      </c>
      <c r="AE85">
        <v>0.95379999999999998</v>
      </c>
      <c r="AF85">
        <v>1.0649999999999999</v>
      </c>
      <c r="AG85">
        <v>0.88739999999999997</v>
      </c>
      <c r="AH85">
        <v>1.0708</v>
      </c>
      <c r="AI85">
        <v>0.82010000000000005</v>
      </c>
      <c r="AJ85">
        <v>0.83360000000000001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7.4302000000000001</v>
      </c>
      <c r="E94">
        <v>1.7803</v>
      </c>
      <c r="F94">
        <v>5.9799999999999999E-2</v>
      </c>
      <c r="G94">
        <v>2.1800000000000002</v>
      </c>
      <c r="H94">
        <v>0</v>
      </c>
      <c r="I94">
        <v>0.80789999999999995</v>
      </c>
      <c r="J94">
        <v>1.861</v>
      </c>
      <c r="K94">
        <v>0.82110000000000005</v>
      </c>
      <c r="L94">
        <v>4.6653000000000002</v>
      </c>
      <c r="M94">
        <v>0.8679</v>
      </c>
      <c r="N94">
        <v>0.84540000000000004</v>
      </c>
      <c r="O94">
        <v>12.4016</v>
      </c>
      <c r="P94">
        <v>16.245699999999999</v>
      </c>
      <c r="Q94">
        <v>5.5217000000000001</v>
      </c>
      <c r="R94">
        <v>11.181100000000001</v>
      </c>
      <c r="S94">
        <v>9.6435999999999993</v>
      </c>
      <c r="T94">
        <v>3.9935999999999998</v>
      </c>
      <c r="U94">
        <v>2.2732000000000001</v>
      </c>
      <c r="V94">
        <v>4.3933</v>
      </c>
      <c r="W94">
        <v>2.2132999999999998</v>
      </c>
      <c r="X94">
        <v>4.4371999999999998</v>
      </c>
      <c r="Y94">
        <v>5.4903000000000004</v>
      </c>
      <c r="Z94">
        <v>4.4503000000000004</v>
      </c>
      <c r="AA94">
        <v>8.2944999999999993</v>
      </c>
      <c r="AB94">
        <v>4.4972000000000003</v>
      </c>
      <c r="AC94">
        <v>5.3691000000000004</v>
      </c>
      <c r="AD94">
        <v>16.9253</v>
      </c>
      <c r="AE94">
        <v>20.769400000000001</v>
      </c>
      <c r="AF94">
        <v>10.045400000000001</v>
      </c>
      <c r="AG94">
        <v>15.7049</v>
      </c>
      <c r="AH94">
        <v>15.105</v>
      </c>
      <c r="AI94">
        <v>9.4550999999999998</v>
      </c>
      <c r="AJ94">
        <v>7.7346000000000004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190.70240000000001</v>
      </c>
      <c r="J98">
        <v>190.6917</v>
      </c>
      <c r="K98">
        <v>190.70240000000001</v>
      </c>
      <c r="L98">
        <v>190.6917</v>
      </c>
      <c r="M98">
        <v>190.70240000000001</v>
      </c>
      <c r="N98">
        <v>161.95150000000001</v>
      </c>
      <c r="O98">
        <v>219.4427</v>
      </c>
      <c r="P98">
        <v>187.51650000000001</v>
      </c>
      <c r="Q98">
        <v>182.64279999999999</v>
      </c>
      <c r="R98">
        <v>373.33519999999999</v>
      </c>
      <c r="S98">
        <v>374.47559999999999</v>
      </c>
      <c r="T98">
        <v>374.47629999999998</v>
      </c>
      <c r="U98">
        <v>400.13560000000001</v>
      </c>
      <c r="V98">
        <v>413.99799999999999</v>
      </c>
      <c r="W98">
        <v>453.16800000000001</v>
      </c>
      <c r="X98">
        <v>0</v>
      </c>
      <c r="Y98">
        <v>0</v>
      </c>
      <c r="Z98">
        <v>127.31959999999999</v>
      </c>
      <c r="AA98">
        <v>330.89609999999999</v>
      </c>
      <c r="AB98">
        <v>359.14389999999997</v>
      </c>
      <c r="AC98">
        <v>398.59160000000003</v>
      </c>
      <c r="AD98">
        <v>356.48869999999999</v>
      </c>
      <c r="AE98">
        <v>370.1112</v>
      </c>
      <c r="AF98">
        <v>453.851</v>
      </c>
      <c r="AG98">
        <v>0</v>
      </c>
      <c r="AH98">
        <v>0</v>
      </c>
      <c r="AI98">
        <v>61.859200000000001</v>
      </c>
      <c r="AJ98">
        <v>266.07380000000001</v>
      </c>
    </row>
    <row r="99" spans="1:36">
      <c r="A99" t="s">
        <v>19</v>
      </c>
      <c r="B99" s="29" t="s">
        <v>184</v>
      </c>
      <c r="C99">
        <v>59.402000000000001</v>
      </c>
      <c r="D99">
        <v>232.98849999999999</v>
      </c>
      <c r="E99">
        <v>209.10339999999999</v>
      </c>
      <c r="F99">
        <v>193.70310000000001</v>
      </c>
      <c r="G99">
        <v>265.56490000000002</v>
      </c>
      <c r="H99">
        <v>180.9392</v>
      </c>
      <c r="I99">
        <v>101.7158</v>
      </c>
      <c r="J99">
        <v>55.504800000000003</v>
      </c>
      <c r="K99">
        <v>56.485500000000002</v>
      </c>
      <c r="L99">
        <v>60.688899999999997</v>
      </c>
      <c r="M99">
        <v>0</v>
      </c>
      <c r="N99">
        <v>66.103999999999999</v>
      </c>
      <c r="O99">
        <v>92.163399999999996</v>
      </c>
      <c r="P99">
        <v>9.2880000000000003</v>
      </c>
      <c r="Q99">
        <v>0</v>
      </c>
      <c r="R99">
        <v>0</v>
      </c>
      <c r="S99">
        <v>0</v>
      </c>
      <c r="T99">
        <v>0</v>
      </c>
      <c r="U99">
        <v>35.402700000000003</v>
      </c>
      <c r="V99">
        <v>125.25069999999999</v>
      </c>
      <c r="W99">
        <v>192.53479999999999</v>
      </c>
      <c r="X99">
        <v>168.1112</v>
      </c>
      <c r="Y99">
        <v>117.0149</v>
      </c>
      <c r="Z99">
        <v>122.759</v>
      </c>
      <c r="AA99">
        <v>126.9721</v>
      </c>
      <c r="AB99">
        <v>66.292900000000003</v>
      </c>
      <c r="AC99">
        <v>126.1831</v>
      </c>
      <c r="AD99">
        <v>152.82740000000001</v>
      </c>
      <c r="AE99">
        <v>61.159500000000001</v>
      </c>
      <c r="AF99">
        <v>0</v>
      </c>
      <c r="AG99">
        <v>39.2331</v>
      </c>
      <c r="AH99">
        <v>21.6615</v>
      </c>
      <c r="AI99">
        <v>80.660700000000006</v>
      </c>
      <c r="AJ99">
        <v>115.4883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110.14709999999999</v>
      </c>
      <c r="W107">
        <v>168.7106</v>
      </c>
      <c r="X107">
        <v>127.4653</v>
      </c>
      <c r="Y107">
        <v>145.9571</v>
      </c>
      <c r="Z107">
        <v>146.92959999999999</v>
      </c>
      <c r="AA107">
        <v>146.94630000000001</v>
      </c>
      <c r="AB107">
        <v>146.94630000000001</v>
      </c>
      <c r="AC107">
        <v>138.65710000000001</v>
      </c>
      <c r="AD107">
        <v>139.6463</v>
      </c>
      <c r="AE107">
        <v>139.6463</v>
      </c>
      <c r="AF107">
        <v>75.366699999999994</v>
      </c>
      <c r="AG107">
        <v>91.448899999999995</v>
      </c>
      <c r="AH107">
        <v>75.997699999999995</v>
      </c>
      <c r="AI107">
        <v>180.20820000000001</v>
      </c>
      <c r="AJ107">
        <v>179.19220000000001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82.643799999999999</v>
      </c>
      <c r="S109">
        <v>150.87979999999999</v>
      </c>
      <c r="T109">
        <v>150.87979999999999</v>
      </c>
      <c r="U109">
        <v>149.87979999999999</v>
      </c>
      <c r="V109">
        <v>39.543900000000001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66.014099999999999</v>
      </c>
      <c r="AH109">
        <v>102.5727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1E-4</v>
      </c>
      <c r="I114">
        <v>1E-3</v>
      </c>
      <c r="J114">
        <v>1E-3</v>
      </c>
      <c r="K114">
        <v>0</v>
      </c>
      <c r="L114">
        <v>1.1000000000000001E-3</v>
      </c>
      <c r="M114">
        <v>1.2999999999999999E-3</v>
      </c>
      <c r="N114">
        <v>6.9999999999999999E-4</v>
      </c>
      <c r="O114">
        <v>0</v>
      </c>
      <c r="P114">
        <v>1.1000000000000001E-3</v>
      </c>
      <c r="Q114">
        <v>1E-3</v>
      </c>
      <c r="R114">
        <v>1E-3</v>
      </c>
      <c r="S114">
        <v>1.8E-3</v>
      </c>
      <c r="T114">
        <v>8.0000000000000004E-4</v>
      </c>
      <c r="U114">
        <v>8.0000000000000004E-4</v>
      </c>
      <c r="V114">
        <v>1.8E-3</v>
      </c>
      <c r="W114">
        <v>2.3999999999999998E-3</v>
      </c>
      <c r="X114">
        <v>1E-3</v>
      </c>
      <c r="Y114">
        <v>3.0000000000000001E-3</v>
      </c>
      <c r="Z114">
        <v>2E-3</v>
      </c>
      <c r="AA114">
        <v>2E-3</v>
      </c>
      <c r="AB114">
        <v>2.0999999999999999E-3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3.3E-3</v>
      </c>
      <c r="AH114">
        <v>3.7000000000000002E-3</v>
      </c>
      <c r="AI114">
        <v>2E-3</v>
      </c>
      <c r="AJ114">
        <v>4.1000000000000003E-3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1E-4</v>
      </c>
      <c r="I117">
        <v>1E-3</v>
      </c>
      <c r="J117">
        <v>0</v>
      </c>
      <c r="K117">
        <v>1E-3</v>
      </c>
      <c r="L117">
        <v>1E-4</v>
      </c>
      <c r="M117">
        <v>1.2999999999999999E-3</v>
      </c>
      <c r="N117">
        <v>6.9999999999999999E-4</v>
      </c>
      <c r="O117">
        <v>0</v>
      </c>
      <c r="P117">
        <v>1.1000000000000001E-3</v>
      </c>
      <c r="Q117">
        <v>1E-3</v>
      </c>
      <c r="R117">
        <v>1E-3</v>
      </c>
      <c r="S117">
        <v>1.8E-3</v>
      </c>
      <c r="T117">
        <v>8.0000000000000004E-4</v>
      </c>
      <c r="U117">
        <v>8.0000000000000004E-4</v>
      </c>
      <c r="V117">
        <v>8.0000000000000004E-4</v>
      </c>
      <c r="W117">
        <v>2.3999999999999998E-3</v>
      </c>
      <c r="X117">
        <v>2E-3</v>
      </c>
      <c r="Y117">
        <v>2E-3</v>
      </c>
      <c r="Z117">
        <v>1E-3</v>
      </c>
      <c r="AA117">
        <v>3.0000000000000001E-3</v>
      </c>
      <c r="AB117">
        <v>1.1000000000000001E-3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3.3E-3</v>
      </c>
      <c r="AH117">
        <v>2.7000000000000001E-3</v>
      </c>
      <c r="AI117">
        <v>2E-3</v>
      </c>
      <c r="AJ117">
        <v>4.1000000000000003E-3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082-1DF3-4C44-89A9-8D0E43F663C3}">
  <dimension ref="A1:AJ63"/>
  <sheetViews>
    <sheetView workbookViewId="0">
      <selection sqref="A1:XFD1"/>
    </sheetView>
  </sheetViews>
  <sheetFormatPr defaultRowHeight="14.4"/>
  <cols>
    <col min="2" max="2" width="24.44140625" bestFit="1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9.2937999999999992</v>
      </c>
      <c r="D2">
        <v>9.5034000000000027</v>
      </c>
      <c r="E2">
        <v>9.712299999999999</v>
      </c>
      <c r="F2">
        <v>9.9216999999999995</v>
      </c>
      <c r="G2">
        <v>10.130899999999999</v>
      </c>
      <c r="H2">
        <v>10.340199999999998</v>
      </c>
      <c r="I2">
        <v>10.567</v>
      </c>
      <c r="J2">
        <v>10.794</v>
      </c>
      <c r="K2">
        <v>11.0206</v>
      </c>
      <c r="L2">
        <v>11.247799999999998</v>
      </c>
      <c r="M2">
        <v>11.474399999999997</v>
      </c>
      <c r="N2">
        <v>11.732200000000001</v>
      </c>
      <c r="O2">
        <v>11.990300000000001</v>
      </c>
      <c r="P2">
        <v>12.247299999999999</v>
      </c>
      <c r="Q2">
        <v>12.505500000000001</v>
      </c>
      <c r="R2">
        <v>12.763</v>
      </c>
      <c r="S2">
        <v>13.069599999999998</v>
      </c>
      <c r="T2">
        <v>13.376000000000001</v>
      </c>
      <c r="U2">
        <v>13.6828</v>
      </c>
      <c r="V2">
        <v>13.9894</v>
      </c>
      <c r="W2">
        <v>14.295699999999997</v>
      </c>
      <c r="X2">
        <v>11.297100000000002</v>
      </c>
      <c r="Y2">
        <v>10.415299999999997</v>
      </c>
      <c r="Z2">
        <v>9.5967000000000002</v>
      </c>
      <c r="AA2">
        <v>8.8376000000000001</v>
      </c>
      <c r="AB2">
        <v>8.1340000000000003</v>
      </c>
      <c r="AC2">
        <v>7.5060000000000002</v>
      </c>
      <c r="AD2">
        <v>6.9222999999999999</v>
      </c>
      <c r="AE2">
        <v>6.38</v>
      </c>
      <c r="AF2">
        <v>5.8771000000000022</v>
      </c>
      <c r="AG2">
        <v>18.114900000000006</v>
      </c>
      <c r="AH2">
        <v>18.561999999999998</v>
      </c>
      <c r="AI2">
        <v>19.010000000000002</v>
      </c>
      <c r="AJ2">
        <v>19.457000000000001</v>
      </c>
    </row>
    <row r="3" spans="1:36">
      <c r="A3" t="s">
        <v>19</v>
      </c>
      <c r="B3" s="29" t="s">
        <v>90</v>
      </c>
      <c r="C3">
        <v>0.13900000000000007</v>
      </c>
      <c r="W3">
        <v>9.7999999999999997E-3</v>
      </c>
    </row>
    <row r="4" spans="1:36">
      <c r="A4" t="s">
        <v>19</v>
      </c>
      <c r="B4" s="29" t="s">
        <v>96</v>
      </c>
      <c r="C4">
        <v>19.732799999999994</v>
      </c>
      <c r="D4">
        <v>20.177099999999999</v>
      </c>
      <c r="E4">
        <v>20.621699999999997</v>
      </c>
      <c r="F4">
        <v>21.0655</v>
      </c>
      <c r="G4">
        <v>21.509499999999999</v>
      </c>
      <c r="H4">
        <v>21.954100000000004</v>
      </c>
      <c r="I4">
        <v>22.435800000000004</v>
      </c>
      <c r="J4">
        <v>22.917099999999998</v>
      </c>
      <c r="K4">
        <v>23.399000000000001</v>
      </c>
      <c r="L4">
        <v>23.880399999999998</v>
      </c>
      <c r="M4">
        <v>24.361899999999991</v>
      </c>
      <c r="N4">
        <v>24.909000000000002</v>
      </c>
      <c r="O4">
        <v>25.456200000000003</v>
      </c>
      <c r="P4">
        <v>26.003499999999999</v>
      </c>
      <c r="Q4">
        <v>26.550600000000003</v>
      </c>
      <c r="R4">
        <v>27.097899999999999</v>
      </c>
      <c r="S4">
        <v>27.749399999999994</v>
      </c>
      <c r="T4">
        <v>28.400100000000002</v>
      </c>
      <c r="U4">
        <v>29.050999999999995</v>
      </c>
      <c r="V4">
        <v>29.701799999999999</v>
      </c>
      <c r="W4">
        <v>30.352699999999999</v>
      </c>
      <c r="X4">
        <v>31.110700000000001</v>
      </c>
      <c r="Y4">
        <v>31.868300000000001</v>
      </c>
      <c r="Z4">
        <v>32.625699999999995</v>
      </c>
      <c r="AA4">
        <v>33.383700000000005</v>
      </c>
      <c r="AB4">
        <v>34.141199999999998</v>
      </c>
      <c r="AC4">
        <v>35.004899999999999</v>
      </c>
      <c r="AD4">
        <v>35.869500000000009</v>
      </c>
      <c r="AE4">
        <v>36.733099999999993</v>
      </c>
      <c r="AF4">
        <v>37.597400000000007</v>
      </c>
      <c r="AG4">
        <v>38.461500000000001</v>
      </c>
      <c r="AH4">
        <v>39.411200000000001</v>
      </c>
      <c r="AI4">
        <v>40.360900000000001</v>
      </c>
      <c r="AJ4">
        <v>41.3108</v>
      </c>
    </row>
    <row r="5" spans="1:36">
      <c r="A5" t="s">
        <v>19</v>
      </c>
      <c r="B5" s="29" t="s">
        <v>97</v>
      </c>
      <c r="C5">
        <v>18.160700000000002</v>
      </c>
      <c r="D5">
        <v>18.57</v>
      </c>
      <c r="E5">
        <v>18.978000000000005</v>
      </c>
      <c r="F5">
        <v>19.387700000000002</v>
      </c>
      <c r="G5">
        <v>19.795699999999997</v>
      </c>
      <c r="H5">
        <v>20.205100000000005</v>
      </c>
      <c r="I5">
        <v>20.6478</v>
      </c>
      <c r="J5">
        <v>21.091700000000003</v>
      </c>
      <c r="K5">
        <v>21.534600000000008</v>
      </c>
      <c r="L5">
        <v>21.978000000000005</v>
      </c>
      <c r="M5">
        <v>22.421600000000005</v>
      </c>
      <c r="N5">
        <v>22.924900000000004</v>
      </c>
      <c r="O5">
        <v>23.429200000000002</v>
      </c>
      <c r="P5">
        <v>23.932099999999998</v>
      </c>
      <c r="Q5">
        <v>24.435899999999993</v>
      </c>
      <c r="R5">
        <v>24.939299999999992</v>
      </c>
      <c r="S5">
        <v>25.538399999999992</v>
      </c>
      <c r="T5">
        <v>26.136799999999987</v>
      </c>
      <c r="U5">
        <v>26.736500000000003</v>
      </c>
      <c r="V5">
        <v>27.335799999999999</v>
      </c>
      <c r="W5">
        <v>27.934600000000014</v>
      </c>
      <c r="X5">
        <v>23.780899999999995</v>
      </c>
      <c r="Y5">
        <v>21.924599999999995</v>
      </c>
      <c r="Z5">
        <v>20.2013</v>
      </c>
      <c r="AA5">
        <v>18.604000000000006</v>
      </c>
      <c r="AB5">
        <v>17.122699999999998</v>
      </c>
      <c r="AC5">
        <v>15.800800000000001</v>
      </c>
      <c r="AD5">
        <v>14.571399999999999</v>
      </c>
      <c r="AE5">
        <v>13.429999999999998</v>
      </c>
      <c r="AF5">
        <v>12.371299999999998</v>
      </c>
      <c r="AG5">
        <v>35.397200000000005</v>
      </c>
      <c r="AH5">
        <v>36.270900000000005</v>
      </c>
      <c r="AI5">
        <v>37.146100000000004</v>
      </c>
      <c r="AJ5">
        <v>38.019600000000004</v>
      </c>
    </row>
    <row r="6" spans="1:36">
      <c r="A6" t="s">
        <v>19</v>
      </c>
      <c r="B6" s="29" t="s">
        <v>98</v>
      </c>
      <c r="J6">
        <v>1.1513</v>
      </c>
      <c r="Q6">
        <v>2.8247000000000009</v>
      </c>
      <c r="R6">
        <v>3.0193000000000003</v>
      </c>
      <c r="W6">
        <v>6.5210999999999997</v>
      </c>
      <c r="AG6">
        <v>6.4699999999999994E-2</v>
      </c>
      <c r="AI6">
        <v>2.1659000000000002</v>
      </c>
    </row>
    <row r="7" spans="1:36">
      <c r="A7" t="s">
        <v>19</v>
      </c>
      <c r="B7" s="29" t="s">
        <v>99</v>
      </c>
      <c r="C7">
        <v>19.62</v>
      </c>
      <c r="D7">
        <v>20.370100000000001</v>
      </c>
      <c r="E7">
        <v>21.1479</v>
      </c>
      <c r="F7">
        <v>21.954899999999999</v>
      </c>
      <c r="G7">
        <v>22.794000000000004</v>
      </c>
      <c r="H7">
        <v>23.664999999999996</v>
      </c>
      <c r="I7">
        <v>24.567999999999998</v>
      </c>
      <c r="J7">
        <v>24.354700000000001</v>
      </c>
      <c r="K7">
        <v>26.478999999999999</v>
      </c>
      <c r="L7">
        <v>27.488899999999994</v>
      </c>
      <c r="M7">
        <v>28.536000000000001</v>
      </c>
      <c r="N7">
        <v>29.621900000000004</v>
      </c>
      <c r="O7">
        <v>30.749100000000002</v>
      </c>
      <c r="P7">
        <v>31.917000000000002</v>
      </c>
      <c r="Q7">
        <v>30.303000000000001</v>
      </c>
      <c r="R7">
        <v>31.363800000000001</v>
      </c>
      <c r="S7">
        <v>35.685099999999998</v>
      </c>
      <c r="T7">
        <v>37.033100000000005</v>
      </c>
      <c r="U7">
        <v>38.43</v>
      </c>
      <c r="V7">
        <v>39.878</v>
      </c>
      <c r="W7">
        <v>34.855699999999999</v>
      </c>
      <c r="X7">
        <v>42.929999999999993</v>
      </c>
      <c r="Y7">
        <v>44.539000000000001</v>
      </c>
      <c r="Z7">
        <v>46.204000000000001</v>
      </c>
      <c r="AA7">
        <v>47.927</v>
      </c>
      <c r="AB7">
        <v>49.710999999999999</v>
      </c>
      <c r="AC7">
        <v>51.555899999999994</v>
      </c>
      <c r="AD7">
        <v>53.465000000000003</v>
      </c>
      <c r="AE7">
        <v>55.439</v>
      </c>
      <c r="AF7">
        <v>57.481000000000002</v>
      </c>
      <c r="AG7">
        <v>59.527200000000001</v>
      </c>
      <c r="AH7">
        <v>61.773100000000007</v>
      </c>
      <c r="AI7">
        <v>61.862200000000001</v>
      </c>
      <c r="AJ7">
        <v>66.358999999999995</v>
      </c>
    </row>
    <row r="8" spans="1:36">
      <c r="A8" t="s">
        <v>19</v>
      </c>
      <c r="B8" s="29" t="s">
        <v>100</v>
      </c>
      <c r="C8">
        <v>1.0757999999999996</v>
      </c>
      <c r="D8">
        <v>4.9310999999999998</v>
      </c>
      <c r="E8">
        <v>4.9376999999999995</v>
      </c>
      <c r="F8">
        <v>4.9444999999999988</v>
      </c>
      <c r="G8">
        <v>4.9518000000000004</v>
      </c>
      <c r="H8">
        <v>3.5785</v>
      </c>
      <c r="I8">
        <v>4.2703000000000015</v>
      </c>
      <c r="J8">
        <v>3.8239999999999994</v>
      </c>
      <c r="K8">
        <v>4.9838000000000005</v>
      </c>
      <c r="L8">
        <v>4.9924000000000008</v>
      </c>
      <c r="M8">
        <v>1.7059999999999991</v>
      </c>
      <c r="N8">
        <v>5.0105000000000004</v>
      </c>
      <c r="O8">
        <v>5.0804000000000018</v>
      </c>
      <c r="P8">
        <v>5.3786000000000005</v>
      </c>
      <c r="Q8">
        <v>2.5235000000000003</v>
      </c>
      <c r="R8">
        <v>2.2916000000000003</v>
      </c>
      <c r="S8">
        <v>6.5728999999999997</v>
      </c>
      <c r="T8">
        <v>11.910999999999998</v>
      </c>
      <c r="U8">
        <v>18.311199999999996</v>
      </c>
      <c r="V8">
        <v>22.025399999999998</v>
      </c>
      <c r="W8">
        <v>18.339299999999998</v>
      </c>
      <c r="X8">
        <v>26.972900000000003</v>
      </c>
      <c r="Y8">
        <v>29.231099999999994</v>
      </c>
      <c r="Z8">
        <v>30.854499999999991</v>
      </c>
      <c r="AA8">
        <v>33.157600000000002</v>
      </c>
      <c r="AB8">
        <v>36.004400000000011</v>
      </c>
      <c r="AC8">
        <v>40.662600000000012</v>
      </c>
      <c r="AD8">
        <v>46.28749999999998</v>
      </c>
      <c r="AE8">
        <v>49.998299999999993</v>
      </c>
      <c r="AF8">
        <v>55.113999999999997</v>
      </c>
      <c r="AG8">
        <v>56.646200000000015</v>
      </c>
      <c r="AH8">
        <v>59.384600000000006</v>
      </c>
      <c r="AI8">
        <v>62.865800000000014</v>
      </c>
      <c r="AJ8">
        <v>62.670400000000001</v>
      </c>
    </row>
    <row r="9" spans="1:36">
      <c r="A9" t="s">
        <v>19</v>
      </c>
      <c r="B9" s="29" t="s">
        <v>101</v>
      </c>
      <c r="C9">
        <v>21.345500000000001</v>
      </c>
      <c r="D9">
        <v>17.3109</v>
      </c>
      <c r="E9">
        <v>19.182700000000004</v>
      </c>
      <c r="F9">
        <v>18.401000000000007</v>
      </c>
      <c r="G9">
        <v>19.777199999999997</v>
      </c>
      <c r="H9">
        <v>13.039699999999998</v>
      </c>
      <c r="I9">
        <v>11.759499999999997</v>
      </c>
      <c r="J9">
        <v>13.537700000000001</v>
      </c>
      <c r="K9">
        <v>13.714899999999998</v>
      </c>
      <c r="L9">
        <v>15.100000000000001</v>
      </c>
      <c r="M9">
        <v>19.879199999999997</v>
      </c>
      <c r="N9">
        <v>18.261400000000002</v>
      </c>
      <c r="O9">
        <v>19.734400000000004</v>
      </c>
      <c r="P9">
        <v>21.141899999999996</v>
      </c>
      <c r="Q9">
        <v>22.527899999999995</v>
      </c>
      <c r="R9">
        <v>21.1751</v>
      </c>
      <c r="S9">
        <v>27.667800000000003</v>
      </c>
      <c r="T9">
        <v>71.966700000000017</v>
      </c>
      <c r="U9">
        <v>125.29819999999999</v>
      </c>
      <c r="V9">
        <v>155.62469999999996</v>
      </c>
      <c r="W9">
        <v>184.90660000000003</v>
      </c>
      <c r="X9">
        <v>194.92159999999998</v>
      </c>
      <c r="Y9">
        <v>212.64639999999994</v>
      </c>
      <c r="Z9">
        <v>224.89410000000001</v>
      </c>
      <c r="AA9">
        <v>242.89330000000004</v>
      </c>
      <c r="AB9">
        <v>265.47950000000003</v>
      </c>
      <c r="AC9">
        <v>303.48360000000002</v>
      </c>
      <c r="AD9">
        <v>349.6905000000001</v>
      </c>
      <c r="AE9">
        <v>379.4744</v>
      </c>
      <c r="AF9">
        <v>421.19639999999993</v>
      </c>
      <c r="AG9">
        <v>432.84870000000001</v>
      </c>
      <c r="AH9">
        <v>453.50019999999995</v>
      </c>
      <c r="AI9">
        <v>501.72200000000009</v>
      </c>
      <c r="AJ9">
        <v>477.10499999999979</v>
      </c>
    </row>
    <row r="10" spans="1:36">
      <c r="A10" t="s">
        <v>19</v>
      </c>
      <c r="B10" s="29" t="s">
        <v>102</v>
      </c>
      <c r="C10">
        <v>236.71980000000002</v>
      </c>
    </row>
    <row r="11" spans="1:36">
      <c r="A11" t="s">
        <v>19</v>
      </c>
      <c r="B11" s="29" t="s">
        <v>103</v>
      </c>
      <c r="D11">
        <v>240.41520000000003</v>
      </c>
      <c r="E11">
        <v>244.10820000000007</v>
      </c>
      <c r="F11">
        <v>247.80360000000002</v>
      </c>
      <c r="G11">
        <v>251.59439999999998</v>
      </c>
      <c r="H11">
        <v>258.48599999999999</v>
      </c>
      <c r="I11">
        <v>270.25980000000004</v>
      </c>
      <c r="J11">
        <v>273.91320000000007</v>
      </c>
      <c r="K11">
        <v>277.3343999999999</v>
      </c>
      <c r="L11">
        <v>279.06960000000004</v>
      </c>
      <c r="M11">
        <v>279.06960000000004</v>
      </c>
      <c r="N11">
        <v>279.06960000000004</v>
      </c>
      <c r="O11">
        <v>281.43780000000015</v>
      </c>
      <c r="P11">
        <v>284.74140000000011</v>
      </c>
      <c r="Q11">
        <v>293.89680000000016</v>
      </c>
      <c r="R11">
        <v>299.97359999999998</v>
      </c>
      <c r="S11">
        <v>302.83140000000003</v>
      </c>
      <c r="T11">
        <v>305.68859999999989</v>
      </c>
      <c r="U11">
        <v>308.54880000000003</v>
      </c>
      <c r="V11">
        <v>311.40540000000016</v>
      </c>
      <c r="W11">
        <v>314.26500000000021</v>
      </c>
      <c r="X11">
        <v>316.80419999999987</v>
      </c>
      <c r="Y11">
        <v>319.34160000000008</v>
      </c>
      <c r="Z11">
        <v>321.88199999999995</v>
      </c>
      <c r="AA11">
        <v>324.42119999999994</v>
      </c>
      <c r="AB11">
        <v>326.96040000000005</v>
      </c>
      <c r="AC11">
        <v>329.15759999999995</v>
      </c>
      <c r="AD11">
        <v>331.35480000000018</v>
      </c>
      <c r="AE11">
        <v>333.55260000000033</v>
      </c>
      <c r="AF11">
        <v>335.74980000000022</v>
      </c>
      <c r="AG11">
        <v>337.94699999999989</v>
      </c>
      <c r="AH11">
        <v>339.84239999999994</v>
      </c>
      <c r="AI11">
        <v>341.73779999999977</v>
      </c>
      <c r="AJ11">
        <v>343.63319999999993</v>
      </c>
    </row>
    <row r="12" spans="1:36">
      <c r="A12" t="s">
        <v>19</v>
      </c>
      <c r="B12" s="29" t="s">
        <v>104</v>
      </c>
      <c r="C12">
        <v>12.345600000000005</v>
      </c>
      <c r="D12">
        <v>12.250199999999987</v>
      </c>
      <c r="E12">
        <v>12.156599999999996</v>
      </c>
      <c r="F12">
        <v>12.061199999999996</v>
      </c>
      <c r="G12">
        <v>11.871599999999992</v>
      </c>
      <c r="H12">
        <v>8.5811999999999973</v>
      </c>
      <c r="I12">
        <v>0.22939999999999999</v>
      </c>
      <c r="L12">
        <v>1.6878</v>
      </c>
      <c r="M12">
        <v>5.1110000000000007</v>
      </c>
      <c r="N12">
        <v>8.2685999999999975</v>
      </c>
      <c r="O12">
        <v>9.0594000000000037</v>
      </c>
      <c r="P12">
        <v>8.9156000000000049</v>
      </c>
      <c r="Q12">
        <v>2.9175999999999997</v>
      </c>
    </row>
    <row r="13" spans="1:36">
      <c r="A13" t="s">
        <v>19</v>
      </c>
      <c r="B13" s="29" t="s">
        <v>107</v>
      </c>
      <c r="C13">
        <v>111.10479999999998</v>
      </c>
      <c r="D13">
        <v>119.17769999999999</v>
      </c>
      <c r="E13">
        <v>127.2505</v>
      </c>
      <c r="F13">
        <v>135.3235</v>
      </c>
      <c r="G13">
        <v>143.39609999999999</v>
      </c>
      <c r="H13">
        <v>151.46880000000002</v>
      </c>
      <c r="I13">
        <v>161.46510000000001</v>
      </c>
      <c r="J13">
        <v>171.46130000000002</v>
      </c>
      <c r="K13">
        <v>181.45749999999995</v>
      </c>
      <c r="L13">
        <v>191.45339999999999</v>
      </c>
      <c r="M13">
        <v>201.45000000000007</v>
      </c>
      <c r="N13">
        <v>213.1986</v>
      </c>
      <c r="O13">
        <v>224.94749999999999</v>
      </c>
      <c r="P13">
        <v>236.69640000000001</v>
      </c>
      <c r="Q13">
        <v>248.44519999999997</v>
      </c>
      <c r="R13">
        <v>260.19389999999999</v>
      </c>
      <c r="S13">
        <v>274.01189999999997</v>
      </c>
      <c r="T13">
        <v>287.82959999999997</v>
      </c>
      <c r="U13">
        <v>301.64779999999996</v>
      </c>
      <c r="V13">
        <v>315.46569999999997</v>
      </c>
      <c r="W13">
        <v>329.28370000000001</v>
      </c>
      <c r="X13">
        <v>344.13319999999999</v>
      </c>
      <c r="Y13">
        <v>358.98300000000006</v>
      </c>
      <c r="Z13">
        <v>373.83240000000001</v>
      </c>
      <c r="AA13">
        <v>388.68179999999995</v>
      </c>
      <c r="AB13">
        <v>403.53149999999994</v>
      </c>
      <c r="AC13">
        <v>417.66400000000004</v>
      </c>
      <c r="AD13">
        <v>431.79649999999992</v>
      </c>
      <c r="AE13">
        <v>445.92899999999997</v>
      </c>
      <c r="AF13">
        <v>460.06119999999999</v>
      </c>
      <c r="AG13">
        <v>474.19370000000009</v>
      </c>
      <c r="AH13">
        <v>485.83350000000013</v>
      </c>
      <c r="AI13">
        <v>497.47350000000012</v>
      </c>
      <c r="AJ13">
        <v>509.11349999999993</v>
      </c>
    </row>
    <row r="14" spans="1:36">
      <c r="A14" t="s">
        <v>19</v>
      </c>
      <c r="B14" s="29" t="s">
        <v>108</v>
      </c>
      <c r="C14">
        <v>16.885799999999996</v>
      </c>
    </row>
    <row r="15" spans="1:36">
      <c r="A15" t="s">
        <v>19</v>
      </c>
      <c r="B15" s="29" t="s">
        <v>110</v>
      </c>
      <c r="C15">
        <v>41.364599999999989</v>
      </c>
      <c r="D15">
        <v>119.18999999999994</v>
      </c>
      <c r="E15">
        <v>121.80119999999997</v>
      </c>
      <c r="F15">
        <v>121.70399999999991</v>
      </c>
      <c r="G15">
        <v>126.98459999999989</v>
      </c>
      <c r="H15">
        <v>126.86519999999999</v>
      </c>
      <c r="I15">
        <v>132.34199999999996</v>
      </c>
      <c r="J15">
        <v>135.11580000000004</v>
      </c>
      <c r="K15">
        <v>137.87820000000002</v>
      </c>
      <c r="L15">
        <v>140.63279999999997</v>
      </c>
      <c r="M15">
        <v>143.9136</v>
      </c>
      <c r="N15">
        <v>146.98200000000003</v>
      </c>
      <c r="O15">
        <v>150.0431999999999</v>
      </c>
      <c r="P15">
        <v>153.10140000000001</v>
      </c>
      <c r="Q15">
        <v>156.15420000000003</v>
      </c>
      <c r="R15">
        <v>159.20459999999997</v>
      </c>
      <c r="S15">
        <v>162.86279999999988</v>
      </c>
      <c r="T15">
        <v>166.52099999999987</v>
      </c>
      <c r="U15">
        <v>170.17679999999996</v>
      </c>
      <c r="V15">
        <v>173.83379999999994</v>
      </c>
      <c r="W15">
        <v>177.3095999999999</v>
      </c>
      <c r="X15">
        <v>181.53660000000008</v>
      </c>
      <c r="Y15">
        <v>185.77380000000011</v>
      </c>
      <c r="Z15">
        <v>190.02179999999987</v>
      </c>
      <c r="AA15">
        <v>194.27820000000003</v>
      </c>
      <c r="AB15">
        <v>198.54540000000011</v>
      </c>
      <c r="AC15">
        <v>203.4353999999999</v>
      </c>
      <c r="AD15">
        <v>208.33439999999987</v>
      </c>
      <c r="AE15">
        <v>213.24060000000006</v>
      </c>
      <c r="AF15">
        <v>218.15040000000002</v>
      </c>
      <c r="AG15">
        <v>222.20699999999994</v>
      </c>
      <c r="AH15">
        <v>227.69579999999991</v>
      </c>
      <c r="AI15">
        <v>233.1828000000001</v>
      </c>
      <c r="AJ15">
        <v>238.67160000000015</v>
      </c>
    </row>
    <row r="16" spans="1:36">
      <c r="A16" t="s">
        <v>19</v>
      </c>
      <c r="B16" s="29" t="s">
        <v>113</v>
      </c>
      <c r="C16">
        <v>0.81119999999999981</v>
      </c>
    </row>
    <row r="17" spans="1:36">
      <c r="A17" t="s">
        <v>19</v>
      </c>
      <c r="B17" s="29" t="s">
        <v>115</v>
      </c>
      <c r="C17">
        <v>54.419999999999995</v>
      </c>
      <c r="F17">
        <v>2.5452000000000008</v>
      </c>
      <c r="H17">
        <v>2.539200000000001</v>
      </c>
    </row>
    <row r="18" spans="1:36">
      <c r="A18" t="s">
        <v>19</v>
      </c>
      <c r="B18" s="29" t="s">
        <v>116</v>
      </c>
      <c r="C18">
        <v>16.885799999999996</v>
      </c>
    </row>
    <row r="19" spans="1:36">
      <c r="A19" t="s">
        <v>19</v>
      </c>
      <c r="B19" s="29" t="s">
        <v>117</v>
      </c>
      <c r="C19">
        <v>41.364599999999989</v>
      </c>
      <c r="D19">
        <v>94.193999999999988</v>
      </c>
      <c r="E19">
        <v>121.80119999999997</v>
      </c>
      <c r="F19">
        <v>121.70399999999991</v>
      </c>
      <c r="G19">
        <v>126.98459999999989</v>
      </c>
      <c r="H19">
        <v>126.86519999999999</v>
      </c>
      <c r="I19">
        <v>132.34199999999996</v>
      </c>
      <c r="J19">
        <v>135.11580000000004</v>
      </c>
      <c r="K19">
        <v>137.87820000000002</v>
      </c>
      <c r="L19">
        <v>140.63279999999997</v>
      </c>
      <c r="M19">
        <v>143.9136</v>
      </c>
      <c r="N19">
        <v>146.98200000000003</v>
      </c>
      <c r="O19">
        <v>150.0431999999999</v>
      </c>
      <c r="P19">
        <v>153.10140000000001</v>
      </c>
      <c r="Q19">
        <v>156.15420000000003</v>
      </c>
      <c r="R19">
        <v>159.20459999999997</v>
      </c>
      <c r="S19">
        <v>162.86279999999988</v>
      </c>
      <c r="T19">
        <v>166.52099999999987</v>
      </c>
      <c r="U19">
        <v>170.17679999999996</v>
      </c>
      <c r="V19">
        <v>173.83379999999997</v>
      </c>
      <c r="W19">
        <v>177.3095999999999</v>
      </c>
      <c r="X19">
        <v>181.53660000000008</v>
      </c>
      <c r="Y19">
        <v>185.77380000000011</v>
      </c>
      <c r="Z19">
        <v>190.02179999999987</v>
      </c>
      <c r="AA19">
        <v>194.27820000000003</v>
      </c>
      <c r="AB19">
        <v>198.54540000000011</v>
      </c>
      <c r="AC19">
        <v>203.4353999999999</v>
      </c>
      <c r="AD19">
        <v>208.33439999999987</v>
      </c>
      <c r="AE19">
        <v>213.24060000000006</v>
      </c>
      <c r="AF19">
        <v>218.15040000000002</v>
      </c>
      <c r="AG19">
        <v>222.20699999999994</v>
      </c>
      <c r="AH19">
        <v>227.69579999999991</v>
      </c>
      <c r="AI19">
        <v>233.1828000000001</v>
      </c>
      <c r="AJ19">
        <v>238.67160000000015</v>
      </c>
    </row>
    <row r="20" spans="1:36">
      <c r="A20" t="s">
        <v>19</v>
      </c>
      <c r="B20" s="29" t="s">
        <v>120</v>
      </c>
      <c r="C20">
        <v>0.81119999999999981</v>
      </c>
    </row>
    <row r="21" spans="1:36">
      <c r="A21" t="s">
        <v>19</v>
      </c>
      <c r="B21" s="29" t="s">
        <v>121</v>
      </c>
      <c r="C21">
        <v>54.419999999999995</v>
      </c>
      <c r="D21">
        <v>23.643599999999996</v>
      </c>
      <c r="F21">
        <v>2.5452000000000008</v>
      </c>
      <c r="H21">
        <v>2.539200000000001</v>
      </c>
    </row>
    <row r="22" spans="1:36">
      <c r="A22" t="s">
        <v>19</v>
      </c>
      <c r="B22" s="29" t="s">
        <v>122</v>
      </c>
      <c r="C22">
        <v>299.52839999999998</v>
      </c>
      <c r="D22">
        <v>306.27180000000004</v>
      </c>
      <c r="E22">
        <v>313.0145999999998</v>
      </c>
      <c r="F22">
        <v>319.75620000000004</v>
      </c>
      <c r="G22">
        <v>326.49959999999987</v>
      </c>
      <c r="H22">
        <v>333.24359999999996</v>
      </c>
      <c r="I22">
        <v>340.55159999999995</v>
      </c>
      <c r="J22">
        <v>347.86259999999953</v>
      </c>
      <c r="K22">
        <v>355.17300000000017</v>
      </c>
      <c r="L22">
        <v>362.48519999999996</v>
      </c>
      <c r="M22">
        <v>369.7932000000003</v>
      </c>
      <c r="N22">
        <v>378.09960000000018</v>
      </c>
      <c r="O22">
        <v>386.4072000000001</v>
      </c>
      <c r="P22">
        <v>394.71359999999993</v>
      </c>
      <c r="Q22">
        <v>403.0175999999995</v>
      </c>
      <c r="R22">
        <v>411.32400000000035</v>
      </c>
      <c r="S22">
        <v>421.20600000000036</v>
      </c>
      <c r="T22">
        <v>431.08680000000015</v>
      </c>
      <c r="U22">
        <v>440.96759999999966</v>
      </c>
      <c r="V22">
        <v>450.85260000000045</v>
      </c>
      <c r="W22">
        <v>460.72979999999995</v>
      </c>
      <c r="X22">
        <v>472.23059999999992</v>
      </c>
      <c r="Y22">
        <v>483.73319999999939</v>
      </c>
      <c r="Z22">
        <v>495.23520000000013</v>
      </c>
      <c r="AA22">
        <v>506.73659999999978</v>
      </c>
      <c r="AB22">
        <v>518.23980000000006</v>
      </c>
      <c r="AC22">
        <v>531.35159999999939</v>
      </c>
      <c r="AD22">
        <v>544.46820000000071</v>
      </c>
      <c r="AE22">
        <v>557.5799999999997</v>
      </c>
      <c r="AF22">
        <v>570.69599999999991</v>
      </c>
      <c r="AG22">
        <v>583.81020000000092</v>
      </c>
      <c r="AH22">
        <v>598.22879999999998</v>
      </c>
      <c r="AI22">
        <v>612.64499999999987</v>
      </c>
      <c r="AJ22">
        <v>627.0654000000003</v>
      </c>
    </row>
    <row r="23" spans="1:36">
      <c r="A23" t="s">
        <v>19</v>
      </c>
      <c r="B23" s="29" t="s">
        <v>124</v>
      </c>
      <c r="C23">
        <v>8.1777999999999995</v>
      </c>
      <c r="D23">
        <v>8.4837000000000007</v>
      </c>
      <c r="E23">
        <v>8.8008999999999986</v>
      </c>
      <c r="F23">
        <v>9.1301000000000005</v>
      </c>
      <c r="G23">
        <v>9.4716000000000005</v>
      </c>
      <c r="H23">
        <v>9.8259000000000007</v>
      </c>
      <c r="I23">
        <v>10.193299999999999</v>
      </c>
      <c r="J23">
        <v>10.5746</v>
      </c>
      <c r="K23">
        <v>10.9701</v>
      </c>
      <c r="L23">
        <v>11.380299999999997</v>
      </c>
      <c r="M23">
        <v>11.806000000000001</v>
      </c>
      <c r="N23">
        <v>12.2475</v>
      </c>
      <c r="O23">
        <v>12.7057</v>
      </c>
      <c r="P23">
        <v>13.180699999999998</v>
      </c>
      <c r="Q23">
        <v>13.6737</v>
      </c>
      <c r="R23">
        <v>14.184999999999999</v>
      </c>
      <c r="S23">
        <v>14.715600000000002</v>
      </c>
      <c r="T23">
        <v>15.266</v>
      </c>
      <c r="U23">
        <v>15.8369</v>
      </c>
      <c r="V23">
        <v>16.429299999999994</v>
      </c>
      <c r="W23">
        <v>17.043600000000001</v>
      </c>
      <c r="X23">
        <v>17.6812</v>
      </c>
      <c r="Y23">
        <v>18.342400000000001</v>
      </c>
      <c r="Z23">
        <v>19.028400000000001</v>
      </c>
      <c r="AA23">
        <v>19.740099999999998</v>
      </c>
      <c r="AB23">
        <v>20.478299999999997</v>
      </c>
      <c r="AC23">
        <v>21.244299999999999</v>
      </c>
      <c r="AD23">
        <v>22.038800000000002</v>
      </c>
      <c r="AE23">
        <v>22.863099999999999</v>
      </c>
      <c r="AF23">
        <v>23.7181</v>
      </c>
      <c r="AG23">
        <v>24.6051</v>
      </c>
      <c r="AH23">
        <v>25.525300000000001</v>
      </c>
      <c r="AI23">
        <v>26.4801</v>
      </c>
      <c r="AJ23">
        <v>27.470399999999998</v>
      </c>
    </row>
    <row r="24" spans="1:36">
      <c r="A24" t="s">
        <v>19</v>
      </c>
      <c r="B24" s="29" t="s">
        <v>126</v>
      </c>
      <c r="C24">
        <v>142503.75160000002</v>
      </c>
      <c r="D24">
        <v>168.65799999999996</v>
      </c>
      <c r="E24">
        <v>168.65780000000001</v>
      </c>
      <c r="F24">
        <v>168.65779999999998</v>
      </c>
      <c r="G24">
        <v>168.65779999999998</v>
      </c>
      <c r="H24">
        <v>168.65810000000002</v>
      </c>
      <c r="I24">
        <v>168.65789999999998</v>
      </c>
      <c r="J24">
        <v>168.65790000000001</v>
      </c>
      <c r="K24">
        <v>168.65810000000005</v>
      </c>
      <c r="L24">
        <v>168.65809999999996</v>
      </c>
      <c r="M24">
        <v>168.65790000000001</v>
      </c>
      <c r="N24">
        <v>168.65799999999999</v>
      </c>
      <c r="O24">
        <v>168.65800000000002</v>
      </c>
      <c r="P24">
        <v>168.65810000000008</v>
      </c>
      <c r="Q24">
        <v>168.65799999999999</v>
      </c>
      <c r="R24">
        <v>168.65809999999999</v>
      </c>
      <c r="S24">
        <v>168.65760000000003</v>
      </c>
      <c r="T24">
        <v>168.65789999999993</v>
      </c>
      <c r="U24">
        <v>168.65789999999998</v>
      </c>
      <c r="V24">
        <v>168.65800000000002</v>
      </c>
      <c r="W24">
        <v>168.65800000000002</v>
      </c>
      <c r="X24">
        <v>168.65789999999998</v>
      </c>
      <c r="Y24">
        <v>168.65790000000001</v>
      </c>
      <c r="Z24">
        <v>168.65789999999998</v>
      </c>
      <c r="AA24">
        <v>168.65789999999998</v>
      </c>
      <c r="AB24">
        <v>168.65779999999998</v>
      </c>
      <c r="AC24">
        <v>168.65780000000001</v>
      </c>
      <c r="AD24">
        <v>168.65789999999998</v>
      </c>
      <c r="AE24">
        <v>168.65779999999998</v>
      </c>
      <c r="AF24">
        <v>168.65779999999998</v>
      </c>
      <c r="AG24">
        <v>168.65789999999998</v>
      </c>
      <c r="AH24">
        <v>168.65789999999998</v>
      </c>
      <c r="AI24">
        <v>168.65789999999998</v>
      </c>
      <c r="AJ24">
        <v>168.65790000000001</v>
      </c>
    </row>
    <row r="25" spans="1:36">
      <c r="A25" t="s">
        <v>19</v>
      </c>
      <c r="B25" s="29" t="s">
        <v>128</v>
      </c>
      <c r="C25">
        <v>5.1488999999999994</v>
      </c>
      <c r="D25">
        <v>5.1488999999999994</v>
      </c>
      <c r="E25">
        <v>5.1488999999999994</v>
      </c>
      <c r="F25">
        <v>5.1489000000000003</v>
      </c>
      <c r="G25">
        <v>5.1489000000000003</v>
      </c>
      <c r="H25">
        <v>5.1489000000000003</v>
      </c>
      <c r="I25">
        <v>5.1488999999999994</v>
      </c>
      <c r="J25">
        <v>5.1489000000000003</v>
      </c>
      <c r="K25">
        <v>5.1489000000000003</v>
      </c>
      <c r="L25">
        <v>5.1488999999999994</v>
      </c>
      <c r="M25">
        <v>5.1487999999999996</v>
      </c>
      <c r="N25">
        <v>5.1489000000000003</v>
      </c>
      <c r="O25">
        <v>5.1488000000000005</v>
      </c>
      <c r="P25">
        <v>5.1488999999999994</v>
      </c>
      <c r="Q25">
        <v>5.1488000000000005</v>
      </c>
      <c r="R25">
        <v>5.1488999999999994</v>
      </c>
      <c r="S25">
        <v>5.1488999999999994</v>
      </c>
      <c r="T25">
        <v>5.1488999999999994</v>
      </c>
      <c r="U25">
        <v>5.1488999999999994</v>
      </c>
      <c r="V25">
        <v>5.1488999999999994</v>
      </c>
      <c r="W25">
        <v>5.1488999999999994</v>
      </c>
      <c r="X25">
        <v>5.1488999999999994</v>
      </c>
      <c r="Y25">
        <v>5.1488999999999994</v>
      </c>
      <c r="Z25">
        <v>5.1488999999999994</v>
      </c>
      <c r="AA25">
        <v>5.1488999999999994</v>
      </c>
      <c r="AB25">
        <v>5.1488999999999994</v>
      </c>
      <c r="AC25">
        <v>5.1488999999999994</v>
      </c>
      <c r="AD25">
        <v>5.1488999999999994</v>
      </c>
      <c r="AE25">
        <v>5.1488999999999994</v>
      </c>
      <c r="AF25">
        <v>5.1488999999999994</v>
      </c>
      <c r="AG25">
        <v>5.1488999999999994</v>
      </c>
      <c r="AH25">
        <v>5.1488999999999994</v>
      </c>
      <c r="AI25">
        <v>5.1488999999999994</v>
      </c>
      <c r="AJ25">
        <v>5.1488999999999994</v>
      </c>
    </row>
    <row r="26" spans="1:36">
      <c r="A26" t="s">
        <v>19</v>
      </c>
      <c r="B26" s="29" t="s">
        <v>129</v>
      </c>
      <c r="C26">
        <v>34.68760000000001</v>
      </c>
      <c r="D26">
        <v>34.687599999999996</v>
      </c>
      <c r="E26">
        <v>34.687200000000011</v>
      </c>
      <c r="F26">
        <v>34.687499999999993</v>
      </c>
      <c r="G26">
        <v>34.6873</v>
      </c>
      <c r="H26">
        <v>34.687700000000007</v>
      </c>
      <c r="I26">
        <v>34.687599999999996</v>
      </c>
      <c r="J26">
        <v>34.688000000000009</v>
      </c>
      <c r="K26">
        <v>34.687700000000007</v>
      </c>
      <c r="L26">
        <v>34.687600000000003</v>
      </c>
      <c r="M26">
        <v>34.6877</v>
      </c>
      <c r="N26">
        <v>34.687299999999993</v>
      </c>
      <c r="O26">
        <v>35.903799999999997</v>
      </c>
      <c r="P26">
        <v>41.754300000000001</v>
      </c>
      <c r="Q26">
        <v>40.933</v>
      </c>
      <c r="R26">
        <v>39.948599999999999</v>
      </c>
      <c r="S26">
        <v>65.341200000000001</v>
      </c>
      <c r="T26">
        <v>173.48069999999996</v>
      </c>
      <c r="U26">
        <v>303.18539999999996</v>
      </c>
      <c r="V26">
        <v>378.34230000000002</v>
      </c>
      <c r="W26">
        <v>435.63290000000006</v>
      </c>
      <c r="X26">
        <v>478.25040000000001</v>
      </c>
      <c r="Y26">
        <v>523.81040000000007</v>
      </c>
      <c r="Z26">
        <v>556.476</v>
      </c>
      <c r="AA26">
        <v>602.9307</v>
      </c>
      <c r="AB26">
        <v>660.41319999999985</v>
      </c>
      <c r="AC26">
        <v>754.65529999999978</v>
      </c>
      <c r="AD26">
        <v>868.52359999999987</v>
      </c>
      <c r="AE26">
        <v>943.50959999999998</v>
      </c>
      <c r="AF26">
        <v>1047.0038</v>
      </c>
      <c r="AG26">
        <v>1079.0472000000002</v>
      </c>
      <c r="AH26">
        <v>1132.9264000000001</v>
      </c>
      <c r="AI26">
        <v>1247.1675</v>
      </c>
      <c r="AJ26">
        <v>1198.8019999999997</v>
      </c>
    </row>
    <row r="27" spans="1:36">
      <c r="A27" t="s">
        <v>19</v>
      </c>
      <c r="B27" s="29" t="s">
        <v>132</v>
      </c>
      <c r="C27">
        <v>18.003</v>
      </c>
      <c r="D27">
        <v>20.811299999999999</v>
      </c>
      <c r="E27">
        <v>19.039200000000001</v>
      </c>
      <c r="F27">
        <v>20.2913</v>
      </c>
      <c r="G27">
        <v>20.827399999999997</v>
      </c>
    </row>
    <row r="28" spans="1:36">
      <c r="A28" t="s">
        <v>19</v>
      </c>
      <c r="B28" s="29" t="s">
        <v>133</v>
      </c>
      <c r="C28">
        <v>657.53020000000004</v>
      </c>
      <c r="D28">
        <v>701.28930000000003</v>
      </c>
      <c r="E28">
        <v>750.76899999999989</v>
      </c>
      <c r="F28">
        <v>833.54099999999994</v>
      </c>
      <c r="G28">
        <v>896.88640000000032</v>
      </c>
      <c r="H28">
        <v>823.47790000000009</v>
      </c>
      <c r="I28">
        <v>784.80600000000004</v>
      </c>
      <c r="J28">
        <v>728.73680000000013</v>
      </c>
      <c r="K28">
        <v>672.69950000000006</v>
      </c>
      <c r="L28">
        <v>616.6303999999999</v>
      </c>
      <c r="M28">
        <v>105.13670000000002</v>
      </c>
      <c r="N28">
        <v>185.23439999999997</v>
      </c>
      <c r="O28">
        <v>267.62739999999997</v>
      </c>
      <c r="P28">
        <v>357.6703</v>
      </c>
      <c r="Q28">
        <v>336.35009999999994</v>
      </c>
      <c r="R28">
        <v>280.28079999999994</v>
      </c>
      <c r="S28">
        <v>224.24390000000002</v>
      </c>
      <c r="T28">
        <v>168.1747</v>
      </c>
      <c r="U28">
        <v>112.10610000000001</v>
      </c>
      <c r="V28">
        <v>56.068800000000003</v>
      </c>
    </row>
    <row r="29" spans="1:36">
      <c r="A29" t="s">
        <v>19</v>
      </c>
      <c r="B29" s="29" t="s">
        <v>134</v>
      </c>
      <c r="C29">
        <v>131.27699999999999</v>
      </c>
      <c r="D29">
        <v>128.31489999999999</v>
      </c>
      <c r="E29">
        <v>120.39699999999996</v>
      </c>
      <c r="F29">
        <v>112.21179999999998</v>
      </c>
      <c r="G29">
        <v>121.49469999999997</v>
      </c>
      <c r="H29">
        <v>2.1646000000000001</v>
      </c>
      <c r="I29">
        <v>3.0293999999999999</v>
      </c>
      <c r="S29">
        <v>19.357500000000005</v>
      </c>
      <c r="T29">
        <v>16.678100000000001</v>
      </c>
      <c r="U29">
        <v>9.534399999999998</v>
      </c>
      <c r="V29">
        <v>9.4814999999999987</v>
      </c>
      <c r="W29">
        <v>4.7355999999999998</v>
      </c>
      <c r="X29">
        <v>4.7355999999999998</v>
      </c>
      <c r="Y29">
        <v>4.7271999999999998</v>
      </c>
      <c r="Z29">
        <v>4.7271999999999998</v>
      </c>
      <c r="AA29">
        <v>4.7271999999999998</v>
      </c>
      <c r="AB29">
        <v>4.7271999999999998</v>
      </c>
    </row>
    <row r="30" spans="1:36">
      <c r="A30" t="s">
        <v>19</v>
      </c>
      <c r="B30" s="29" t="s">
        <v>135</v>
      </c>
      <c r="C30">
        <v>46.398199999999989</v>
      </c>
      <c r="D30">
        <v>30.358200000000004</v>
      </c>
      <c r="E30">
        <v>47.316600000000008</v>
      </c>
      <c r="F30">
        <v>24.493200000000005</v>
      </c>
      <c r="G30">
        <v>25.207899999999999</v>
      </c>
    </row>
    <row r="31" spans="1:36">
      <c r="A31" t="s">
        <v>19</v>
      </c>
      <c r="B31" s="29" t="s">
        <v>142</v>
      </c>
      <c r="H31">
        <v>150.88200000000003</v>
      </c>
      <c r="I31">
        <v>150.88200000000003</v>
      </c>
      <c r="J31">
        <v>257.45520000000005</v>
      </c>
      <c r="K31">
        <v>363.62219999999991</v>
      </c>
      <c r="L31">
        <v>469.28520000000015</v>
      </c>
      <c r="M31">
        <v>909.67849999999976</v>
      </c>
      <c r="N31">
        <v>928.47589999999968</v>
      </c>
      <c r="O31">
        <v>938.99299999999982</v>
      </c>
      <c r="P31">
        <v>951.41819999999973</v>
      </c>
      <c r="Q31">
        <v>899.81519999999978</v>
      </c>
      <c r="R31">
        <v>867.86659999999983</v>
      </c>
      <c r="S31">
        <v>812.08099999999979</v>
      </c>
      <c r="T31">
        <v>776.39019999999982</v>
      </c>
      <c r="U31">
        <v>717.34519999999986</v>
      </c>
      <c r="V31">
        <v>698.99729999999988</v>
      </c>
      <c r="W31">
        <v>696.50169999999991</v>
      </c>
      <c r="X31">
        <v>701.96929999999975</v>
      </c>
      <c r="Y31">
        <v>707.92549999999983</v>
      </c>
      <c r="Z31">
        <v>717.63899999999978</v>
      </c>
      <c r="AA31">
        <v>723.47659999999996</v>
      </c>
      <c r="AB31">
        <v>723.17279999999994</v>
      </c>
      <c r="AC31">
        <v>677.1296000000001</v>
      </c>
      <c r="AD31">
        <v>615.89060000000006</v>
      </c>
      <c r="AE31">
        <v>594.77520000000004</v>
      </c>
      <c r="AF31">
        <v>571.8655</v>
      </c>
      <c r="AG31">
        <v>509.08069999999992</v>
      </c>
      <c r="AH31">
        <v>495.09579999999994</v>
      </c>
      <c r="AI31">
        <v>463.9289999999998</v>
      </c>
      <c r="AJ31">
        <v>385.27199999999988</v>
      </c>
    </row>
    <row r="32" spans="1:36">
      <c r="A32" t="s">
        <v>19</v>
      </c>
      <c r="B32" s="29" t="s">
        <v>146</v>
      </c>
      <c r="H32">
        <v>9.1433999999999997</v>
      </c>
      <c r="I32">
        <v>9.8917999999999999</v>
      </c>
      <c r="J32">
        <v>6.6334</v>
      </c>
      <c r="K32">
        <v>1.4340000000000002</v>
      </c>
      <c r="R32">
        <v>0.40239999999999987</v>
      </c>
      <c r="S32">
        <v>29.212200000000006</v>
      </c>
      <c r="T32">
        <v>26.225400000000004</v>
      </c>
      <c r="U32">
        <v>19.244800000000005</v>
      </c>
      <c r="V32">
        <v>42.614699999999992</v>
      </c>
      <c r="W32">
        <v>76.997500000000002</v>
      </c>
      <c r="X32">
        <v>86.536500000000004</v>
      </c>
      <c r="Y32">
        <v>96.963399999999993</v>
      </c>
      <c r="Z32">
        <v>114.2246</v>
      </c>
      <c r="AA32">
        <v>124.42779999999999</v>
      </c>
      <c r="AB32">
        <v>129.37350000000001</v>
      </c>
      <c r="AC32">
        <v>135.93819999999999</v>
      </c>
      <c r="AD32">
        <v>132.09160000000003</v>
      </c>
      <c r="AE32">
        <v>127.36879999999999</v>
      </c>
      <c r="AF32">
        <v>123.4196</v>
      </c>
      <c r="AG32">
        <v>134.0162</v>
      </c>
      <c r="AH32">
        <v>129.63460000000001</v>
      </c>
      <c r="AI32">
        <v>133.9864</v>
      </c>
      <c r="AJ32">
        <v>208.19179999999997</v>
      </c>
    </row>
    <row r="33" spans="1:36">
      <c r="A33" t="s">
        <v>19</v>
      </c>
      <c r="B33" s="29" t="s">
        <v>149</v>
      </c>
      <c r="S33">
        <v>44.681399999999968</v>
      </c>
      <c r="T33">
        <v>235.22280000000006</v>
      </c>
      <c r="U33">
        <v>465.60900000000004</v>
      </c>
      <c r="V33">
        <v>595.00979999999981</v>
      </c>
      <c r="W33">
        <v>691.36380000000054</v>
      </c>
      <c r="X33">
        <v>759.40080000000012</v>
      </c>
      <c r="Y33">
        <v>832.28399999999999</v>
      </c>
      <c r="Z33">
        <v>881.74740000000008</v>
      </c>
      <c r="AA33">
        <v>955.83779999999967</v>
      </c>
      <c r="AB33">
        <v>1049.7975999999999</v>
      </c>
      <c r="AC33">
        <v>1211.4980000000003</v>
      </c>
      <c r="AD33">
        <v>1408.8353999999999</v>
      </c>
      <c r="AE33">
        <v>1535.0159999999996</v>
      </c>
      <c r="AF33">
        <v>1710.7392</v>
      </c>
      <c r="AG33">
        <v>1763.9894000000002</v>
      </c>
      <c r="AH33">
        <v>1852.1100000000008</v>
      </c>
      <c r="AI33">
        <v>2045.9797999999998</v>
      </c>
      <c r="AJ33">
        <v>1955.4105999999992</v>
      </c>
    </row>
    <row r="34" spans="1:36">
      <c r="A34" t="s">
        <v>19</v>
      </c>
      <c r="B34" s="29" t="s">
        <v>154</v>
      </c>
      <c r="C34">
        <v>366.39740000000006</v>
      </c>
      <c r="D34">
        <v>366.55149999999998</v>
      </c>
      <c r="E34">
        <v>384.94789999999989</v>
      </c>
      <c r="F34">
        <v>403.3447000000001</v>
      </c>
      <c r="G34">
        <v>421.62390000000005</v>
      </c>
      <c r="H34">
        <v>436.08270000000005</v>
      </c>
      <c r="I34">
        <v>451.35809999999992</v>
      </c>
      <c r="J34">
        <v>476.56259999999997</v>
      </c>
      <c r="K34">
        <v>502.04720000000003</v>
      </c>
      <c r="L34">
        <v>529.57459999999992</v>
      </c>
      <c r="M34">
        <v>559.24299999999982</v>
      </c>
      <c r="N34">
        <v>592.98599999999988</v>
      </c>
      <c r="O34">
        <v>623.83540000000005</v>
      </c>
      <c r="P34">
        <v>653.54139999999995</v>
      </c>
      <c r="Q34">
        <v>676.06470000000002</v>
      </c>
      <c r="R34">
        <v>702.38030000000015</v>
      </c>
      <c r="S34">
        <v>737.88920000000007</v>
      </c>
      <c r="T34">
        <v>773.57400000000007</v>
      </c>
      <c r="U34">
        <v>809.3775999999998</v>
      </c>
      <c r="V34">
        <v>845.06399999999996</v>
      </c>
      <c r="W34">
        <v>880.45439999999985</v>
      </c>
      <c r="X34">
        <v>914.46309999999983</v>
      </c>
      <c r="Y34">
        <v>951.05949999999996</v>
      </c>
      <c r="Z34">
        <v>987.73299999999983</v>
      </c>
      <c r="AA34">
        <v>1024.4799</v>
      </c>
      <c r="AB34">
        <v>1061.2950999999998</v>
      </c>
      <c r="AC34">
        <v>1099.4809000000002</v>
      </c>
      <c r="AD34">
        <v>1137.7199000000001</v>
      </c>
      <c r="AE34">
        <v>1176.0116</v>
      </c>
      <c r="AF34">
        <v>1214.3498000000004</v>
      </c>
      <c r="AG34">
        <v>1269.1771000000003</v>
      </c>
      <c r="AH34">
        <v>1306.7746999999999</v>
      </c>
      <c r="AI34">
        <v>1344.5173000000004</v>
      </c>
      <c r="AJ34">
        <v>1384.2228999999998</v>
      </c>
    </row>
    <row r="35" spans="1:36">
      <c r="A35" t="s">
        <v>19</v>
      </c>
      <c r="B35" s="29" t="s">
        <v>155</v>
      </c>
      <c r="C35">
        <v>9.2937999999999974</v>
      </c>
      <c r="D35">
        <v>9.503400000000001</v>
      </c>
      <c r="E35">
        <v>9.712299999999999</v>
      </c>
      <c r="F35">
        <v>9.9216999999999995</v>
      </c>
      <c r="G35">
        <v>10.130899999999999</v>
      </c>
      <c r="H35">
        <v>10.340199999999998</v>
      </c>
      <c r="I35">
        <v>10.567</v>
      </c>
      <c r="J35">
        <v>10.793999999999999</v>
      </c>
      <c r="K35">
        <v>11.0206</v>
      </c>
      <c r="L35">
        <v>11.247799999999998</v>
      </c>
      <c r="M35">
        <v>11.474399999999997</v>
      </c>
      <c r="N35">
        <v>11.732200000000002</v>
      </c>
      <c r="O35">
        <v>11.990300000000001</v>
      </c>
      <c r="P35">
        <v>12.247299999999999</v>
      </c>
      <c r="Q35">
        <v>12.505500000000001</v>
      </c>
      <c r="R35">
        <v>12.763</v>
      </c>
      <c r="S35">
        <v>13.069599999999999</v>
      </c>
      <c r="T35">
        <v>13.376000000000001</v>
      </c>
      <c r="U35">
        <v>13.6828</v>
      </c>
      <c r="V35">
        <v>13.9894</v>
      </c>
      <c r="W35">
        <v>14.2957</v>
      </c>
      <c r="X35">
        <v>11.297100000000002</v>
      </c>
      <c r="Y35">
        <v>10.415299999999997</v>
      </c>
      <c r="Z35">
        <v>9.5967000000000002</v>
      </c>
      <c r="AA35">
        <v>8.8376000000000001</v>
      </c>
      <c r="AB35">
        <v>8.1340000000000003</v>
      </c>
      <c r="AC35">
        <v>7.5060000000000011</v>
      </c>
      <c r="AD35">
        <v>6.9222999999999999</v>
      </c>
      <c r="AE35">
        <v>6.3800000000000017</v>
      </c>
      <c r="AF35">
        <v>5.8771000000000013</v>
      </c>
      <c r="AG35">
        <v>18.114900000000006</v>
      </c>
      <c r="AH35">
        <v>18.561999999999998</v>
      </c>
      <c r="AI35">
        <v>19.010000000000002</v>
      </c>
      <c r="AJ35">
        <v>19.457000000000001</v>
      </c>
    </row>
    <row r="36" spans="1:36">
      <c r="A36" t="s">
        <v>19</v>
      </c>
      <c r="B36" s="29" t="s">
        <v>156</v>
      </c>
      <c r="C36">
        <v>123.45000000000002</v>
      </c>
      <c r="D36">
        <v>131.42850000000001</v>
      </c>
      <c r="E36">
        <v>139.40690000000001</v>
      </c>
      <c r="F36">
        <v>147.38560000000001</v>
      </c>
      <c r="G36">
        <v>155.26809999999995</v>
      </c>
      <c r="H36">
        <v>160.05000000000001</v>
      </c>
      <c r="I36">
        <v>161.69460000000001</v>
      </c>
      <c r="J36">
        <v>171.46130000000002</v>
      </c>
      <c r="K36">
        <v>181.45749999999998</v>
      </c>
      <c r="L36">
        <v>193.1412</v>
      </c>
      <c r="M36">
        <v>206.56060000000002</v>
      </c>
      <c r="N36">
        <v>221.46729999999999</v>
      </c>
      <c r="O36">
        <v>234.00689999999994</v>
      </c>
      <c r="P36">
        <v>245.61140000000003</v>
      </c>
      <c r="Q36">
        <v>251.36279999999999</v>
      </c>
      <c r="R36">
        <v>260.19389999999999</v>
      </c>
      <c r="S36">
        <v>274.01190000000003</v>
      </c>
      <c r="T36">
        <v>287.82959999999997</v>
      </c>
      <c r="U36">
        <v>301.64779999999996</v>
      </c>
      <c r="V36">
        <v>315.46569999999991</v>
      </c>
      <c r="W36">
        <v>329.28370000000001</v>
      </c>
      <c r="X36">
        <v>344.13319999999999</v>
      </c>
      <c r="Y36">
        <v>358.98300000000006</v>
      </c>
      <c r="Z36">
        <v>373.83239999999995</v>
      </c>
      <c r="AA36">
        <v>388.68180000000001</v>
      </c>
      <c r="AB36">
        <v>403.53149999999988</v>
      </c>
      <c r="AC36">
        <v>417.66400000000004</v>
      </c>
      <c r="AD36">
        <v>431.79649999999998</v>
      </c>
      <c r="AE36">
        <v>445.92899999999992</v>
      </c>
      <c r="AF36">
        <v>460.06119999999999</v>
      </c>
      <c r="AG36">
        <v>474.19369999999998</v>
      </c>
      <c r="AH36">
        <v>485.83350000000007</v>
      </c>
      <c r="AI36">
        <v>497.47350000000017</v>
      </c>
      <c r="AJ36">
        <v>509.11349999999993</v>
      </c>
    </row>
    <row r="37" spans="1:36">
      <c r="A37" t="s">
        <v>19</v>
      </c>
      <c r="B37" s="29" t="s">
        <v>157</v>
      </c>
      <c r="C37">
        <v>92.038800000000052</v>
      </c>
      <c r="D37">
        <v>94.110599999999963</v>
      </c>
      <c r="E37">
        <v>96.181799999999981</v>
      </c>
      <c r="F37">
        <v>98.25420000000004</v>
      </c>
      <c r="G37">
        <v>100.32600000000006</v>
      </c>
      <c r="H37">
        <v>102.39840000000001</v>
      </c>
      <c r="I37">
        <v>104.64359999999996</v>
      </c>
      <c r="J37">
        <v>106.89059999999994</v>
      </c>
      <c r="K37">
        <v>109.13699999999999</v>
      </c>
      <c r="L37">
        <v>111.38280000000009</v>
      </c>
      <c r="M37">
        <v>113.62919999999997</v>
      </c>
      <c r="N37">
        <v>116.18159999999999</v>
      </c>
      <c r="O37">
        <v>118.73400000000009</v>
      </c>
      <c r="P37">
        <v>121.28640000000004</v>
      </c>
      <c r="Q37">
        <v>123.83879999999998</v>
      </c>
      <c r="R37">
        <v>126.38999999999999</v>
      </c>
      <c r="S37">
        <v>129.42719999999997</v>
      </c>
      <c r="T37">
        <v>132.46320000000003</v>
      </c>
      <c r="U37">
        <v>135.4992</v>
      </c>
      <c r="V37">
        <v>138.53700000000001</v>
      </c>
      <c r="W37">
        <v>141.57180000000002</v>
      </c>
      <c r="X37">
        <v>145.10700000000006</v>
      </c>
      <c r="Y37">
        <v>148.64040000000003</v>
      </c>
      <c r="Z37">
        <v>152.17559999999992</v>
      </c>
      <c r="AA37">
        <v>155.70899999999995</v>
      </c>
      <c r="AB37">
        <v>159.24299999999991</v>
      </c>
      <c r="AC37">
        <v>163.27200000000005</v>
      </c>
      <c r="AD37">
        <v>167.30339999999995</v>
      </c>
      <c r="AE37">
        <v>171.33240000000012</v>
      </c>
      <c r="AF37">
        <v>175.36199999999999</v>
      </c>
      <c r="AG37">
        <v>179.39099999999993</v>
      </c>
      <c r="AH37">
        <v>183.82199999999995</v>
      </c>
      <c r="AI37">
        <v>188.25299999999999</v>
      </c>
      <c r="AJ37">
        <v>192.68219999999999</v>
      </c>
    </row>
    <row r="38" spans="1:36">
      <c r="A38" t="s">
        <v>19</v>
      </c>
      <c r="B38" s="29" t="s">
        <v>158</v>
      </c>
      <c r="C38">
        <v>74.618500000000026</v>
      </c>
      <c r="D38">
        <v>64.484899999999996</v>
      </c>
      <c r="E38">
        <v>69.275600000000011</v>
      </c>
      <c r="F38">
        <v>74.066099999999992</v>
      </c>
      <c r="G38">
        <v>78.856799999999978</v>
      </c>
      <c r="H38">
        <v>83.647600000000011</v>
      </c>
      <c r="I38">
        <v>89.792299999999997</v>
      </c>
      <c r="J38">
        <v>95.937200000000018</v>
      </c>
      <c r="K38">
        <v>102.08149999999999</v>
      </c>
      <c r="L38">
        <v>108.22640000000001</v>
      </c>
      <c r="M38">
        <v>114.37100000000001</v>
      </c>
      <c r="N38">
        <v>122.02480000000001</v>
      </c>
      <c r="O38">
        <v>129.67840000000001</v>
      </c>
      <c r="P38">
        <v>137.33130000000003</v>
      </c>
      <c r="Q38">
        <v>144.98539999999997</v>
      </c>
      <c r="R38">
        <v>152.63910000000001</v>
      </c>
      <c r="S38">
        <v>162.43700000000004</v>
      </c>
      <c r="T38">
        <v>172.23549999999992</v>
      </c>
      <c r="U38">
        <v>182.0342</v>
      </c>
      <c r="V38">
        <v>191.83240000000004</v>
      </c>
      <c r="W38">
        <v>201.63069999999996</v>
      </c>
      <c r="X38">
        <v>213.46809999999999</v>
      </c>
      <c r="Y38">
        <v>225.3049</v>
      </c>
      <c r="Z38">
        <v>237.14190000000002</v>
      </c>
      <c r="AA38">
        <v>248.97890000000004</v>
      </c>
      <c r="AB38">
        <v>260.81569999999994</v>
      </c>
      <c r="AC38">
        <v>273.94410000000005</v>
      </c>
      <c r="AD38">
        <v>287.07259999999997</v>
      </c>
      <c r="AE38">
        <v>300.20109999999994</v>
      </c>
      <c r="AF38">
        <v>313.33030000000002</v>
      </c>
      <c r="AG38">
        <v>326.45859999999999</v>
      </c>
      <c r="AH38">
        <v>339.58550000000008</v>
      </c>
      <c r="AI38">
        <v>352.7122</v>
      </c>
      <c r="AJ38">
        <v>365.83890000000014</v>
      </c>
    </row>
    <row r="39" spans="1:36">
      <c r="A39" t="s">
        <v>19</v>
      </c>
      <c r="B39" s="29" t="s">
        <v>159</v>
      </c>
      <c r="C39">
        <v>0.35279999999999984</v>
      </c>
      <c r="D39">
        <v>0.35279999999999984</v>
      </c>
      <c r="E39">
        <v>0.35279999999999984</v>
      </c>
      <c r="F39">
        <v>0.35279999999999984</v>
      </c>
      <c r="G39">
        <v>0.35279999999999984</v>
      </c>
      <c r="H39">
        <v>0.32819999999999983</v>
      </c>
      <c r="I39">
        <v>2.5622000000000011</v>
      </c>
      <c r="J39">
        <v>4.7972000000000019</v>
      </c>
      <c r="K39">
        <v>7.0324</v>
      </c>
      <c r="L39">
        <v>9.2507999999999999</v>
      </c>
      <c r="M39">
        <v>11.485400000000006</v>
      </c>
      <c r="N39">
        <v>13.721599999999997</v>
      </c>
      <c r="O39">
        <v>15.955599999999992</v>
      </c>
      <c r="P39">
        <v>18.190600000000003</v>
      </c>
      <c r="Q39">
        <v>20.402400000000007</v>
      </c>
      <c r="R39">
        <v>22.637199999999993</v>
      </c>
      <c r="S39">
        <v>24.728400000000004</v>
      </c>
      <c r="T39">
        <v>26.963100000000004</v>
      </c>
      <c r="U39">
        <v>29.293600000000016</v>
      </c>
      <c r="V39">
        <v>31.529700000000005</v>
      </c>
      <c r="W39">
        <v>33.523399999999988</v>
      </c>
      <c r="X39">
        <v>34.125800000000012</v>
      </c>
      <c r="Y39">
        <v>34.726399999999991</v>
      </c>
      <c r="Z39">
        <v>35.327999999999996</v>
      </c>
      <c r="AA39">
        <v>35.928400000000011</v>
      </c>
      <c r="AB39">
        <v>36.529599999999995</v>
      </c>
      <c r="AC39">
        <v>37.106799999999986</v>
      </c>
      <c r="AD39">
        <v>37.683799999999991</v>
      </c>
      <c r="AE39">
        <v>38.261600000000008</v>
      </c>
      <c r="AF39">
        <v>38.840000000000003</v>
      </c>
      <c r="AG39">
        <v>40.164999999999985</v>
      </c>
      <c r="AH39">
        <v>41.279400000000003</v>
      </c>
      <c r="AI39">
        <v>42.513000000000027</v>
      </c>
      <c r="AJ39">
        <v>45.351199999999992</v>
      </c>
    </row>
    <row r="40" spans="1:36">
      <c r="A40" t="s">
        <v>19</v>
      </c>
      <c r="B40" s="29" t="s">
        <v>161</v>
      </c>
      <c r="C40">
        <v>440.98530000000011</v>
      </c>
      <c r="D40">
        <v>453.45069999999993</v>
      </c>
      <c r="E40">
        <v>466.26030000000009</v>
      </c>
      <c r="F40">
        <v>477.20440000000002</v>
      </c>
      <c r="G40">
        <v>491.58849999999978</v>
      </c>
      <c r="H40">
        <v>501.24720000000002</v>
      </c>
      <c r="I40">
        <v>511.78780000000006</v>
      </c>
      <c r="J40">
        <v>519.19950000000006</v>
      </c>
      <c r="K40">
        <v>526.64380000000006</v>
      </c>
      <c r="L40">
        <v>534.12620000000004</v>
      </c>
      <c r="M40">
        <v>517.46879999999999</v>
      </c>
      <c r="N40">
        <v>528.6712</v>
      </c>
      <c r="O40">
        <v>539.45680000000004</v>
      </c>
      <c r="P40">
        <v>550.51170000000002</v>
      </c>
      <c r="Q40">
        <v>561.56119999999976</v>
      </c>
      <c r="R40">
        <v>572.53199999999993</v>
      </c>
      <c r="S40">
        <v>586.4914</v>
      </c>
      <c r="T40">
        <v>600.11630000000002</v>
      </c>
      <c r="U40">
        <v>613.53100000000006</v>
      </c>
      <c r="V40">
        <v>627.28889999999978</v>
      </c>
      <c r="W40">
        <v>638.77409999999986</v>
      </c>
      <c r="X40">
        <v>660.23180000000036</v>
      </c>
      <c r="Y40">
        <v>681.72169999999983</v>
      </c>
      <c r="Z40">
        <v>703.28219999999999</v>
      </c>
      <c r="AA40">
        <v>724.89630000000045</v>
      </c>
      <c r="AB40">
        <v>746.55730000000005</v>
      </c>
      <c r="AC40">
        <v>770.02349999999979</v>
      </c>
      <c r="AD40">
        <v>793.5302999999999</v>
      </c>
      <c r="AE40">
        <v>817.09430000000009</v>
      </c>
      <c r="AF40">
        <v>840.68819999999948</v>
      </c>
      <c r="AG40">
        <v>855.26089999999976</v>
      </c>
      <c r="AH40">
        <v>878.34740000000011</v>
      </c>
      <c r="AI40">
        <v>900.88380000000029</v>
      </c>
      <c r="AJ40">
        <v>918.77480000000037</v>
      </c>
    </row>
    <row r="41" spans="1:36">
      <c r="A41" t="s">
        <v>19</v>
      </c>
      <c r="B41" s="29" t="s">
        <v>162</v>
      </c>
      <c r="F41">
        <v>1.5246999999999999</v>
      </c>
      <c r="H41">
        <v>2.9255999999999998</v>
      </c>
    </row>
    <row r="42" spans="1:36">
      <c r="A42" t="s">
        <v>19</v>
      </c>
      <c r="B42" s="29" t="s">
        <v>172</v>
      </c>
      <c r="C42">
        <v>743.19129999999996</v>
      </c>
      <c r="D42">
        <v>1159.6625000000001</v>
      </c>
      <c r="E42">
        <v>1243.3869000000002</v>
      </c>
      <c r="F42">
        <v>1329.9995999999999</v>
      </c>
      <c r="G42">
        <v>1408.0054</v>
      </c>
      <c r="H42">
        <v>1492.4646000000002</v>
      </c>
      <c r="I42">
        <v>1476.4571999999998</v>
      </c>
      <c r="J42">
        <v>1536.3958</v>
      </c>
      <c r="K42">
        <v>1595.7098000000003</v>
      </c>
      <c r="L42">
        <v>1652.7744000000002</v>
      </c>
      <c r="M42">
        <v>1587.9765</v>
      </c>
      <c r="N42">
        <v>1693.4257000000002</v>
      </c>
      <c r="O42">
        <v>1795.2294000000002</v>
      </c>
      <c r="P42">
        <v>1907.5573999999995</v>
      </c>
      <c r="Q42">
        <v>1849.6668999999993</v>
      </c>
      <c r="R42">
        <v>1773.5270999999998</v>
      </c>
      <c r="S42">
        <v>1671.4766999999999</v>
      </c>
      <c r="T42">
        <v>1589.5663000000002</v>
      </c>
      <c r="U42">
        <v>1484.2084000000002</v>
      </c>
      <c r="V42">
        <v>1419.7393999999999</v>
      </c>
      <c r="W42">
        <v>1370.7953999999993</v>
      </c>
      <c r="X42">
        <v>1387.3201000000001</v>
      </c>
      <c r="Y42">
        <v>1404.357</v>
      </c>
      <c r="Z42">
        <v>1425.1866000000002</v>
      </c>
      <c r="AA42">
        <v>1442.1435999999997</v>
      </c>
      <c r="AB42">
        <v>1452.9547</v>
      </c>
      <c r="AC42">
        <v>1418.7565000000004</v>
      </c>
      <c r="AD42">
        <v>1369.3166000000001</v>
      </c>
      <c r="AE42">
        <v>1360.1728000000003</v>
      </c>
      <c r="AF42">
        <v>1349.2404999999999</v>
      </c>
      <c r="AG42">
        <v>1296.5569999999998</v>
      </c>
      <c r="AH42">
        <v>1295.4397999999999</v>
      </c>
      <c r="AI42">
        <v>1277.0714000000003</v>
      </c>
      <c r="AJ42">
        <v>1211.0262999999998</v>
      </c>
    </row>
    <row r="43" spans="1:36">
      <c r="A43" t="s">
        <v>19</v>
      </c>
      <c r="B43" s="29" t="s">
        <v>173</v>
      </c>
      <c r="C43">
        <v>140.4442</v>
      </c>
      <c r="D43">
        <v>154.31769999999997</v>
      </c>
      <c r="E43">
        <v>154.18510000000001</v>
      </c>
      <c r="F43">
        <v>142.1438</v>
      </c>
      <c r="G43">
        <v>161.49810000000002</v>
      </c>
      <c r="H43">
        <v>40.920700000000004</v>
      </c>
      <c r="I43">
        <v>48.546499999999995</v>
      </c>
      <c r="J43">
        <v>47.199799999999996</v>
      </c>
      <c r="K43">
        <v>43.846600000000002</v>
      </c>
      <c r="L43">
        <v>55.308000000000014</v>
      </c>
      <c r="M43">
        <v>56.452800000000003</v>
      </c>
      <c r="N43">
        <v>58.64820000000001</v>
      </c>
      <c r="O43">
        <v>85.005600000000015</v>
      </c>
      <c r="P43">
        <v>136.8083</v>
      </c>
      <c r="Q43">
        <v>151.51740000000004</v>
      </c>
      <c r="R43">
        <v>166.64329999999998</v>
      </c>
      <c r="S43">
        <v>222.70319999999998</v>
      </c>
      <c r="T43">
        <v>221.86279999999996</v>
      </c>
      <c r="U43">
        <v>212.07790000000003</v>
      </c>
      <c r="V43">
        <v>241.85499999999996</v>
      </c>
      <c r="W43">
        <v>277.8725</v>
      </c>
      <c r="X43">
        <v>296.44260000000003</v>
      </c>
      <c r="Y43">
        <v>315.94980000000004</v>
      </c>
      <c r="Z43">
        <v>342.69620000000003</v>
      </c>
      <c r="AA43">
        <v>361.99220000000003</v>
      </c>
      <c r="AB43">
        <v>375.74189999999999</v>
      </c>
      <c r="AC43">
        <v>388.39690000000002</v>
      </c>
      <c r="AD43">
        <v>395.0496</v>
      </c>
      <c r="AE43">
        <v>400.78250000000003</v>
      </c>
      <c r="AF43">
        <v>407.33870000000002</v>
      </c>
      <c r="AG43">
        <v>426.98610000000002</v>
      </c>
      <c r="AH43">
        <v>435.50759999999997</v>
      </c>
      <c r="AI43">
        <v>453.25810000000001</v>
      </c>
      <c r="AJ43">
        <v>544.82809999999995</v>
      </c>
    </row>
    <row r="44" spans="1:36">
      <c r="A44" t="s">
        <v>19</v>
      </c>
      <c r="B44" s="29" t="s">
        <v>174</v>
      </c>
      <c r="C44">
        <v>259.9208999999999</v>
      </c>
      <c r="D44">
        <v>172.26060000000007</v>
      </c>
      <c r="E44">
        <v>160.63010000000003</v>
      </c>
      <c r="F44">
        <v>147.65040000000002</v>
      </c>
      <c r="G44">
        <v>135.8502</v>
      </c>
      <c r="H44">
        <v>123.03969999999998</v>
      </c>
      <c r="I44">
        <v>110.74</v>
      </c>
      <c r="J44">
        <v>107.97529999999998</v>
      </c>
      <c r="K44">
        <v>107.12139999999999</v>
      </c>
      <c r="L44">
        <v>97.882400000000004</v>
      </c>
      <c r="M44">
        <v>95.226900000000001</v>
      </c>
      <c r="N44">
        <v>94.567399999999992</v>
      </c>
      <c r="O44">
        <v>71.42580000000001</v>
      </c>
      <c r="P44">
        <v>24.610199999999999</v>
      </c>
      <c r="Q44">
        <v>12.299799999999999</v>
      </c>
    </row>
    <row r="45" spans="1:36">
      <c r="A45" t="s">
        <v>19</v>
      </c>
      <c r="B45" s="29" t="s">
        <v>176</v>
      </c>
      <c r="C45">
        <v>15.669</v>
      </c>
      <c r="D45">
        <v>4.1874000000000002</v>
      </c>
      <c r="E45">
        <v>2.4645999999999999</v>
      </c>
      <c r="F45">
        <v>3.9161999999999999</v>
      </c>
      <c r="G45">
        <v>1.9654</v>
      </c>
      <c r="H45">
        <v>2.9830000000000001</v>
      </c>
      <c r="I45">
        <v>3.0078</v>
      </c>
      <c r="J45">
        <v>1.8438000000000001</v>
      </c>
      <c r="K45">
        <v>1.8597999999999999</v>
      </c>
    </row>
    <row r="46" spans="1:36">
      <c r="A46" t="s">
        <v>19</v>
      </c>
      <c r="B46" s="29" t="s">
        <v>179</v>
      </c>
      <c r="D46">
        <v>17.712899999999998</v>
      </c>
      <c r="E46">
        <v>25.504799999999999</v>
      </c>
      <c r="F46">
        <v>22.2956</v>
      </c>
      <c r="G46">
        <v>31.325999999999993</v>
      </c>
      <c r="H46">
        <v>27.414400000000004</v>
      </c>
      <c r="I46">
        <v>33.017400000000002</v>
      </c>
      <c r="J46">
        <v>38.031000000000006</v>
      </c>
      <c r="K46">
        <v>40.056599999999996</v>
      </c>
      <c r="L46">
        <v>52.336199999999998</v>
      </c>
      <c r="M46">
        <v>53.419800000000009</v>
      </c>
      <c r="N46">
        <v>55.497599999999984</v>
      </c>
      <c r="O46">
        <v>80.438399999999959</v>
      </c>
      <c r="P46">
        <v>129.4589</v>
      </c>
      <c r="Q46">
        <v>143.37810000000002</v>
      </c>
      <c r="R46">
        <v>157.28840000000002</v>
      </c>
      <c r="S46">
        <v>162.1687</v>
      </c>
      <c r="T46">
        <v>167.04050000000001</v>
      </c>
      <c r="U46">
        <v>171.90530000000001</v>
      </c>
      <c r="V46">
        <v>176.76570000000004</v>
      </c>
      <c r="W46">
        <v>181.21129999999999</v>
      </c>
      <c r="X46">
        <v>189.24529999999996</v>
      </c>
      <c r="Y46">
        <v>197.28580000000005</v>
      </c>
      <c r="Z46">
        <v>205.33389999999997</v>
      </c>
      <c r="AA46">
        <v>213.39000000000001</v>
      </c>
      <c r="AB46">
        <v>221.45519999999999</v>
      </c>
      <c r="AC46">
        <v>231.59350000000001</v>
      </c>
      <c r="AD46">
        <v>241.7355</v>
      </c>
      <c r="AE46">
        <v>251.88279999999997</v>
      </c>
      <c r="AF46">
        <v>262.03620000000001</v>
      </c>
      <c r="AG46">
        <v>270.03129999999999</v>
      </c>
      <c r="AH46">
        <v>282.47680000000008</v>
      </c>
      <c r="AI46">
        <v>294.92189999999999</v>
      </c>
      <c r="AJ46">
        <v>307.36720000000003</v>
      </c>
    </row>
    <row r="47" spans="1:36">
      <c r="A47" t="s">
        <v>19</v>
      </c>
      <c r="B47" s="29" t="s">
        <v>180</v>
      </c>
      <c r="C47">
        <v>109.16470000000001</v>
      </c>
      <c r="D47">
        <v>121.22979999999998</v>
      </c>
      <c r="E47">
        <v>116.08380000000002</v>
      </c>
      <c r="F47">
        <v>119.08979999999998</v>
      </c>
      <c r="G47">
        <v>112.98519999999999</v>
      </c>
      <c r="H47">
        <v>117.15819999999998</v>
      </c>
      <c r="I47">
        <v>112.65020000000001</v>
      </c>
      <c r="J47">
        <v>109.83760000000001</v>
      </c>
      <c r="K47">
        <v>108.96870000000001</v>
      </c>
      <c r="L47">
        <v>99.570300000000003</v>
      </c>
      <c r="M47">
        <v>96.869099999999975</v>
      </c>
      <c r="N47">
        <v>96.198200000000014</v>
      </c>
      <c r="O47">
        <v>72.657699999999991</v>
      </c>
      <c r="P47">
        <v>25.034300000000002</v>
      </c>
      <c r="Q47">
        <v>12.512199999999996</v>
      </c>
    </row>
    <row r="48" spans="1:36">
      <c r="A48" t="s">
        <v>19</v>
      </c>
      <c r="B48" s="29" t="s">
        <v>181</v>
      </c>
      <c r="C48">
        <v>14.923999999999999</v>
      </c>
    </row>
    <row r="49" spans="1:36">
      <c r="A49" t="s">
        <v>19</v>
      </c>
      <c r="B49" s="29" t="s">
        <v>182</v>
      </c>
      <c r="C49">
        <v>59.694599999999994</v>
      </c>
      <c r="D49">
        <v>64.484899999999996</v>
      </c>
      <c r="E49">
        <v>69.275599999999997</v>
      </c>
      <c r="F49">
        <v>74.066099999999992</v>
      </c>
      <c r="G49">
        <v>78.856799999999978</v>
      </c>
      <c r="H49">
        <v>83.647600000000011</v>
      </c>
      <c r="I49">
        <v>89.792299999999997</v>
      </c>
      <c r="J49">
        <v>95.937200000000033</v>
      </c>
      <c r="K49">
        <v>102.08149999999999</v>
      </c>
      <c r="L49">
        <v>108.22640000000001</v>
      </c>
      <c r="M49">
        <v>114.37100000000001</v>
      </c>
      <c r="N49">
        <v>122.02480000000001</v>
      </c>
      <c r="O49">
        <v>129.67840000000001</v>
      </c>
      <c r="P49">
        <v>137.33130000000003</v>
      </c>
      <c r="Q49">
        <v>144.98539999999997</v>
      </c>
      <c r="R49">
        <v>152.63909999999998</v>
      </c>
      <c r="S49">
        <v>162.43700000000004</v>
      </c>
      <c r="T49">
        <v>172.23549999999992</v>
      </c>
      <c r="U49">
        <v>182.0342</v>
      </c>
      <c r="V49">
        <v>191.83240000000004</v>
      </c>
      <c r="W49">
        <v>201.63069999999996</v>
      </c>
      <c r="X49">
        <v>213.46809999999999</v>
      </c>
      <c r="Y49">
        <v>225.3049</v>
      </c>
      <c r="Z49">
        <v>237.14190000000002</v>
      </c>
      <c r="AA49">
        <v>248.97890000000004</v>
      </c>
      <c r="AB49">
        <v>260.81569999999994</v>
      </c>
      <c r="AC49">
        <v>273.94410000000005</v>
      </c>
      <c r="AD49">
        <v>287.07259999999997</v>
      </c>
      <c r="AE49">
        <v>300.20109999999994</v>
      </c>
      <c r="AF49">
        <v>313.33030000000002</v>
      </c>
      <c r="AG49">
        <v>326.45859999999999</v>
      </c>
      <c r="AH49">
        <v>339.58550000000008</v>
      </c>
      <c r="AI49">
        <v>352.7122</v>
      </c>
      <c r="AJ49">
        <v>365.83890000000014</v>
      </c>
    </row>
    <row r="50" spans="1:36">
      <c r="A50" t="s">
        <v>19</v>
      </c>
      <c r="B50" s="29" t="s">
        <v>183</v>
      </c>
      <c r="I50">
        <v>2.234</v>
      </c>
      <c r="J50">
        <v>4.4702000000000019</v>
      </c>
      <c r="K50">
        <v>6.7048000000000014</v>
      </c>
      <c r="L50">
        <v>8.94</v>
      </c>
      <c r="M50">
        <v>11.173999999999992</v>
      </c>
      <c r="N50">
        <v>13.410200000000001</v>
      </c>
      <c r="O50">
        <v>15.6442</v>
      </c>
      <c r="P50">
        <v>17.879200000000004</v>
      </c>
      <c r="Q50">
        <v>20.114400000000007</v>
      </c>
      <c r="R50">
        <v>22.349199999999993</v>
      </c>
      <c r="S50">
        <v>24.585000000000004</v>
      </c>
      <c r="T50">
        <v>26.819600000000005</v>
      </c>
      <c r="U50">
        <v>29.053400000000014</v>
      </c>
      <c r="V50">
        <v>31.289199999999994</v>
      </c>
      <c r="W50">
        <v>33.523399999999988</v>
      </c>
      <c r="X50">
        <v>34.125800000000012</v>
      </c>
      <c r="Y50">
        <v>34.726399999999991</v>
      </c>
      <c r="Z50">
        <v>35.328000000000003</v>
      </c>
      <c r="AA50">
        <v>35.928400000000018</v>
      </c>
      <c r="AB50">
        <v>36.529599999999988</v>
      </c>
      <c r="AC50">
        <v>37.106799999999993</v>
      </c>
      <c r="AD50">
        <v>37.683799999999991</v>
      </c>
      <c r="AE50">
        <v>38.261600000000008</v>
      </c>
      <c r="AF50">
        <v>38.840000000000011</v>
      </c>
      <c r="AG50">
        <v>38.994400000000013</v>
      </c>
      <c r="AH50">
        <v>39.199999999999989</v>
      </c>
      <c r="AI50">
        <v>39.337400000000017</v>
      </c>
      <c r="AJ50">
        <v>38.569399999999995</v>
      </c>
    </row>
    <row r="51" spans="1:36">
      <c r="A51" t="s">
        <v>19</v>
      </c>
      <c r="B51" s="29" t="s">
        <v>184</v>
      </c>
      <c r="C51">
        <v>113.52059999999996</v>
      </c>
      <c r="D51">
        <v>115.16059999999999</v>
      </c>
      <c r="E51">
        <v>116.80290000000001</v>
      </c>
      <c r="F51">
        <v>118.44309999999999</v>
      </c>
      <c r="G51">
        <v>120.08439999999996</v>
      </c>
      <c r="H51">
        <v>121.72560000000003</v>
      </c>
      <c r="I51">
        <v>115.48029999999999</v>
      </c>
      <c r="J51">
        <v>109.23660000000002</v>
      </c>
      <c r="K51">
        <v>102.9918</v>
      </c>
      <c r="L51">
        <v>96.748000000000019</v>
      </c>
      <c r="M51">
        <v>90.502799999999922</v>
      </c>
      <c r="N51">
        <v>84.137999999999948</v>
      </c>
      <c r="O51">
        <v>77.773199999999989</v>
      </c>
      <c r="P51">
        <v>71.407600000000002</v>
      </c>
      <c r="Q51">
        <v>65.043099999999995</v>
      </c>
      <c r="R51">
        <v>58.678200000000004</v>
      </c>
      <c r="S51">
        <v>52.176900000000025</v>
      </c>
      <c r="T51">
        <v>45.674699999999987</v>
      </c>
      <c r="U51">
        <v>39.173300000000019</v>
      </c>
      <c r="V51">
        <v>32.671199999999999</v>
      </c>
      <c r="W51">
        <v>26.169600000000006</v>
      </c>
      <c r="X51">
        <v>25.227499999999999</v>
      </c>
      <c r="Y51">
        <v>24.286699999999996</v>
      </c>
      <c r="Z51">
        <v>23.344499999999993</v>
      </c>
      <c r="AA51">
        <v>22.402300000000004</v>
      </c>
      <c r="AB51">
        <v>21.460700000000003</v>
      </c>
      <c r="AC51">
        <v>20.4453</v>
      </c>
      <c r="AD51">
        <v>19.431399999999996</v>
      </c>
      <c r="AE51">
        <v>18.415099999999995</v>
      </c>
      <c r="AF51">
        <v>17.400299999999994</v>
      </c>
      <c r="AG51">
        <v>17.8598</v>
      </c>
      <c r="AH51">
        <v>18.008599999999994</v>
      </c>
      <c r="AI51">
        <v>18.391799999999996</v>
      </c>
      <c r="AJ51">
        <v>21.9374</v>
      </c>
    </row>
    <row r="52" spans="1:36">
      <c r="A52" t="s">
        <v>19</v>
      </c>
      <c r="B52" s="29" t="s">
        <v>186</v>
      </c>
      <c r="C52">
        <v>9.7594999999999974</v>
      </c>
      <c r="D52">
        <v>10.192799999999995</v>
      </c>
      <c r="E52">
        <v>10.615200000000005</v>
      </c>
      <c r="F52">
        <v>11.036400000000004</v>
      </c>
      <c r="G52">
        <v>11.469600000000005</v>
      </c>
      <c r="H52">
        <v>11.891399999999997</v>
      </c>
      <c r="I52">
        <v>12.462000000000003</v>
      </c>
      <c r="J52">
        <v>13.020600000000005</v>
      </c>
      <c r="K52">
        <v>13.589400000000001</v>
      </c>
      <c r="L52">
        <v>14.160000000000005</v>
      </c>
      <c r="M52">
        <v>14.718599999999995</v>
      </c>
      <c r="N52">
        <v>15.473999999999995</v>
      </c>
      <c r="O52">
        <v>16.244399999999999</v>
      </c>
      <c r="P52">
        <v>16.999799999999993</v>
      </c>
      <c r="Q52">
        <v>17.755800000000001</v>
      </c>
      <c r="R52">
        <v>18.513599999999997</v>
      </c>
      <c r="S52">
        <v>19.590599999999998</v>
      </c>
      <c r="T52">
        <v>20.669999999999998</v>
      </c>
      <c r="U52">
        <v>21.750000000000004</v>
      </c>
      <c r="V52">
        <v>22.828699999999994</v>
      </c>
      <c r="W52">
        <v>23.907599999999995</v>
      </c>
      <c r="X52">
        <v>25.43340000000001</v>
      </c>
      <c r="Y52">
        <v>26.945999999999991</v>
      </c>
      <c r="Z52">
        <v>28.470600000000001</v>
      </c>
      <c r="AA52">
        <v>29.995199999999997</v>
      </c>
      <c r="AB52">
        <v>31.521000000000001</v>
      </c>
      <c r="AC52">
        <v>33.604199999999999</v>
      </c>
      <c r="AD52">
        <v>35.688600000000015</v>
      </c>
      <c r="AE52">
        <v>37.77000000000001</v>
      </c>
      <c r="AF52">
        <v>39.853900000000003</v>
      </c>
      <c r="AG52">
        <v>41.937599999999975</v>
      </c>
      <c r="AH52">
        <v>44.652000000000008</v>
      </c>
      <c r="AI52">
        <v>47.36820000000003</v>
      </c>
      <c r="AJ52">
        <v>50.083200000000033</v>
      </c>
    </row>
    <row r="53" spans="1:36">
      <c r="A53" t="s">
        <v>19</v>
      </c>
      <c r="B53" s="29" t="s">
        <v>189</v>
      </c>
      <c r="C53">
        <v>37.842600000000026</v>
      </c>
      <c r="D53">
        <v>37.164599999999993</v>
      </c>
      <c r="E53">
        <v>36.556199999999983</v>
      </c>
      <c r="F53">
        <v>36.009600000000013</v>
      </c>
      <c r="G53">
        <v>35.519999999999989</v>
      </c>
      <c r="H53">
        <v>35.092800000000004</v>
      </c>
      <c r="I53">
        <v>34.680000000000014</v>
      </c>
      <c r="J53">
        <v>34.311599999999984</v>
      </c>
      <c r="K53">
        <v>33.994199999999978</v>
      </c>
      <c r="L53">
        <v>33.704999999999991</v>
      </c>
      <c r="M53">
        <v>29.418600000000001</v>
      </c>
      <c r="N53">
        <v>29.513999999999996</v>
      </c>
      <c r="O53">
        <v>29.612400000000008</v>
      </c>
      <c r="P53">
        <v>29.700600000000016</v>
      </c>
      <c r="Q53">
        <v>29.788200000000007</v>
      </c>
      <c r="R53">
        <v>29.883000000000003</v>
      </c>
      <c r="S53">
        <v>29.942399999999989</v>
      </c>
      <c r="T53">
        <v>30.0108</v>
      </c>
      <c r="U53">
        <v>30.083999999999993</v>
      </c>
      <c r="V53">
        <v>30.163799999999988</v>
      </c>
      <c r="W53">
        <v>30.035999999999987</v>
      </c>
      <c r="X53">
        <v>30.0276</v>
      </c>
      <c r="Y53">
        <v>30.034799999999986</v>
      </c>
      <c r="Z53">
        <v>30.065999999999995</v>
      </c>
      <c r="AA53">
        <v>30.116999999999997</v>
      </c>
      <c r="AB53">
        <v>30.18300000000001</v>
      </c>
      <c r="AC53">
        <v>30.232199999999999</v>
      </c>
      <c r="AD53">
        <v>30.290999999999986</v>
      </c>
      <c r="AE53">
        <v>30.3672</v>
      </c>
      <c r="AF53">
        <v>30.454799999999995</v>
      </c>
      <c r="AG53">
        <v>29.610000000000007</v>
      </c>
      <c r="AH53">
        <v>29.782199999999985</v>
      </c>
      <c r="AI53">
        <v>29.948399999999989</v>
      </c>
      <c r="AJ53">
        <v>30.114599999999999</v>
      </c>
    </row>
    <row r="54" spans="1:36">
      <c r="A54" t="s">
        <v>19</v>
      </c>
      <c r="B54" s="29" t="s">
        <v>192</v>
      </c>
      <c r="AG54">
        <v>1.1714000000000004</v>
      </c>
      <c r="AH54">
        <v>2.0793999999999992</v>
      </c>
      <c r="AI54">
        <v>3.1755999999999998</v>
      </c>
      <c r="AJ54">
        <v>6.7817999999999996</v>
      </c>
    </row>
    <row r="55" spans="1:36">
      <c r="A55" t="s">
        <v>19</v>
      </c>
      <c r="B55" s="29" t="s">
        <v>194</v>
      </c>
      <c r="C55">
        <v>75.6798</v>
      </c>
      <c r="D55">
        <v>77.927999999999955</v>
      </c>
      <c r="E55">
        <v>80.17800000000004</v>
      </c>
      <c r="F55">
        <v>82.433399999999992</v>
      </c>
      <c r="G55">
        <v>84.695399999999992</v>
      </c>
      <c r="H55">
        <v>86.967600000000004</v>
      </c>
      <c r="I55">
        <v>89.436600000000013</v>
      </c>
      <c r="J55">
        <v>91.914600000000021</v>
      </c>
      <c r="K55">
        <v>94.403399999999962</v>
      </c>
      <c r="L55">
        <v>96.904799999999994</v>
      </c>
      <c r="M55">
        <v>93.108599999999996</v>
      </c>
      <c r="N55">
        <v>96.038399999999982</v>
      </c>
      <c r="O55">
        <v>98.955600000000032</v>
      </c>
      <c r="P55">
        <v>101.85780000000001</v>
      </c>
      <c r="Q55">
        <v>104.75340000000007</v>
      </c>
      <c r="R55">
        <v>107.63880000000003</v>
      </c>
      <c r="S55">
        <v>110.42460000000004</v>
      </c>
      <c r="T55">
        <v>113.20680000000003</v>
      </c>
      <c r="U55">
        <v>115.98540000000007</v>
      </c>
      <c r="V55">
        <v>118.76279999999997</v>
      </c>
      <c r="W55">
        <v>121.29480000000001</v>
      </c>
      <c r="X55">
        <v>123.66659999999995</v>
      </c>
      <c r="Y55">
        <v>126.05759999999999</v>
      </c>
      <c r="Z55">
        <v>128.46480000000005</v>
      </c>
      <c r="AA55">
        <v>130.88699999999997</v>
      </c>
      <c r="AB55">
        <v>133.32120000000006</v>
      </c>
      <c r="AC55">
        <v>135.28500000000003</v>
      </c>
      <c r="AD55">
        <v>137.26140000000001</v>
      </c>
      <c r="AE55">
        <v>139.25040000000004</v>
      </c>
      <c r="AF55">
        <v>141.25019999999998</v>
      </c>
      <c r="AG55">
        <v>138.24540000000002</v>
      </c>
      <c r="AH55">
        <v>136.91220000000007</v>
      </c>
      <c r="AI55">
        <v>134.97119999999995</v>
      </c>
      <c r="AJ55">
        <v>124.87260000000006</v>
      </c>
    </row>
    <row r="56" spans="1:36">
      <c r="A56" t="s">
        <v>19</v>
      </c>
      <c r="B56" s="29" t="s">
        <v>197</v>
      </c>
      <c r="C56">
        <v>0.17579999999999996</v>
      </c>
      <c r="D56">
        <v>0.17579999999999996</v>
      </c>
      <c r="E56">
        <v>0.17579999999999996</v>
      </c>
      <c r="F56">
        <v>0.17579999999999996</v>
      </c>
      <c r="G56">
        <v>0.17579999999999996</v>
      </c>
      <c r="H56">
        <v>0.16359999999999994</v>
      </c>
      <c r="I56">
        <v>0.16359999999999994</v>
      </c>
      <c r="J56">
        <v>0.16359999999999994</v>
      </c>
      <c r="K56">
        <v>0.16359999999999994</v>
      </c>
      <c r="L56">
        <v>0.15579999999999988</v>
      </c>
      <c r="M56">
        <v>0.15579999999999988</v>
      </c>
      <c r="N56">
        <v>0.15579999999999988</v>
      </c>
      <c r="O56">
        <v>0.15579999999999988</v>
      </c>
      <c r="P56">
        <v>0.15579999999999988</v>
      </c>
      <c r="Q56">
        <v>0.14419999999999997</v>
      </c>
      <c r="R56">
        <v>0.14419999999999997</v>
      </c>
      <c r="S56">
        <v>7.1799999999999989E-2</v>
      </c>
      <c r="T56">
        <v>7.1899999999999992E-2</v>
      </c>
      <c r="U56">
        <v>0.12059999999999997</v>
      </c>
      <c r="V56">
        <v>0.12089999999999998</v>
      </c>
    </row>
    <row r="57" spans="1:36">
      <c r="A57" t="s">
        <v>19</v>
      </c>
      <c r="B57" s="29" t="s">
        <v>199</v>
      </c>
      <c r="E57">
        <v>0.17579999999999996</v>
      </c>
      <c r="F57">
        <v>0.17579999999999996</v>
      </c>
      <c r="G57">
        <v>0.35279999999999984</v>
      </c>
      <c r="H57">
        <v>0.36959999999999998</v>
      </c>
      <c r="I57">
        <v>0.54660000000000009</v>
      </c>
      <c r="J57">
        <v>0.72179999999999978</v>
      </c>
      <c r="K57">
        <v>0.72179999999999978</v>
      </c>
      <c r="L57">
        <v>0.91560000000000019</v>
      </c>
      <c r="M57">
        <v>1.0913999999999997</v>
      </c>
      <c r="N57">
        <v>1.2671999999999997</v>
      </c>
      <c r="O57">
        <v>1.2671999999999997</v>
      </c>
      <c r="P57">
        <v>1.4429999999999996</v>
      </c>
      <c r="Q57">
        <v>1.6547999999999994</v>
      </c>
      <c r="R57">
        <v>1.8306000000000004</v>
      </c>
      <c r="S57">
        <v>2.1467999999999994</v>
      </c>
      <c r="T57">
        <v>2.3226000000000009</v>
      </c>
      <c r="U57">
        <v>2.3934000000000006</v>
      </c>
      <c r="V57">
        <v>2.7462</v>
      </c>
      <c r="W57">
        <v>3.168600000000001</v>
      </c>
      <c r="X57">
        <v>3.3443999999999985</v>
      </c>
      <c r="Y57">
        <v>3.6953999999999994</v>
      </c>
      <c r="Z57">
        <v>4.0481999999999996</v>
      </c>
      <c r="AA57">
        <v>4.2239999999999984</v>
      </c>
      <c r="AB57">
        <v>4.5750000000000002</v>
      </c>
      <c r="AC57">
        <v>4.9278000000000022</v>
      </c>
      <c r="AD57">
        <v>5.2794000000000043</v>
      </c>
      <c r="AE57">
        <v>5.6316000000000006</v>
      </c>
      <c r="AF57">
        <v>5.9831999999999947</v>
      </c>
      <c r="AG57">
        <v>6.3360000000000039</v>
      </c>
      <c r="AH57">
        <v>6.863999999999999</v>
      </c>
      <c r="AI57">
        <v>7.2167999999999992</v>
      </c>
      <c r="AJ57">
        <v>7.7436000000000007</v>
      </c>
    </row>
    <row r="58" spans="1:36">
      <c r="A58" t="s">
        <v>19</v>
      </c>
      <c r="B58" s="29" t="s">
        <v>200</v>
      </c>
      <c r="C58">
        <v>0.17579999999999996</v>
      </c>
      <c r="D58">
        <v>0.17579999999999996</v>
      </c>
      <c r="E58">
        <v>0.17579999999999996</v>
      </c>
      <c r="F58">
        <v>0.17579999999999996</v>
      </c>
      <c r="G58">
        <v>0.17579999999999996</v>
      </c>
      <c r="H58">
        <v>0.16359999999999994</v>
      </c>
      <c r="I58">
        <v>0.16359999999999994</v>
      </c>
      <c r="J58">
        <v>0.16359999999999994</v>
      </c>
      <c r="K58">
        <v>0.16359999999999994</v>
      </c>
      <c r="L58">
        <v>0.15579999999999988</v>
      </c>
      <c r="M58">
        <v>0.15579999999999988</v>
      </c>
      <c r="N58">
        <v>0.15579999999999988</v>
      </c>
      <c r="O58">
        <v>0.15579999999999988</v>
      </c>
      <c r="P58">
        <v>0.15579999999999988</v>
      </c>
      <c r="Q58">
        <v>0.14419999999999994</v>
      </c>
      <c r="R58">
        <v>0.14419999999999994</v>
      </c>
      <c r="S58">
        <v>7.1799999999999989E-2</v>
      </c>
      <c r="T58">
        <v>7.1899999999999992E-2</v>
      </c>
      <c r="U58">
        <v>0.12059999999999997</v>
      </c>
      <c r="V58">
        <v>0.12089999999999998</v>
      </c>
    </row>
    <row r="59" spans="1:36">
      <c r="A59" t="s">
        <v>19</v>
      </c>
      <c r="B59" s="29" t="s">
        <v>202</v>
      </c>
      <c r="E59">
        <v>0.17579999999999996</v>
      </c>
      <c r="F59">
        <v>0.17579999999999996</v>
      </c>
      <c r="G59">
        <v>0.35279999999999984</v>
      </c>
      <c r="H59">
        <v>0.36959999999999998</v>
      </c>
      <c r="I59">
        <v>0.54660000000000009</v>
      </c>
      <c r="J59">
        <v>0.54660000000000009</v>
      </c>
      <c r="K59">
        <v>0.72179999999999978</v>
      </c>
      <c r="L59">
        <v>0.73860000000000003</v>
      </c>
      <c r="M59">
        <v>0.91560000000000019</v>
      </c>
      <c r="N59">
        <v>1.0913999999999997</v>
      </c>
      <c r="O59">
        <v>1.0913999999999997</v>
      </c>
      <c r="P59">
        <v>1.2671999999999994</v>
      </c>
      <c r="Q59">
        <v>1.4778</v>
      </c>
      <c r="R59">
        <v>1.6547999999999994</v>
      </c>
      <c r="S59">
        <v>1.9721999999999988</v>
      </c>
      <c r="T59">
        <v>2.1467999999999994</v>
      </c>
      <c r="U59">
        <v>2.2175999999999991</v>
      </c>
      <c r="V59">
        <v>2.3934000000000006</v>
      </c>
      <c r="W59">
        <v>2.815799999999999</v>
      </c>
      <c r="X59">
        <v>3.168600000000001</v>
      </c>
      <c r="Y59">
        <v>3.3443999999999985</v>
      </c>
      <c r="Z59">
        <v>3.5207999999999995</v>
      </c>
      <c r="AA59">
        <v>3.8712000000000009</v>
      </c>
      <c r="AB59">
        <v>4.0481999999999996</v>
      </c>
      <c r="AC59">
        <v>4.3997999999999999</v>
      </c>
      <c r="AD59">
        <v>4.7520000000000016</v>
      </c>
      <c r="AE59">
        <v>5.1047999999999982</v>
      </c>
      <c r="AF59">
        <v>5.4558000000000018</v>
      </c>
      <c r="AG59">
        <v>5.8085999999999967</v>
      </c>
      <c r="AH59">
        <v>6.1602000000000041</v>
      </c>
      <c r="AI59">
        <v>6.5123999999999995</v>
      </c>
      <c r="AJ59">
        <v>7.0398000000000023</v>
      </c>
    </row>
    <row r="60" spans="1:36">
      <c r="A60" t="s">
        <v>19</v>
      </c>
      <c r="B60" s="29" t="s">
        <v>204</v>
      </c>
      <c r="C60">
        <v>33.093799999999995</v>
      </c>
      <c r="D60">
        <v>35.659200000000013</v>
      </c>
      <c r="E60">
        <v>38.2224</v>
      </c>
      <c r="F60">
        <v>40.785599999999981</v>
      </c>
      <c r="G60">
        <v>43.348800000000033</v>
      </c>
      <c r="H60">
        <v>45.91200000000002</v>
      </c>
      <c r="I60">
        <v>48.853199999999994</v>
      </c>
      <c r="J60">
        <v>51.79320000000002</v>
      </c>
      <c r="K60">
        <v>54.733800000000009</v>
      </c>
      <c r="L60">
        <v>57.674999999999983</v>
      </c>
      <c r="M60">
        <v>60.615000000000016</v>
      </c>
      <c r="N60">
        <v>63.768000000000029</v>
      </c>
      <c r="O60">
        <v>66.921599999999984</v>
      </c>
      <c r="P60">
        <v>70.076999999999984</v>
      </c>
      <c r="Q60">
        <v>73.230000000000032</v>
      </c>
      <c r="R60">
        <v>76.383600000000015</v>
      </c>
      <c r="S60">
        <v>79.825800000000029</v>
      </c>
      <c r="T60">
        <v>83.267400000000023</v>
      </c>
      <c r="U60">
        <v>86.710199999999986</v>
      </c>
      <c r="V60">
        <v>90.151100000000028</v>
      </c>
      <c r="W60">
        <v>93.593399999999988</v>
      </c>
      <c r="X60">
        <v>97.301999999999964</v>
      </c>
      <c r="Y60">
        <v>101.01060000000005</v>
      </c>
      <c r="Z60">
        <v>104.721</v>
      </c>
      <c r="AA60">
        <v>108.4308</v>
      </c>
      <c r="AB60">
        <v>112.14060000000002</v>
      </c>
      <c r="AC60">
        <v>116.0988</v>
      </c>
      <c r="AD60">
        <v>120.05640000000001</v>
      </c>
      <c r="AE60">
        <v>124.01580000000003</v>
      </c>
      <c r="AF60">
        <v>127.97430000000001</v>
      </c>
      <c r="AG60">
        <v>131.93279999999996</v>
      </c>
      <c r="AH60">
        <v>136.06619999999998</v>
      </c>
      <c r="AI60">
        <v>140.19959999999998</v>
      </c>
      <c r="AJ60">
        <v>144.33360000000002</v>
      </c>
    </row>
    <row r="61" spans="1:36">
      <c r="A61" t="s">
        <v>19</v>
      </c>
      <c r="B61" s="29" t="s">
        <v>207</v>
      </c>
      <c r="C61">
        <v>75.67740000000002</v>
      </c>
      <c r="D61">
        <v>78.500400000000027</v>
      </c>
      <c r="E61">
        <v>81.274199999999936</v>
      </c>
      <c r="F61">
        <v>84.005999999999901</v>
      </c>
      <c r="G61">
        <v>86.704199999999943</v>
      </c>
      <c r="H61">
        <v>89.373000000000005</v>
      </c>
      <c r="I61">
        <v>92.948400000000049</v>
      </c>
      <c r="J61">
        <v>96.470399999999984</v>
      </c>
      <c r="K61">
        <v>99.956399999999988</v>
      </c>
      <c r="L61">
        <v>103.41539999999999</v>
      </c>
      <c r="M61">
        <v>100.06019999999997</v>
      </c>
      <c r="N61">
        <v>104.63159999999996</v>
      </c>
      <c r="O61">
        <v>109.15739999999998</v>
      </c>
      <c r="P61">
        <v>113.65199999999994</v>
      </c>
      <c r="Q61">
        <v>118.119</v>
      </c>
      <c r="R61">
        <v>122.57160000000002</v>
      </c>
      <c r="S61">
        <v>128.11919999999995</v>
      </c>
      <c r="T61">
        <v>133.63319999999999</v>
      </c>
      <c r="U61">
        <v>139.13219999999995</v>
      </c>
      <c r="V61">
        <v>144.6174</v>
      </c>
      <c r="W61">
        <v>148.22879999999998</v>
      </c>
      <c r="X61">
        <v>154.57260000000011</v>
      </c>
      <c r="Y61">
        <v>160.92659999999995</v>
      </c>
      <c r="Z61">
        <v>167.29140000000012</v>
      </c>
      <c r="AA61">
        <v>173.66699999999997</v>
      </c>
      <c r="AB61">
        <v>180.05399999999997</v>
      </c>
      <c r="AC61">
        <v>187.06019999999995</v>
      </c>
      <c r="AD61">
        <v>194.07599999999999</v>
      </c>
      <c r="AE61">
        <v>201.11099999999993</v>
      </c>
      <c r="AF61">
        <v>208.14780000000007</v>
      </c>
      <c r="AG61">
        <v>212.14439999999991</v>
      </c>
      <c r="AH61">
        <v>219.49079999999995</v>
      </c>
      <c r="AI61">
        <v>226.84499999999989</v>
      </c>
      <c r="AJ61">
        <v>234.19859999999989</v>
      </c>
    </row>
    <row r="62" spans="1:36">
      <c r="A62" t="s">
        <v>19</v>
      </c>
      <c r="B62" s="29" t="s">
        <v>212</v>
      </c>
      <c r="C62">
        <v>56.760000000000012</v>
      </c>
      <c r="D62">
        <v>59.001000000000047</v>
      </c>
      <c r="E62">
        <v>61.231200000000001</v>
      </c>
      <c r="F62">
        <v>63.449999999999974</v>
      </c>
      <c r="G62">
        <v>65.662799999999976</v>
      </c>
      <c r="H62">
        <v>67.876199999999997</v>
      </c>
      <c r="I62">
        <v>70.789200000000022</v>
      </c>
      <c r="J62">
        <v>73.692000000000007</v>
      </c>
      <c r="K62">
        <v>76.589399999999983</v>
      </c>
      <c r="L62">
        <v>79.480200000000011</v>
      </c>
      <c r="M62">
        <v>76.999799999999979</v>
      </c>
      <c r="N62">
        <v>80.869799999999969</v>
      </c>
      <c r="O62">
        <v>84.724200000000053</v>
      </c>
      <c r="P62">
        <v>88.567800000000034</v>
      </c>
      <c r="Q62">
        <v>92.3994</v>
      </c>
      <c r="R62">
        <v>96.219000000000008</v>
      </c>
      <c r="S62">
        <v>100.911</v>
      </c>
      <c r="T62">
        <v>105.59219999999998</v>
      </c>
      <c r="U62">
        <v>110.26620000000004</v>
      </c>
      <c r="V62">
        <v>114.9312</v>
      </c>
      <c r="W62">
        <v>119.40660000000005</v>
      </c>
      <c r="X62">
        <v>124.78440000000002</v>
      </c>
      <c r="Y62">
        <v>130.16339999999994</v>
      </c>
      <c r="Z62">
        <v>135.54900000000001</v>
      </c>
      <c r="AA62">
        <v>140.93879999999999</v>
      </c>
      <c r="AB62">
        <v>146.33219999999997</v>
      </c>
      <c r="AC62">
        <v>152.22360000000003</v>
      </c>
      <c r="AD62">
        <v>158.12039999999999</v>
      </c>
      <c r="AE62">
        <v>164.02140000000009</v>
      </c>
      <c r="AF62">
        <v>169.92659999999989</v>
      </c>
      <c r="AG62">
        <v>174.69420000000002</v>
      </c>
      <c r="AH62">
        <v>180.74999999999997</v>
      </c>
      <c r="AI62">
        <v>186.80280000000002</v>
      </c>
      <c r="AJ62">
        <v>192.85680000000008</v>
      </c>
    </row>
    <row r="63" spans="1:36">
      <c r="A63" t="s">
        <v>19</v>
      </c>
      <c r="B63" s="29" t="s">
        <v>217</v>
      </c>
      <c r="C63">
        <v>18.920200000000012</v>
      </c>
      <c r="D63">
        <v>19.668000000000006</v>
      </c>
      <c r="E63">
        <v>20.409000000000002</v>
      </c>
      <c r="F63">
        <v>21.1494</v>
      </c>
      <c r="G63">
        <v>21.886800000000001</v>
      </c>
      <c r="H63">
        <v>22.624799999999993</v>
      </c>
      <c r="I63">
        <v>23.598000000000003</v>
      </c>
      <c r="J63">
        <v>24.563400000000009</v>
      </c>
      <c r="K63">
        <v>25.53060000000001</v>
      </c>
      <c r="L63">
        <v>26.49359999999999</v>
      </c>
      <c r="M63">
        <v>25.665599999999998</v>
      </c>
      <c r="N63">
        <v>26.956800000000005</v>
      </c>
      <c r="O63">
        <v>28.241999999999997</v>
      </c>
      <c r="P63">
        <v>29.52239999999999</v>
      </c>
      <c r="Q63">
        <v>30.801599999999993</v>
      </c>
      <c r="R63">
        <v>32.073600000000013</v>
      </c>
      <c r="S63">
        <v>33.637799999999999</v>
      </c>
      <c r="T63">
        <v>35.197199999999995</v>
      </c>
      <c r="U63">
        <v>36.755999999999993</v>
      </c>
      <c r="V63">
        <v>38.310600000000015</v>
      </c>
      <c r="W63">
        <v>39.802800000000026</v>
      </c>
      <c r="X63">
        <v>41.594399999999979</v>
      </c>
      <c r="Y63">
        <v>43.387200000000036</v>
      </c>
      <c r="Z63">
        <v>45.181800000000003</v>
      </c>
      <c r="AA63">
        <v>46.979399999999984</v>
      </c>
      <c r="AB63">
        <v>48.777599999999985</v>
      </c>
      <c r="AC63">
        <v>50.741399999999977</v>
      </c>
      <c r="AD63">
        <v>52.706399999999988</v>
      </c>
      <c r="AE63">
        <v>54.674999999999983</v>
      </c>
      <c r="AF63">
        <v>56.642399999999981</v>
      </c>
      <c r="AG63">
        <v>58.231199999999994</v>
      </c>
      <c r="AH63">
        <v>60.250200000000007</v>
      </c>
      <c r="AI63">
        <v>62.267399999999995</v>
      </c>
      <c r="AJ63">
        <v>64.285200000000003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Grid_cost_PEP</vt:lpstr>
      <vt:lpstr>Investments_PEP</vt:lpstr>
      <vt:lpstr>Capital Annualized Costs PEP</vt:lpstr>
      <vt:lpstr>Emissions PEP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UseByTech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2026-02-03T16:22:40Z</dcterms:modified>
</cp:coreProperties>
</file>