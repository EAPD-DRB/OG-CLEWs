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hidePivotFieldList="1" defaultThemeVersion="124226"/>
  <xr:revisionPtr revIDLastSave="147" documentId="8_{99764C11-5A3E-450E-B958-9E2A732D446E}" xr6:coauthVersionLast="47" xr6:coauthVersionMax="47" xr10:uidLastSave="{D265A418-6216-4DC8-A160-9B4C660AB390}"/>
  <bookViews>
    <workbookView xWindow="2265" yWindow="-13620" windowWidth="21840" windowHeight="13020" tabRatio="892" xr2:uid="{00000000-000D-0000-FFFF-FFFF00000000}"/>
  </bookViews>
  <sheets>
    <sheet name="Grid_cost_Base" sheetId="20" r:id="rId1"/>
    <sheet name="Investments_Base" sheetId="22" r:id="rId2"/>
    <sheet name="Capital Annualized Costs Base" sheetId="21" r:id="rId3"/>
    <sheet name="Emissions_Base" sheetId="24" r:id="rId4"/>
    <sheet name="Cost_of_ELCgen" sheetId="11" r:id="rId5"/>
    <sheet name="Variable" sheetId="13" r:id="rId6"/>
    <sheet name="Fixed" sheetId="14" r:id="rId7"/>
    <sheet name="Capital_Investments" sheetId="15" r:id="rId8"/>
    <sheet name="Annualized_Investments" sheetId="19" r:id="rId9"/>
    <sheet name="AnnualProduction" sheetId="16" r:id="rId10"/>
    <sheet name="New Capacity" sheetId="17" r:id="rId11"/>
    <sheet name="UseByTech" sheetId="23" r:id="rId12"/>
    <sheet name="Operation Life Time" sheetId="12" state="hidden" r:id="rId13"/>
  </sheets>
  <definedNames>
    <definedName name="_xlnm._FilterDatabase" localSheetId="8" hidden="1">Annualized_Investments!$A$2:$AG$44</definedName>
    <definedName name="_xlnm._FilterDatabase" localSheetId="9" hidden="1">AnnualProduction!$A$1:$BG$2221</definedName>
    <definedName name="_xlnm._FilterDatabase" localSheetId="7" hidden="1">Capital_Investments!$A$2:$AJ$246</definedName>
    <definedName name="_xlnm._FilterDatabase" localSheetId="5" hidden="1">Variable!$A$1:$AG$132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4" i="11" l="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J224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J225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J226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J227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J228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J229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J230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J231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J232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J233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J234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J235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J236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J237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J238" i="11"/>
  <c r="D239" i="11"/>
  <c r="E239" i="11"/>
  <c r="F239" i="11"/>
  <c r="G239" i="11"/>
  <c r="H239" i="11"/>
  <c r="I239" i="11"/>
  <c r="J239" i="11"/>
  <c r="K239" i="11"/>
  <c r="K32" i="11" s="1"/>
  <c r="L239" i="11"/>
  <c r="L32" i="11" s="1"/>
  <c r="M239" i="11"/>
  <c r="N239" i="11"/>
  <c r="O239" i="11"/>
  <c r="P239" i="11"/>
  <c r="Q239" i="11"/>
  <c r="R239" i="11"/>
  <c r="S239" i="11"/>
  <c r="T239" i="11"/>
  <c r="U239" i="11"/>
  <c r="V239" i="11"/>
  <c r="W239" i="11"/>
  <c r="W32" i="11" s="1"/>
  <c r="X239" i="11"/>
  <c r="X32" i="11" s="1"/>
  <c r="Y239" i="11"/>
  <c r="Z239" i="11"/>
  <c r="AA239" i="11"/>
  <c r="AB239" i="11"/>
  <c r="AC239" i="11"/>
  <c r="AD239" i="11"/>
  <c r="AE239" i="11"/>
  <c r="AF239" i="11"/>
  <c r="AG239" i="11"/>
  <c r="AH239" i="11"/>
  <c r="AI239" i="11"/>
  <c r="AJ239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J240" i="11"/>
  <c r="D241" i="11"/>
  <c r="E241" i="11"/>
  <c r="E34" i="11" s="1"/>
  <c r="F241" i="11"/>
  <c r="F34" i="11" s="1"/>
  <c r="G241" i="11"/>
  <c r="H241" i="11"/>
  <c r="I241" i="11"/>
  <c r="J241" i="11"/>
  <c r="K241" i="11"/>
  <c r="L241" i="11"/>
  <c r="M241" i="11"/>
  <c r="N241" i="11"/>
  <c r="O241" i="11"/>
  <c r="P241" i="11"/>
  <c r="Q241" i="11"/>
  <c r="Q34" i="11" s="1"/>
  <c r="R241" i="11"/>
  <c r="R34" i="11" s="1"/>
  <c r="S241" i="11"/>
  <c r="T241" i="11"/>
  <c r="U241" i="11"/>
  <c r="V241" i="11"/>
  <c r="W241" i="11"/>
  <c r="X241" i="11"/>
  <c r="Y241" i="11"/>
  <c r="Z241" i="11"/>
  <c r="AA241" i="11"/>
  <c r="AB241" i="11"/>
  <c r="AC241" i="11"/>
  <c r="AC34" i="11" s="1"/>
  <c r="AD241" i="11"/>
  <c r="AD34" i="11" s="1"/>
  <c r="AE241" i="11"/>
  <c r="AF241" i="11"/>
  <c r="AG241" i="11"/>
  <c r="AH241" i="11"/>
  <c r="AI241" i="11"/>
  <c r="AJ241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34" i="11" s="1"/>
  <c r="C225" i="11"/>
  <c r="C226" i="11"/>
  <c r="C227" i="11"/>
  <c r="B5" i="22"/>
  <c r="A5" i="22"/>
  <c r="B4" i="22"/>
  <c r="A4" i="22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AG25" i="21"/>
  <c r="AF25" i="21"/>
  <c r="AE25" i="21"/>
  <c r="AD25" i="21"/>
  <c r="AC25" i="21"/>
  <c r="AB25" i="21"/>
  <c r="AA25" i="21"/>
  <c r="Z25" i="21"/>
  <c r="Y25" i="21"/>
  <c r="Y43" i="21" s="1"/>
  <c r="Y5" i="22" s="1"/>
  <c r="X25" i="21"/>
  <c r="W25" i="21"/>
  <c r="V25" i="21"/>
  <c r="U25" i="21"/>
  <c r="T25" i="21"/>
  <c r="S25" i="21"/>
  <c r="R25" i="21"/>
  <c r="Q25" i="21"/>
  <c r="P25" i="21"/>
  <c r="O25" i="21"/>
  <c r="N25" i="21"/>
  <c r="M25" i="21"/>
  <c r="M43" i="21" s="1"/>
  <c r="M5" i="22" s="1"/>
  <c r="L25" i="21"/>
  <c r="K25" i="21"/>
  <c r="J25" i="21"/>
  <c r="I25" i="21"/>
  <c r="H25" i="21"/>
  <c r="G25" i="21"/>
  <c r="F25" i="21"/>
  <c r="E25" i="21"/>
  <c r="D25" i="21"/>
  <c r="C25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AG5" i="21"/>
  <c r="AF5" i="21"/>
  <c r="AE5" i="21"/>
  <c r="AD5" i="21"/>
  <c r="AC5" i="21"/>
  <c r="AB5" i="21"/>
  <c r="AA5" i="21"/>
  <c r="Z5" i="21"/>
  <c r="Y5" i="21"/>
  <c r="X5" i="21"/>
  <c r="X22" i="21" s="1"/>
  <c r="X4" i="22" s="1"/>
  <c r="W5" i="21"/>
  <c r="V5" i="21"/>
  <c r="U5" i="21"/>
  <c r="T5" i="21"/>
  <c r="S5" i="21"/>
  <c r="R5" i="21"/>
  <c r="Q5" i="21"/>
  <c r="P5" i="21"/>
  <c r="O5" i="21"/>
  <c r="N5" i="21"/>
  <c r="M5" i="21"/>
  <c r="L5" i="21"/>
  <c r="L22" i="21" s="1"/>
  <c r="L4" i="22" s="1"/>
  <c r="K5" i="21"/>
  <c r="J5" i="21"/>
  <c r="I5" i="21"/>
  <c r="H5" i="21"/>
  <c r="G5" i="21"/>
  <c r="F5" i="21"/>
  <c r="E5" i="21"/>
  <c r="D5" i="21"/>
  <c r="C5" i="21"/>
  <c r="AG4" i="21"/>
  <c r="AF4" i="21"/>
  <c r="AE4" i="21"/>
  <c r="AE22" i="21" s="1"/>
  <c r="AE4" i="22" s="1"/>
  <c r="AD4" i="21"/>
  <c r="AC4" i="21"/>
  <c r="AB4" i="21"/>
  <c r="AA4" i="21"/>
  <c r="Z4" i="21"/>
  <c r="Y4" i="21"/>
  <c r="X4" i="21"/>
  <c r="W4" i="21"/>
  <c r="V4" i="21"/>
  <c r="U4" i="21"/>
  <c r="T4" i="21"/>
  <c r="S4" i="21"/>
  <c r="S22" i="21" s="1"/>
  <c r="S4" i="22" s="1"/>
  <c r="R4" i="21"/>
  <c r="Q4" i="21"/>
  <c r="P4" i="21"/>
  <c r="O4" i="21"/>
  <c r="N4" i="21"/>
  <c r="M4" i="21"/>
  <c r="L4" i="21"/>
  <c r="K4" i="21"/>
  <c r="J4" i="21"/>
  <c r="I4" i="21"/>
  <c r="H4" i="21"/>
  <c r="G4" i="21"/>
  <c r="G22" i="21" s="1"/>
  <c r="G4" i="22" s="1"/>
  <c r="F4" i="21"/>
  <c r="E4" i="21"/>
  <c r="D4" i="21"/>
  <c r="C4" i="21"/>
  <c r="D32" i="11"/>
  <c r="E32" i="11"/>
  <c r="F32" i="11"/>
  <c r="G32" i="11"/>
  <c r="H32" i="11"/>
  <c r="I32" i="11"/>
  <c r="J32" i="11"/>
  <c r="M32" i="11"/>
  <c r="N32" i="11"/>
  <c r="O32" i="11"/>
  <c r="P32" i="11"/>
  <c r="Q32" i="11"/>
  <c r="R32" i="11"/>
  <c r="S32" i="11"/>
  <c r="T32" i="11"/>
  <c r="U32" i="11"/>
  <c r="V32" i="11"/>
  <c r="Y32" i="11"/>
  <c r="Z32" i="11"/>
  <c r="AA32" i="11"/>
  <c r="AB32" i="11"/>
  <c r="AC32" i="11"/>
  <c r="AD32" i="11"/>
  <c r="AE32" i="11"/>
  <c r="AF32" i="11"/>
  <c r="AG32" i="11"/>
  <c r="D34" i="11"/>
  <c r="G34" i="11"/>
  <c r="H34" i="11"/>
  <c r="I34" i="11"/>
  <c r="J34" i="11"/>
  <c r="K34" i="11"/>
  <c r="L34" i="11"/>
  <c r="M34" i="11"/>
  <c r="N34" i="11"/>
  <c r="O34" i="11"/>
  <c r="P34" i="11"/>
  <c r="S34" i="11"/>
  <c r="T34" i="11"/>
  <c r="U34" i="11"/>
  <c r="V34" i="11"/>
  <c r="W34" i="11"/>
  <c r="X34" i="11"/>
  <c r="Y34" i="11"/>
  <c r="Z34" i="11"/>
  <c r="AA34" i="11"/>
  <c r="AB34" i="11"/>
  <c r="AE34" i="11"/>
  <c r="AF34" i="11"/>
  <c r="AG34" i="11"/>
  <c r="C32" i="11"/>
  <c r="Z43" i="21" l="1"/>
  <c r="Z5" i="22" s="1"/>
  <c r="C43" i="21"/>
  <c r="C5" i="22" s="1"/>
  <c r="AA43" i="21"/>
  <c r="AA5" i="22" s="1"/>
  <c r="P43" i="21"/>
  <c r="P5" i="22" s="1"/>
  <c r="AB43" i="21"/>
  <c r="AB5" i="22" s="1"/>
  <c r="Q43" i="21"/>
  <c r="Q5" i="22" s="1"/>
  <c r="AC43" i="21"/>
  <c r="AC5" i="22" s="1"/>
  <c r="F43" i="21"/>
  <c r="F5" i="22" s="1"/>
  <c r="AD43" i="21"/>
  <c r="AD5" i="22" s="1"/>
  <c r="S43" i="21"/>
  <c r="S5" i="22" s="1"/>
  <c r="T43" i="21"/>
  <c r="T5" i="22" s="1"/>
  <c r="I43" i="21"/>
  <c r="I5" i="22" s="1"/>
  <c r="U43" i="21"/>
  <c r="U5" i="22" s="1"/>
  <c r="J43" i="21"/>
  <c r="J5" i="22" s="1"/>
  <c r="V43" i="21"/>
  <c r="V5" i="22" s="1"/>
  <c r="N43" i="21"/>
  <c r="N5" i="22" s="1"/>
  <c r="O43" i="21"/>
  <c r="O5" i="22" s="1"/>
  <c r="D43" i="21"/>
  <c r="D5" i="22" s="1"/>
  <c r="E43" i="21"/>
  <c r="E5" i="22" s="1"/>
  <c r="R43" i="21"/>
  <c r="R5" i="22" s="1"/>
  <c r="AE43" i="21"/>
  <c r="AE5" i="22" s="1"/>
  <c r="AF43" i="21"/>
  <c r="AF5" i="22" s="1"/>
  <c r="K43" i="21"/>
  <c r="K5" i="22" s="1"/>
  <c r="W43" i="21"/>
  <c r="W5" i="22" s="1"/>
  <c r="G43" i="21"/>
  <c r="G5" i="22" s="1"/>
  <c r="H43" i="21"/>
  <c r="H5" i="22" s="1"/>
  <c r="AG43" i="21"/>
  <c r="AG5" i="22" s="1"/>
  <c r="L43" i="21"/>
  <c r="L5" i="22" s="1"/>
  <c r="X43" i="21"/>
  <c r="X5" i="22" s="1"/>
  <c r="I22" i="21"/>
  <c r="I4" i="22" s="1"/>
  <c r="J22" i="21"/>
  <c r="J4" i="22" s="1"/>
  <c r="AF22" i="21"/>
  <c r="AF4" i="22" s="1"/>
  <c r="C22" i="21"/>
  <c r="C4" i="22" s="1"/>
  <c r="T22" i="21"/>
  <c r="T4" i="22" s="1"/>
  <c r="AG22" i="21"/>
  <c r="AG4" i="22" s="1"/>
  <c r="W22" i="21"/>
  <c r="W4" i="22" s="1"/>
  <c r="Y22" i="21"/>
  <c r="Y4" i="22" s="1"/>
  <c r="O22" i="21"/>
  <c r="O4" i="22" s="1"/>
  <c r="AA22" i="21"/>
  <c r="AA4" i="22" s="1"/>
  <c r="D22" i="21"/>
  <c r="D4" i="22" s="1"/>
  <c r="P22" i="21"/>
  <c r="P4" i="22" s="1"/>
  <c r="AB22" i="21"/>
  <c r="AB4" i="22" s="1"/>
  <c r="Z22" i="21"/>
  <c r="Z4" i="22" s="1"/>
  <c r="E22" i="21"/>
  <c r="E4" i="22" s="1"/>
  <c r="H22" i="21"/>
  <c r="H4" i="22" s="1"/>
  <c r="U22" i="21"/>
  <c r="U4" i="22" s="1"/>
  <c r="V22" i="21"/>
  <c r="V4" i="22" s="1"/>
  <c r="K22" i="21"/>
  <c r="K4" i="22" s="1"/>
  <c r="M22" i="21"/>
  <c r="M4" i="22" s="1"/>
  <c r="N22" i="21"/>
  <c r="N4" i="22" s="1"/>
  <c r="Q22" i="21"/>
  <c r="Q4" i="22" s="1"/>
  <c r="AC22" i="21"/>
  <c r="AC4" i="22" s="1"/>
  <c r="F22" i="21"/>
  <c r="F4" i="22" s="1"/>
  <c r="R22" i="21"/>
  <c r="R4" i="22" s="1"/>
  <c r="AD22" i="21"/>
  <c r="AD4" i="22" s="1"/>
  <c r="A2" i="20"/>
  <c r="C2" i="20"/>
  <c r="D2" i="20"/>
  <c r="E2" i="20"/>
  <c r="F2" i="20"/>
  <c r="G2" i="20"/>
  <c r="H2" i="20"/>
  <c r="I2" i="20"/>
  <c r="J2" i="20"/>
  <c r="K2" i="20"/>
  <c r="L2" i="20"/>
  <c r="M2" i="20"/>
  <c r="N2" i="20"/>
  <c r="O2" i="20"/>
  <c r="P2" i="20"/>
  <c r="Q2" i="20"/>
  <c r="R2" i="20"/>
  <c r="S2" i="20"/>
  <c r="T2" i="20"/>
  <c r="U2" i="20"/>
  <c r="V2" i="20"/>
  <c r="W2" i="20"/>
  <c r="X2" i="20"/>
  <c r="Y2" i="20"/>
  <c r="Z2" i="20"/>
  <c r="AA2" i="20"/>
  <c r="AB2" i="20"/>
  <c r="AC2" i="20"/>
  <c r="AD2" i="20"/>
  <c r="AE2" i="20"/>
  <c r="AF2" i="20"/>
  <c r="AG2" i="20"/>
  <c r="A3" i="20"/>
  <c r="A4" i="20"/>
  <c r="A5" i="20"/>
  <c r="C5" i="20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W5" i="20"/>
  <c r="X5" i="20"/>
  <c r="Y5" i="20"/>
  <c r="Z5" i="20"/>
  <c r="AA5" i="20"/>
  <c r="AB5" i="20"/>
  <c r="AC5" i="20"/>
  <c r="AD5" i="20"/>
  <c r="AE5" i="20"/>
  <c r="AF5" i="20"/>
  <c r="AG5" i="20"/>
  <c r="A6" i="20"/>
  <c r="A7" i="20"/>
  <c r="A8" i="20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C97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C76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C55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C27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D9" i="11"/>
  <c r="E9" i="11"/>
  <c r="F9" i="11"/>
  <c r="G9" i="11"/>
  <c r="H9" i="11"/>
  <c r="I9" i="11"/>
  <c r="J9" i="11"/>
  <c r="K9" i="11"/>
  <c r="D10" i="11"/>
  <c r="E10" i="11"/>
  <c r="F10" i="11"/>
  <c r="G10" i="11"/>
  <c r="H10" i="11"/>
  <c r="I10" i="11"/>
  <c r="J10" i="11"/>
  <c r="K10" i="11"/>
  <c r="D11" i="11"/>
  <c r="E11" i="11"/>
  <c r="F11" i="11"/>
  <c r="G11" i="11"/>
  <c r="H11" i="11"/>
  <c r="I11" i="11"/>
  <c r="J11" i="11"/>
  <c r="K11" i="11"/>
  <c r="D12" i="11"/>
  <c r="E12" i="11"/>
  <c r="F12" i="11"/>
  <c r="G12" i="11"/>
  <c r="H12" i="11"/>
  <c r="I12" i="11"/>
  <c r="J12" i="11"/>
  <c r="K12" i="11"/>
  <c r="D13" i="11"/>
  <c r="E13" i="11"/>
  <c r="F13" i="11"/>
  <c r="G13" i="11"/>
  <c r="H13" i="11"/>
  <c r="I13" i="11"/>
  <c r="J13" i="11"/>
  <c r="K13" i="11"/>
  <c r="D14" i="11"/>
  <c r="E14" i="11"/>
  <c r="F14" i="11"/>
  <c r="G14" i="11"/>
  <c r="H14" i="11"/>
  <c r="I14" i="11"/>
  <c r="J14" i="11"/>
  <c r="K14" i="11"/>
  <c r="D15" i="11"/>
  <c r="E15" i="11"/>
  <c r="F15" i="11"/>
  <c r="G15" i="11"/>
  <c r="H15" i="11"/>
  <c r="I15" i="11"/>
  <c r="J15" i="11"/>
  <c r="K15" i="11"/>
  <c r="D16" i="11"/>
  <c r="E16" i="11"/>
  <c r="F16" i="11"/>
  <c r="G16" i="11"/>
  <c r="H16" i="11"/>
  <c r="I16" i="11"/>
  <c r="J16" i="11"/>
  <c r="K16" i="11"/>
  <c r="D17" i="11"/>
  <c r="E17" i="11"/>
  <c r="F17" i="11"/>
  <c r="G17" i="11"/>
  <c r="H17" i="11"/>
  <c r="I17" i="11"/>
  <c r="J17" i="11"/>
  <c r="K17" i="11"/>
  <c r="D18" i="11"/>
  <c r="E18" i="11"/>
  <c r="F18" i="11"/>
  <c r="G18" i="11"/>
  <c r="H18" i="11"/>
  <c r="I18" i="11"/>
  <c r="J18" i="11"/>
  <c r="K18" i="11"/>
  <c r="D19" i="11"/>
  <c r="E19" i="11"/>
  <c r="F19" i="11"/>
  <c r="G19" i="11"/>
  <c r="H19" i="11"/>
  <c r="I19" i="11"/>
  <c r="J19" i="11"/>
  <c r="K19" i="11"/>
  <c r="D20" i="11"/>
  <c r="E20" i="11"/>
  <c r="F20" i="11"/>
  <c r="G20" i="11"/>
  <c r="H20" i="11"/>
  <c r="I20" i="11"/>
  <c r="J20" i="11"/>
  <c r="K20" i="11"/>
  <c r="D21" i="11"/>
  <c r="E21" i="11"/>
  <c r="F21" i="11"/>
  <c r="G21" i="11"/>
  <c r="H21" i="11"/>
  <c r="I21" i="11"/>
  <c r="J21" i="11"/>
  <c r="K21" i="11"/>
  <c r="D22" i="11"/>
  <c r="E22" i="11"/>
  <c r="F22" i="11"/>
  <c r="G22" i="11"/>
  <c r="H22" i="11"/>
  <c r="I22" i="11"/>
  <c r="J22" i="11"/>
  <c r="K22" i="11"/>
  <c r="D23" i="11"/>
  <c r="E23" i="11"/>
  <c r="F23" i="11"/>
  <c r="G23" i="11"/>
  <c r="H23" i="11"/>
  <c r="I23" i="11"/>
  <c r="J23" i="11"/>
  <c r="K23" i="11"/>
  <c r="D24" i="11"/>
  <c r="E24" i="11"/>
  <c r="F24" i="11"/>
  <c r="G24" i="11"/>
  <c r="H24" i="11"/>
  <c r="I24" i="11"/>
  <c r="J24" i="11"/>
  <c r="K24" i="11"/>
  <c r="D25" i="11"/>
  <c r="E25" i="11"/>
  <c r="F25" i="11"/>
  <c r="G25" i="11"/>
  <c r="H25" i="11"/>
  <c r="I25" i="11"/>
  <c r="J25" i="11"/>
  <c r="K25" i="11"/>
  <c r="D26" i="11"/>
  <c r="E26" i="11"/>
  <c r="F26" i="11"/>
  <c r="G26" i="11"/>
  <c r="H26" i="11"/>
  <c r="I26" i="11"/>
  <c r="J26" i="11"/>
  <c r="K26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9" i="11"/>
  <c r="D80" i="11" l="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59" i="11"/>
  <c r="AA151" i="11" l="1"/>
  <c r="AA4" i="20" s="1"/>
  <c r="O151" i="11"/>
  <c r="O4" i="20" s="1"/>
  <c r="Z151" i="11"/>
  <c r="Z4" i="20" s="1"/>
  <c r="N151" i="11"/>
  <c r="N4" i="20" s="1"/>
  <c r="M151" i="11"/>
  <c r="M4" i="20" s="1"/>
  <c r="X151" i="11"/>
  <c r="X4" i="20" s="1"/>
  <c r="L151" i="11"/>
  <c r="L4" i="20" s="1"/>
  <c r="Y151" i="11"/>
  <c r="Y4" i="20" s="1"/>
  <c r="W151" i="11"/>
  <c r="W4" i="20" s="1"/>
  <c r="K151" i="11"/>
  <c r="K4" i="20" s="1"/>
  <c r="C151" i="11"/>
  <c r="C4" i="20" s="1"/>
  <c r="V151" i="11"/>
  <c r="V4" i="20" s="1"/>
  <c r="J151" i="11"/>
  <c r="J4" i="20" s="1"/>
  <c r="AG151" i="11"/>
  <c r="AG4" i="20" s="1"/>
  <c r="U151" i="11"/>
  <c r="U4" i="20" s="1"/>
  <c r="I151" i="11"/>
  <c r="I4" i="20" s="1"/>
  <c r="AF151" i="11"/>
  <c r="AF4" i="20" s="1"/>
  <c r="T151" i="11"/>
  <c r="T4" i="20" s="1"/>
  <c r="H151" i="11"/>
  <c r="H4" i="20" s="1"/>
  <c r="AE151" i="11"/>
  <c r="AE4" i="20" s="1"/>
  <c r="S151" i="11"/>
  <c r="S4" i="20" s="1"/>
  <c r="G151" i="11"/>
  <c r="G4" i="20" s="1"/>
  <c r="AD151" i="11"/>
  <c r="AD4" i="20" s="1"/>
  <c r="R151" i="11"/>
  <c r="R4" i="20" s="1"/>
  <c r="F151" i="11"/>
  <c r="F4" i="20" s="1"/>
  <c r="AC151" i="11"/>
  <c r="AC4" i="20" s="1"/>
  <c r="Q151" i="11"/>
  <c r="Q4" i="20" s="1"/>
  <c r="E151" i="11"/>
  <c r="E4" i="20" s="1"/>
  <c r="AB151" i="11"/>
  <c r="AB4" i="20" s="1"/>
  <c r="P151" i="11"/>
  <c r="P4" i="20" s="1"/>
  <c r="D151" i="11"/>
  <c r="D4" i="20" s="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C101" i="11"/>
  <c r="C38" i="11"/>
  <c r="C6" i="11"/>
  <c r="E9" i="12"/>
  <c r="E5" i="12"/>
  <c r="D129" i="11" l="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D104" i="11"/>
  <c r="D33" i="11" s="1"/>
  <c r="E104" i="11"/>
  <c r="E33" i="11" s="1"/>
  <c r="F104" i="11"/>
  <c r="F33" i="11" s="1"/>
  <c r="G104" i="11"/>
  <c r="G33" i="11" s="1"/>
  <c r="H104" i="11"/>
  <c r="H33" i="11" s="1"/>
  <c r="I104" i="11"/>
  <c r="I33" i="11" s="1"/>
  <c r="J104" i="11"/>
  <c r="J33" i="11" s="1"/>
  <c r="K104" i="11"/>
  <c r="K33" i="11" s="1"/>
  <c r="L104" i="11"/>
  <c r="L33" i="11" s="1"/>
  <c r="M104" i="11"/>
  <c r="M33" i="11" s="1"/>
  <c r="N104" i="11"/>
  <c r="N33" i="11" s="1"/>
  <c r="O104" i="11"/>
  <c r="O33" i="11" s="1"/>
  <c r="P104" i="11"/>
  <c r="P33" i="11" s="1"/>
  <c r="Q104" i="11"/>
  <c r="Q33" i="11" s="1"/>
  <c r="R104" i="11"/>
  <c r="R33" i="11" s="1"/>
  <c r="S104" i="11"/>
  <c r="S33" i="11" s="1"/>
  <c r="T104" i="11"/>
  <c r="T33" i="11" s="1"/>
  <c r="U104" i="11"/>
  <c r="U33" i="11" s="1"/>
  <c r="V104" i="11"/>
  <c r="V33" i="11" s="1"/>
  <c r="W104" i="11"/>
  <c r="W33" i="11" s="1"/>
  <c r="X104" i="11"/>
  <c r="X33" i="11" s="1"/>
  <c r="Y104" i="11"/>
  <c r="Y33" i="11" s="1"/>
  <c r="Z104" i="11"/>
  <c r="Z33" i="11" s="1"/>
  <c r="AA104" i="11"/>
  <c r="AA33" i="11" s="1"/>
  <c r="AB104" i="11"/>
  <c r="AB33" i="11" s="1"/>
  <c r="AC104" i="11"/>
  <c r="AC33" i="11" s="1"/>
  <c r="AD104" i="11"/>
  <c r="AD33" i="11" s="1"/>
  <c r="AE104" i="11"/>
  <c r="AE33" i="11" s="1"/>
  <c r="AF104" i="11"/>
  <c r="AF33" i="11" s="1"/>
  <c r="AG104" i="11"/>
  <c r="AG33" i="11" s="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D106" i="11"/>
  <c r="D30" i="11" s="1"/>
  <c r="E106" i="11"/>
  <c r="E30" i="11" s="1"/>
  <c r="F106" i="11"/>
  <c r="F30" i="11" s="1"/>
  <c r="G106" i="11"/>
  <c r="G30" i="11" s="1"/>
  <c r="H106" i="11"/>
  <c r="H30" i="11" s="1"/>
  <c r="I106" i="11"/>
  <c r="I30" i="11" s="1"/>
  <c r="J106" i="11"/>
  <c r="J30" i="11" s="1"/>
  <c r="K106" i="11"/>
  <c r="K30" i="11" s="1"/>
  <c r="L106" i="11"/>
  <c r="L30" i="11" s="1"/>
  <c r="M106" i="11"/>
  <c r="M30" i="11" s="1"/>
  <c r="N106" i="11"/>
  <c r="N30" i="11" s="1"/>
  <c r="O106" i="11"/>
  <c r="O30" i="11" s="1"/>
  <c r="P106" i="11"/>
  <c r="P30" i="11" s="1"/>
  <c r="Q106" i="11"/>
  <c r="Q30" i="11" s="1"/>
  <c r="R106" i="11"/>
  <c r="R30" i="11" s="1"/>
  <c r="S106" i="11"/>
  <c r="S30" i="11" s="1"/>
  <c r="T106" i="11"/>
  <c r="T30" i="11" s="1"/>
  <c r="U106" i="11"/>
  <c r="U30" i="11" s="1"/>
  <c r="V106" i="11"/>
  <c r="V30" i="11" s="1"/>
  <c r="W106" i="11"/>
  <c r="W30" i="11" s="1"/>
  <c r="X106" i="11"/>
  <c r="X30" i="11" s="1"/>
  <c r="Y106" i="11"/>
  <c r="Y30" i="11" s="1"/>
  <c r="Z106" i="11"/>
  <c r="Z30" i="11" s="1"/>
  <c r="AA106" i="11"/>
  <c r="AA30" i="11" s="1"/>
  <c r="AB106" i="11"/>
  <c r="AB30" i="11" s="1"/>
  <c r="AC106" i="11"/>
  <c r="AC30" i="11" s="1"/>
  <c r="AD106" i="11"/>
  <c r="AD30" i="11" s="1"/>
  <c r="AE106" i="11"/>
  <c r="AE30" i="11" s="1"/>
  <c r="AF106" i="11"/>
  <c r="AF30" i="11" s="1"/>
  <c r="AG106" i="11"/>
  <c r="AG30" i="11" s="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D110" i="11"/>
  <c r="D31" i="11" s="1"/>
  <c r="E110" i="11"/>
  <c r="E31" i="11" s="1"/>
  <c r="F110" i="11"/>
  <c r="F31" i="11" s="1"/>
  <c r="G110" i="11"/>
  <c r="G31" i="11" s="1"/>
  <c r="H110" i="11"/>
  <c r="H31" i="11" s="1"/>
  <c r="I110" i="11"/>
  <c r="I31" i="11" s="1"/>
  <c r="J110" i="11"/>
  <c r="J31" i="11" s="1"/>
  <c r="K110" i="11"/>
  <c r="K31" i="11" s="1"/>
  <c r="L110" i="11"/>
  <c r="L31" i="11" s="1"/>
  <c r="M110" i="11"/>
  <c r="M31" i="11" s="1"/>
  <c r="N110" i="11"/>
  <c r="N31" i="11" s="1"/>
  <c r="O110" i="11"/>
  <c r="O31" i="11" s="1"/>
  <c r="P110" i="11"/>
  <c r="P31" i="11" s="1"/>
  <c r="Q110" i="11"/>
  <c r="Q31" i="11" s="1"/>
  <c r="R110" i="11"/>
  <c r="R31" i="11" s="1"/>
  <c r="S110" i="11"/>
  <c r="S31" i="11" s="1"/>
  <c r="T110" i="11"/>
  <c r="T31" i="11" s="1"/>
  <c r="U110" i="11"/>
  <c r="U31" i="11" s="1"/>
  <c r="V110" i="11"/>
  <c r="V31" i="11" s="1"/>
  <c r="W110" i="11"/>
  <c r="W31" i="11" s="1"/>
  <c r="X110" i="11"/>
  <c r="X31" i="11" s="1"/>
  <c r="Y110" i="11"/>
  <c r="Y31" i="11" s="1"/>
  <c r="Z110" i="11"/>
  <c r="Z31" i="11" s="1"/>
  <c r="AA110" i="11"/>
  <c r="AA31" i="11" s="1"/>
  <c r="AB110" i="11"/>
  <c r="AB31" i="11" s="1"/>
  <c r="AC110" i="11"/>
  <c r="AC31" i="11" s="1"/>
  <c r="AD110" i="11"/>
  <c r="AD31" i="11" s="1"/>
  <c r="AE110" i="11"/>
  <c r="AE31" i="11" s="1"/>
  <c r="AF110" i="11"/>
  <c r="AF31" i="11" s="1"/>
  <c r="AG110" i="11"/>
  <c r="AG31" i="11" s="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C102" i="11"/>
  <c r="C103" i="11"/>
  <c r="C104" i="11"/>
  <c r="C105" i="11"/>
  <c r="C106" i="11"/>
  <c r="C30" i="11" s="1"/>
  <c r="C107" i="11"/>
  <c r="C108" i="11"/>
  <c r="C109" i="11"/>
  <c r="C110" i="11"/>
  <c r="C111" i="11"/>
  <c r="C112" i="11"/>
  <c r="C113" i="11"/>
  <c r="C114" i="11"/>
  <c r="C115" i="11"/>
  <c r="C116" i="11"/>
  <c r="C117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39" i="11"/>
  <c r="C8" i="11"/>
  <c r="C7" i="11"/>
  <c r="C154" i="11" l="1"/>
  <c r="C7" i="20" s="1"/>
  <c r="G118" i="11"/>
  <c r="G154" i="11"/>
  <c r="G7" i="20" s="1"/>
  <c r="AD118" i="11"/>
  <c r="AD154" i="11"/>
  <c r="AD7" i="20" s="1"/>
  <c r="E154" i="11"/>
  <c r="E7" i="20" s="1"/>
  <c r="E118" i="11"/>
  <c r="D154" i="11"/>
  <c r="D7" i="20" s="1"/>
  <c r="D118" i="11"/>
  <c r="V118" i="11"/>
  <c r="V154" i="11"/>
  <c r="V7" i="20" s="1"/>
  <c r="J154" i="11"/>
  <c r="J7" i="20" s="1"/>
  <c r="J118" i="11"/>
  <c r="S118" i="11"/>
  <c r="S154" i="11"/>
  <c r="S7" i="20" s="1"/>
  <c r="R118" i="11"/>
  <c r="R154" i="11"/>
  <c r="R7" i="20" s="1"/>
  <c r="AC154" i="11"/>
  <c r="AC7" i="20" s="1"/>
  <c r="AC118" i="11"/>
  <c r="AB154" i="11"/>
  <c r="AB7" i="20" s="1"/>
  <c r="AB118" i="11"/>
  <c r="AA118" i="11"/>
  <c r="AA154" i="11"/>
  <c r="AA7" i="20" s="1"/>
  <c r="N118" i="11"/>
  <c r="N154" i="11"/>
  <c r="N7" i="20" s="1"/>
  <c r="Y154" i="11"/>
  <c r="Y7" i="20" s="1"/>
  <c r="Y118" i="11"/>
  <c r="L154" i="11"/>
  <c r="L7" i="20" s="1"/>
  <c r="L118" i="11"/>
  <c r="W154" i="11"/>
  <c r="W7" i="20" s="1"/>
  <c r="W118" i="11"/>
  <c r="AG154" i="11"/>
  <c r="AG7" i="20" s="1"/>
  <c r="AG118" i="11"/>
  <c r="U154" i="11"/>
  <c r="U7" i="20" s="1"/>
  <c r="U118" i="11"/>
  <c r="I154" i="11"/>
  <c r="I7" i="20" s="1"/>
  <c r="I118" i="11"/>
  <c r="AE154" i="11"/>
  <c r="AE7" i="20" s="1"/>
  <c r="AE118" i="11"/>
  <c r="F118" i="11"/>
  <c r="F154" i="11"/>
  <c r="F7" i="20" s="1"/>
  <c r="Q154" i="11"/>
  <c r="Q7" i="20" s="1"/>
  <c r="Q118" i="11"/>
  <c r="P154" i="11"/>
  <c r="P7" i="20" s="1"/>
  <c r="P118" i="11"/>
  <c r="O154" i="11"/>
  <c r="O7" i="20" s="1"/>
  <c r="O118" i="11"/>
  <c r="Z154" i="11"/>
  <c r="Z7" i="20" s="1"/>
  <c r="Z118" i="11"/>
  <c r="M154" i="11"/>
  <c r="M7" i="20" s="1"/>
  <c r="M118" i="11"/>
  <c r="X118" i="11"/>
  <c r="X154" i="11"/>
  <c r="X7" i="20" s="1"/>
  <c r="K118" i="11"/>
  <c r="K154" i="11"/>
  <c r="K7" i="20" s="1"/>
  <c r="AF118" i="11"/>
  <c r="AF154" i="11"/>
  <c r="AF7" i="20" s="1"/>
  <c r="T154" i="11"/>
  <c r="T7" i="20" s="1"/>
  <c r="T118" i="11"/>
  <c r="H154" i="11"/>
  <c r="H7" i="20" s="1"/>
  <c r="H118" i="11"/>
  <c r="C118" i="11"/>
  <c r="R35" i="11"/>
  <c r="R150" i="11" s="1"/>
  <c r="Q35" i="11"/>
  <c r="Q150" i="11" s="1"/>
  <c r="P35" i="11"/>
  <c r="P150" i="11" s="1"/>
  <c r="N35" i="11"/>
  <c r="N150" i="11" s="1"/>
  <c r="M35" i="11"/>
  <c r="M150" i="11" s="1"/>
  <c r="X35" i="11"/>
  <c r="X150" i="11" s="1"/>
  <c r="W35" i="11"/>
  <c r="W150" i="11" s="1"/>
  <c r="V35" i="11"/>
  <c r="V150" i="11" s="1"/>
  <c r="AG35" i="11"/>
  <c r="AG150" i="11" s="1"/>
  <c r="U35" i="11"/>
  <c r="U150" i="11" s="1"/>
  <c r="I35" i="11"/>
  <c r="I150" i="11" s="1"/>
  <c r="AD35" i="11"/>
  <c r="AD150" i="11" s="1"/>
  <c r="AC35" i="11"/>
  <c r="AC150" i="11" s="1"/>
  <c r="D35" i="11"/>
  <c r="D150" i="11" s="1"/>
  <c r="O35" i="11"/>
  <c r="O150" i="11" s="1"/>
  <c r="J35" i="11"/>
  <c r="J150" i="11" s="1"/>
  <c r="AF35" i="11"/>
  <c r="AF150" i="11" s="1"/>
  <c r="T35" i="11"/>
  <c r="T150" i="11" s="1"/>
  <c r="H35" i="11"/>
  <c r="H150" i="11" s="1"/>
  <c r="F35" i="11"/>
  <c r="F150" i="11" s="1"/>
  <c r="E35" i="11"/>
  <c r="E150" i="11" s="1"/>
  <c r="AB35" i="11"/>
  <c r="AB150" i="11" s="1"/>
  <c r="AA35" i="11"/>
  <c r="AA150" i="11" s="1"/>
  <c r="Z35" i="11"/>
  <c r="Z150" i="11" s="1"/>
  <c r="Y35" i="11"/>
  <c r="Y150" i="11" s="1"/>
  <c r="L35" i="11"/>
  <c r="L150" i="11" s="1"/>
  <c r="K35" i="11"/>
  <c r="K150" i="11" s="1"/>
  <c r="AE35" i="11"/>
  <c r="AE150" i="11" s="1"/>
  <c r="S35" i="11"/>
  <c r="S150" i="11" s="1"/>
  <c r="G35" i="11"/>
  <c r="G150" i="11" s="1"/>
  <c r="Q4" i="11"/>
  <c r="C4" i="11"/>
  <c r="C33" i="11"/>
  <c r="C31" i="11"/>
  <c r="N4" i="11"/>
  <c r="F4" i="11"/>
  <c r="AB4" i="11"/>
  <c r="L4" i="11"/>
  <c r="AE4" i="11"/>
  <c r="W4" i="11"/>
  <c r="O4" i="11"/>
  <c r="G4" i="11"/>
  <c r="U4" i="11"/>
  <c r="AA4" i="11"/>
  <c r="S4" i="11"/>
  <c r="K4" i="11"/>
  <c r="V4" i="11"/>
  <c r="M4" i="11"/>
  <c r="T4" i="11"/>
  <c r="D4" i="11"/>
  <c r="Z4" i="11"/>
  <c r="R4" i="11"/>
  <c r="J4" i="11"/>
  <c r="AC4" i="11"/>
  <c r="E4" i="11"/>
  <c r="AG4" i="11"/>
  <c r="Y4" i="11"/>
  <c r="I4" i="11"/>
  <c r="AD4" i="11"/>
  <c r="AF4" i="11"/>
  <c r="X4" i="11"/>
  <c r="P4" i="11"/>
  <c r="H4" i="11"/>
  <c r="C35" i="11" l="1"/>
  <c r="C150" i="11" s="1"/>
  <c r="C153" i="11" s="1"/>
  <c r="C155" i="11" s="1"/>
  <c r="C8" i="20" s="1"/>
  <c r="C3" i="20"/>
  <c r="G3" i="20"/>
  <c r="G153" i="11"/>
  <c r="M153" i="11"/>
  <c r="M3" i="20"/>
  <c r="D153" i="11"/>
  <c r="D3" i="20"/>
  <c r="AB153" i="11"/>
  <c r="AB3" i="20"/>
  <c r="E153" i="11"/>
  <c r="E3" i="20"/>
  <c r="X153" i="11"/>
  <c r="X3" i="20"/>
  <c r="N153" i="11"/>
  <c r="N3" i="20"/>
  <c r="K153" i="11"/>
  <c r="K3" i="20"/>
  <c r="O3" i="20"/>
  <c r="O153" i="11"/>
  <c r="L153" i="11"/>
  <c r="L3" i="20"/>
  <c r="Q153" i="11"/>
  <c r="Q3" i="20"/>
  <c r="Y153" i="11"/>
  <c r="Y3" i="20"/>
  <c r="AC153" i="11"/>
  <c r="AC3" i="20"/>
  <c r="R153" i="11"/>
  <c r="R3" i="20"/>
  <c r="U3" i="20"/>
  <c r="U153" i="11"/>
  <c r="AG3" i="20"/>
  <c r="AG153" i="11"/>
  <c r="F153" i="11"/>
  <c r="F3" i="20"/>
  <c r="W3" i="20"/>
  <c r="W153" i="11"/>
  <c r="T153" i="11"/>
  <c r="T3" i="20"/>
  <c r="S3" i="20"/>
  <c r="S153" i="11"/>
  <c r="AE3" i="20"/>
  <c r="AE153" i="11"/>
  <c r="Z153" i="11"/>
  <c r="Z3" i="20"/>
  <c r="V3" i="20"/>
  <c r="V153" i="11"/>
  <c r="H153" i="11"/>
  <c r="H3" i="20"/>
  <c r="AF153" i="11"/>
  <c r="AF3" i="20"/>
  <c r="J3" i="20"/>
  <c r="J153" i="11"/>
  <c r="P153" i="11"/>
  <c r="P3" i="20"/>
  <c r="AD153" i="11"/>
  <c r="AD3" i="20"/>
  <c r="AA153" i="11"/>
  <c r="AA3" i="20"/>
  <c r="I3" i="20"/>
  <c r="I153" i="11"/>
  <c r="L163" i="11"/>
  <c r="D163" i="11"/>
  <c r="G163" i="11"/>
  <c r="H163" i="11"/>
  <c r="C163" i="11"/>
  <c r="S163" i="11"/>
  <c r="O163" i="11"/>
  <c r="J163" i="11"/>
  <c r="F163" i="11"/>
  <c r="K163" i="11"/>
  <c r="Q163" i="11"/>
  <c r="M163" i="11"/>
  <c r="I163" i="11"/>
  <c r="E163" i="11"/>
  <c r="E17" i="12"/>
  <c r="E15" i="12"/>
  <c r="E14" i="12"/>
  <c r="E10" i="12"/>
  <c r="E8" i="12"/>
  <c r="E7" i="12"/>
  <c r="E6" i="12"/>
  <c r="E21" i="12"/>
  <c r="E12" i="12"/>
  <c r="C6" i="20" l="1"/>
  <c r="AF155" i="11"/>
  <c r="AF6" i="20"/>
  <c r="N155" i="11"/>
  <c r="N6" i="20"/>
  <c r="AA155" i="11"/>
  <c r="AA6" i="20"/>
  <c r="F155" i="11"/>
  <c r="F6" i="20"/>
  <c r="E155" i="11"/>
  <c r="E6" i="20"/>
  <c r="AB155" i="11"/>
  <c r="AB6" i="20"/>
  <c r="AE6" i="20"/>
  <c r="AE155" i="11"/>
  <c r="O155" i="11"/>
  <c r="O6" i="20"/>
  <c r="P155" i="11"/>
  <c r="P6" i="20"/>
  <c r="S155" i="11"/>
  <c r="S6" i="20"/>
  <c r="R155" i="11"/>
  <c r="R6" i="20"/>
  <c r="K155" i="11"/>
  <c r="K6" i="20"/>
  <c r="M155" i="11"/>
  <c r="M6" i="20"/>
  <c r="T155" i="11"/>
  <c r="T6" i="20"/>
  <c r="AC155" i="11"/>
  <c r="AC6" i="20"/>
  <c r="I155" i="11"/>
  <c r="I6" i="20"/>
  <c r="W155" i="11"/>
  <c r="W6" i="20"/>
  <c r="H155" i="11"/>
  <c r="H6" i="20"/>
  <c r="Y155" i="11"/>
  <c r="Y6" i="20"/>
  <c r="X155" i="11"/>
  <c r="X6" i="20"/>
  <c r="V155" i="11"/>
  <c r="V6" i="20"/>
  <c r="Q155" i="11"/>
  <c r="Q6" i="20"/>
  <c r="AG155" i="11"/>
  <c r="AG6" i="20"/>
  <c r="AD155" i="11"/>
  <c r="AD6" i="20"/>
  <c r="Z155" i="11"/>
  <c r="Z6" i="20"/>
  <c r="L155" i="11"/>
  <c r="L6" i="20"/>
  <c r="U155" i="11"/>
  <c r="U6" i="20"/>
  <c r="D155" i="11"/>
  <c r="D6" i="20"/>
  <c r="J155" i="11"/>
  <c r="J6" i="20"/>
  <c r="G155" i="11"/>
  <c r="G6" i="20"/>
  <c r="N163" i="11"/>
  <c r="J160" i="11"/>
  <c r="H160" i="11"/>
  <c r="F160" i="11"/>
  <c r="E160" i="11"/>
  <c r="D160" i="11"/>
  <c r="G160" i="11"/>
  <c r="D159" i="11"/>
  <c r="J159" i="11"/>
  <c r="M159" i="11"/>
  <c r="H159" i="11"/>
  <c r="L159" i="11"/>
  <c r="E159" i="11"/>
  <c r="G159" i="11"/>
  <c r="F159" i="11"/>
  <c r="I159" i="11"/>
  <c r="K159" i="11"/>
  <c r="E11" i="12"/>
  <c r="E13" i="12"/>
  <c r="E16" i="12"/>
  <c r="E18" i="12"/>
  <c r="E19" i="12"/>
  <c r="E20" i="12"/>
  <c r="N159" i="11" l="1"/>
  <c r="O159" i="11"/>
  <c r="I160" i="11"/>
  <c r="P163" i="11"/>
  <c r="C159" i="11"/>
  <c r="I8" i="20" l="1"/>
  <c r="J8" i="20"/>
  <c r="P159" i="11"/>
  <c r="Q159" i="11"/>
  <c r="S159" i="11"/>
  <c r="R163" i="11"/>
  <c r="K160" i="11"/>
  <c r="L160" i="11"/>
  <c r="C160" i="11"/>
  <c r="I162" i="11" l="1"/>
  <c r="I164" i="11" s="1"/>
  <c r="F8" i="20"/>
  <c r="F162" i="11"/>
  <c r="F164" i="11" s="1"/>
  <c r="E8" i="20"/>
  <c r="E162" i="11"/>
  <c r="E164" i="11" s="1"/>
  <c r="G8" i="20"/>
  <c r="G162" i="11"/>
  <c r="G164" i="11" s="1"/>
  <c r="D8" i="20"/>
  <c r="D162" i="11"/>
  <c r="D164" i="11" s="1"/>
  <c r="J162" i="11"/>
  <c r="J164" i="11" s="1"/>
  <c r="H8" i="20"/>
  <c r="H162" i="11"/>
  <c r="H164" i="11" s="1"/>
  <c r="T8" i="20"/>
  <c r="R159" i="11"/>
  <c r="N160" i="11"/>
  <c r="K162" i="11"/>
  <c r="K164" i="11" s="1"/>
  <c r="K8" i="20"/>
  <c r="L8" i="20"/>
  <c r="L162" i="11"/>
  <c r="L164" i="11" s="1"/>
  <c r="M160" i="11"/>
  <c r="C162" i="11"/>
  <c r="C164" i="11" s="1"/>
  <c r="V8" i="20" l="1"/>
  <c r="N162" i="11"/>
  <c r="N164" i="11" s="1"/>
  <c r="N8" i="20"/>
  <c r="M162" i="11"/>
  <c r="M164" i="11" s="1"/>
  <c r="M8" i="20"/>
  <c r="O160" i="11"/>
  <c r="P160" i="11"/>
  <c r="R160" i="11"/>
  <c r="U8" i="20" l="1"/>
  <c r="X8" i="20"/>
  <c r="Q160" i="11"/>
  <c r="S160" i="11"/>
  <c r="R8" i="20"/>
  <c r="R162" i="11"/>
  <c r="R164" i="11" s="1"/>
  <c r="P162" i="11"/>
  <c r="P164" i="11" s="1"/>
  <c r="P8" i="20"/>
  <c r="O162" i="11"/>
  <c r="O164" i="11" s="1"/>
  <c r="O8" i="20"/>
  <c r="W8" i="20" l="1"/>
  <c r="Z8" i="20"/>
  <c r="Q162" i="11"/>
  <c r="Q164" i="11" s="1"/>
  <c r="Q8" i="20"/>
  <c r="S162" i="11"/>
  <c r="S164" i="11" s="1"/>
  <c r="S8" i="20"/>
  <c r="Y8" i="20" l="1"/>
  <c r="AB8" i="20"/>
  <c r="AA8" i="20" l="1"/>
  <c r="AD8" i="20"/>
  <c r="AF8" i="20"/>
  <c r="AC8" i="20" l="1"/>
  <c r="AE8" i="20" l="1"/>
  <c r="AG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5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  <comment ref="A16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</commentList>
</comments>
</file>

<file path=xl/sharedStrings.xml><?xml version="1.0" encoding="utf-8"?>
<sst xmlns="http://schemas.openxmlformats.org/spreadsheetml/2006/main" count="1578" uniqueCount="275">
  <si>
    <t>Parameter</t>
  </si>
  <si>
    <t>Technology</t>
  </si>
  <si>
    <t>Life period</t>
  </si>
  <si>
    <t>Operation Life Time</t>
  </si>
  <si>
    <t>CRF (Capital Recovery Factor)</t>
  </si>
  <si>
    <t>Discount Rate</t>
  </si>
  <si>
    <t>Operating O&amp;M costs</t>
  </si>
  <si>
    <t>Annualized Investment costs</t>
  </si>
  <si>
    <t>CO2 costs</t>
  </si>
  <si>
    <t>Convert PJ --&gt;GWh</t>
  </si>
  <si>
    <t>Total Costs (Million USD)</t>
  </si>
  <si>
    <t>AnnualFixedOperatingCost + AnnualVariableOperating Cost (Million USD)</t>
  </si>
  <si>
    <t>VARIABLE</t>
  </si>
  <si>
    <t>FIXED</t>
  </si>
  <si>
    <t>Generation (PJ-&gt;GWh), Before Transmission losses</t>
  </si>
  <si>
    <t>Annual Production by Technology (PJ)</t>
  </si>
  <si>
    <t>Annualized Investment Cost (M.USD)</t>
  </si>
  <si>
    <t>Capital Investments (M.USD)</t>
  </si>
  <si>
    <t>FUEL</t>
  </si>
  <si>
    <t>REGION</t>
  </si>
  <si>
    <t>TECHNOLOGY</t>
  </si>
  <si>
    <t>Million USD</t>
  </si>
  <si>
    <t>PJ</t>
  </si>
  <si>
    <t>TOTAL (Fixed &amp; Variable)</t>
  </si>
  <si>
    <t>Average electricity cost (USD/kWh)</t>
  </si>
  <si>
    <t>Calculations (non Trades)</t>
  </si>
  <si>
    <t>New Capacity (GW)</t>
  </si>
  <si>
    <t>GW</t>
  </si>
  <si>
    <t>GHA_PRO_EXTR_NG</t>
  </si>
  <si>
    <t>GHA_PRO_EXTR_OIL</t>
  </si>
  <si>
    <t>GHA_PRO_EXTR_COAL</t>
  </si>
  <si>
    <t>GHA_PRO_PROC_BIOM</t>
  </si>
  <si>
    <t>GHA_PRO_BLEND_BIOF</t>
  </si>
  <si>
    <t>GHA_PRO_BLEND_OIL</t>
  </si>
  <si>
    <t>GHA_PRO_EXTR_UR</t>
  </si>
  <si>
    <t>GHA_PRO_PROC_BIOF1</t>
  </si>
  <si>
    <t>GHA_PRO_PROC_COAL</t>
  </si>
  <si>
    <t>GHA_PRO_PROC_NG</t>
  </si>
  <si>
    <t>GHA_PRO_PROC_OIL</t>
  </si>
  <si>
    <t>GHA_PRO_PROC_TRADBIOM</t>
  </si>
  <si>
    <t>GHA_SER_HEAT_BIOM</t>
  </si>
  <si>
    <t>GHA_SER_HEAT_COAL</t>
  </si>
  <si>
    <t>GHA_SER_HEAT_ELE</t>
  </si>
  <si>
    <t>GHA_SER_HEAT_NG</t>
  </si>
  <si>
    <t>GHA_SER_HEAT_OIL</t>
  </si>
  <si>
    <t>GHA_SER_HEAT_RES</t>
  </si>
  <si>
    <t>GHA_SER_HEAT_SOL</t>
  </si>
  <si>
    <t>GHA_SER_HEAT_TECH</t>
  </si>
  <si>
    <t>GHA_SER_UNIT</t>
  </si>
  <si>
    <t>GHA_TRA_23WHEEL_ELE</t>
  </si>
  <si>
    <t>GHA_TRA_23WHEEL_LIQ</t>
  </si>
  <si>
    <t>GHA_TRA_23WHEEL_NG</t>
  </si>
  <si>
    <t>GHA_TRA_AVI_LIQ</t>
  </si>
  <si>
    <t>GHA_TRA_BUS_ELE</t>
  </si>
  <si>
    <t>GHA_TRA_BUS_H2</t>
  </si>
  <si>
    <t>GHA_TRA_BUS_LIQ</t>
  </si>
  <si>
    <t>GHA_TRA_BUS_NG</t>
  </si>
  <si>
    <t>GHA_TRA_CAR_ELE</t>
  </si>
  <si>
    <t>GHA_TRA_CAR_H2</t>
  </si>
  <si>
    <t>GHA_TRA_CAR_LIQ</t>
  </si>
  <si>
    <t>GHA_TRA_CAR_NG</t>
  </si>
  <si>
    <t>GHA_TRA_PIPE_ELE</t>
  </si>
  <si>
    <t>GHA_TRA_PIPE_NG</t>
  </si>
  <si>
    <t>GHA_TRA_RAILP_ELE</t>
  </si>
  <si>
    <t>GHA_TRA_RAILP_H2</t>
  </si>
  <si>
    <t>GHA_TRA_RAILP_LIQ</t>
  </si>
  <si>
    <t>GHA_TRA_SHIP_AMMO</t>
  </si>
  <si>
    <t>GHA_TRA_SHIP_LIQ</t>
  </si>
  <si>
    <t>GHA_TRA_TRUH_ELE</t>
  </si>
  <si>
    <t>GHA_TRA_TRUH_H2</t>
  </si>
  <si>
    <t>GHA_TRA_TRUH_LIQ</t>
  </si>
  <si>
    <t>GHA_TRA_TRUH_NG</t>
  </si>
  <si>
    <t>GHA_TRA_VAN_ELE</t>
  </si>
  <si>
    <t>GHA_TRA_VAN_H2</t>
  </si>
  <si>
    <t>GHA_TRA_VAN_LIQ</t>
  </si>
  <si>
    <t>GHA_TRA_VAN_NG</t>
  </si>
  <si>
    <t>GHA_UNSP_ENEU_TECH</t>
  </si>
  <si>
    <t>SLE_MIN_UNIT</t>
  </si>
  <si>
    <t>SLE_POST_UNIT</t>
  </si>
  <si>
    <t xml:space="preserve">Price of oil as commodity </t>
  </si>
  <si>
    <t>MUSD/PJ</t>
  </si>
  <si>
    <t xml:space="preserve">Price of natural gas as commodity </t>
  </si>
  <si>
    <t xml:space="preserve">Price of biomass as commodity </t>
  </si>
  <si>
    <t>Only grid-connected</t>
  </si>
  <si>
    <t>Natural gas</t>
  </si>
  <si>
    <t>Oil</t>
  </si>
  <si>
    <t>Biomass</t>
  </si>
  <si>
    <t>Fuel use</t>
  </si>
  <si>
    <t>IAR</t>
  </si>
  <si>
    <t>PHL_AGR_FAC</t>
  </si>
  <si>
    <t>PHL_AGR_HEAT_BIOM</t>
  </si>
  <si>
    <t>PHL_AGR_HEAT_COAL</t>
  </si>
  <si>
    <t>PHL_AGR_HEAT_ELE</t>
  </si>
  <si>
    <t>PHL_AGR_HEAT_NG</t>
  </si>
  <si>
    <t>PHL_AGR_HEAT_OIL</t>
  </si>
  <si>
    <t>PHL_AGR_MOT_ELE</t>
  </si>
  <si>
    <t>PHL_AGR_MOT_LIQ</t>
  </si>
  <si>
    <t>PHL_AGR_UNIT</t>
  </si>
  <si>
    <t>PHL_DEM_PUB_GWT_WAT</t>
  </si>
  <si>
    <t>PHL_DEM_PUB_SUR_WAT</t>
  </si>
  <si>
    <t>PHL_DEM_PWR_GWT_WAT</t>
  </si>
  <si>
    <t>PHL_DEM_PWR_SUR_WAT</t>
  </si>
  <si>
    <t>PHL_HOU_COOK_BIOM</t>
  </si>
  <si>
    <t>PHL_HOU_COOK_COAL</t>
  </si>
  <si>
    <t>PHL_HOU_COOK_ELE</t>
  </si>
  <si>
    <t>PHL_HOU_COOK_NG</t>
  </si>
  <si>
    <t>PHL_HOU_COOK_OIL</t>
  </si>
  <si>
    <t>PHL_HOU_UNIT</t>
  </si>
  <si>
    <t>PHL_INDU_OTHHPH_BIOM</t>
  </si>
  <si>
    <t>PHL_INDU_OTHHPH_BIOM_CCS</t>
  </si>
  <si>
    <t>PHL_INDU_OTHHPH_COAL</t>
  </si>
  <si>
    <t>PHL_INDU_OTHHPH_COAL_CCS</t>
  </si>
  <si>
    <t>PHL_INDU_OTHHPH_H2</t>
  </si>
  <si>
    <t>PHL_INDU_OTHHPH_NG</t>
  </si>
  <si>
    <t>PHL_INDU_OTHHPH_NG_CCS</t>
  </si>
  <si>
    <t>PHL_INDU_OTHHPH_OIL</t>
  </si>
  <si>
    <t>PHL_INDU_OTHLPH_BIOM</t>
  </si>
  <si>
    <t>PHL_INDU_OTHLPH_COAL</t>
  </si>
  <si>
    <t>PHL_INDU_OTHLPH_ELE</t>
  </si>
  <si>
    <t>PHL_INDU_OTHLPH_H2</t>
  </si>
  <si>
    <t>PHL_INDU_OTHLPH_NG</t>
  </si>
  <si>
    <t>PHL_INDU_OTHLPH_OIL</t>
  </si>
  <si>
    <t>PHL_INDU_PLANT_OTH</t>
  </si>
  <si>
    <t>PHL_LND</t>
  </si>
  <si>
    <t>PHL_LND_BLT</t>
  </si>
  <si>
    <t>PHL_LND_CRP</t>
  </si>
  <si>
    <t>PHL_LND_FOR</t>
  </si>
  <si>
    <t>PHL_LND_GRS</t>
  </si>
  <si>
    <t>PHL_LND_OTH</t>
  </si>
  <si>
    <t>PHL_LND_WAT</t>
  </si>
  <si>
    <t>PHL_MIN_PRC</t>
  </si>
  <si>
    <t>PHL_POW_BH2_NG</t>
  </si>
  <si>
    <t>PHL_POW_CHP_BIOM_OLD</t>
  </si>
  <si>
    <t>PHL_POW_CHP_COAL_OLD</t>
  </si>
  <si>
    <t>PHL_POW_CHP_NG_OLD</t>
  </si>
  <si>
    <t>PHL_POW_CHP_OIL_OLD</t>
  </si>
  <si>
    <t>PHL_POW_DAC</t>
  </si>
  <si>
    <t>PHL_POW_ELEC</t>
  </si>
  <si>
    <t>PHL_POW_GEO_OLD</t>
  </si>
  <si>
    <t>PHL_POW_GH2_COAL</t>
  </si>
  <si>
    <t>PHL_POW_GH2_NG</t>
  </si>
  <si>
    <t>PHL_POW_PP_BIOM_CCS</t>
  </si>
  <si>
    <t>PHL_POW_PP_COAL</t>
  </si>
  <si>
    <t>PHL_POW_PP_COAL_CCS</t>
  </si>
  <si>
    <t>PHL_POW_PP_H2</t>
  </si>
  <si>
    <t>PHL_POW_PP_HY_LA</t>
  </si>
  <si>
    <t>PHL_POW_PP_NGCC</t>
  </si>
  <si>
    <t>PHL_POW_PP_NGCC_CCS</t>
  </si>
  <si>
    <t>PHL_POW_PP_NU</t>
  </si>
  <si>
    <t>PHL_POW_PP_NUSMR</t>
  </si>
  <si>
    <t>PHL_POW_PP_SPV_T1</t>
  </si>
  <si>
    <t>PHL_POW_PP_WOF_T1</t>
  </si>
  <si>
    <t>PHL_POW_PP_WON_T1</t>
  </si>
  <si>
    <t>PHL_POW_SYNTH</t>
  </si>
  <si>
    <t>PHL_POW_TD</t>
  </si>
  <si>
    <t>PHL_POW_TD_AGR</t>
  </si>
  <si>
    <t>PHL_POW_TD_HOU</t>
  </si>
  <si>
    <t>PHL_POW_TD_INDU</t>
  </si>
  <si>
    <t>PHL_POW_TD_SER</t>
  </si>
  <si>
    <t>PHL_POW_TD_TRA</t>
  </si>
  <si>
    <t>PHL_POW_TECH_AMMO</t>
  </si>
  <si>
    <t>PHL_PRO_BLEND_BIOF</t>
  </si>
  <si>
    <t>PHL_PRO_BLEND_OIL</t>
  </si>
  <si>
    <t>PHL_PRO_BLEND_SFUEL</t>
  </si>
  <si>
    <t>PHL_PRO_EXTR_COAL</t>
  </si>
  <si>
    <t>PHL_PRO_EXTR_NG</t>
  </si>
  <si>
    <t>PHL_PRO_EXTR_OIL</t>
  </si>
  <si>
    <t>PHL_PRO_IMP_COAL</t>
  </si>
  <si>
    <t>PHL_PRO_IMP_NG</t>
  </si>
  <si>
    <t>PHL_PRO_IMP_OIL</t>
  </si>
  <si>
    <t>PHL_PRO_PROC_BIOF</t>
  </si>
  <si>
    <t>PHL_PRO_PROC_BIOM</t>
  </si>
  <si>
    <t>PHL_PRO_PROC_COAL</t>
  </si>
  <si>
    <t>PHL_PRO_PROC_NG</t>
  </si>
  <si>
    <t>PHL_PRO_PROC_OIL</t>
  </si>
  <si>
    <t>PHL_PWR_GAS</t>
  </si>
  <si>
    <t>PHL_SER_HEAT_BIOM</t>
  </si>
  <si>
    <t>PHL_SER_HEAT_COAL</t>
  </si>
  <si>
    <t>PHL_SER_HEAT_ELE</t>
  </si>
  <si>
    <t>PHL_SER_HEAT_NG</t>
  </si>
  <si>
    <t>PHL_SER_HEAT_OIL</t>
  </si>
  <si>
    <t>PHL_SER_HEAT_RES</t>
  </si>
  <si>
    <t>PHL_SER_UNIT</t>
  </si>
  <si>
    <t>PHL_TRA_23WHEEL_ELE</t>
  </si>
  <si>
    <t>PHL_TRA_23WHEEL_LIQ</t>
  </si>
  <si>
    <t>PHL_TRA_23WHEEL_NG</t>
  </si>
  <si>
    <t>PHL_TRA_AVI_LIQ</t>
  </si>
  <si>
    <t>PHL_TRA_BUS_ELE</t>
  </si>
  <si>
    <t>PHL_TRA_BUS_H2</t>
  </si>
  <si>
    <t>PHL_TRA_BUS_LIQ</t>
  </si>
  <si>
    <t>PHL_TRA_BUS_NG</t>
  </si>
  <si>
    <t>PHL_TRA_BUS_PHEV</t>
  </si>
  <si>
    <t>PHL_TRA_CAR_ELE</t>
  </si>
  <si>
    <t>PHL_TRA_CAR_H2</t>
  </si>
  <si>
    <t>PHL_TRA_CAR_LIQ</t>
  </si>
  <si>
    <t>PHL_TRA_CAR_NG</t>
  </si>
  <si>
    <t>PHL_TRA_CAR_PHEV</t>
  </si>
  <si>
    <t>PHL_TRA_RAILF_ELE</t>
  </si>
  <si>
    <t>PHL_TRA_RAILF_H2</t>
  </si>
  <si>
    <t>PHL_TRA_RAILF_LIQ</t>
  </si>
  <si>
    <t>PHL_TRA_RAILP_ELE</t>
  </si>
  <si>
    <t>PHL_TRA_RAILP_H2</t>
  </si>
  <si>
    <t>PHL_TRA_RAILP_LIQ</t>
  </si>
  <si>
    <t>PHL_TRA_SHIP_AMMO</t>
  </si>
  <si>
    <t>PHL_TRA_SHIP_LIQ</t>
  </si>
  <si>
    <t>PHL_TRA_TRUH_ELE</t>
  </si>
  <si>
    <t>PHL_TRA_TRUH_H2</t>
  </si>
  <si>
    <t>PHL_TRA_TRUH_LIQ</t>
  </si>
  <si>
    <t>PHL_TRA_TRUH_NG</t>
  </si>
  <si>
    <t>PHL_TRA_TRUH_PHEV</t>
  </si>
  <si>
    <t>PHL_TRA_TRUL_ELE</t>
  </si>
  <si>
    <t>PHL_TRA_TRUL_H2</t>
  </si>
  <si>
    <t>PHL_TRA_TRUL_LIQ</t>
  </si>
  <si>
    <t>PHL_TRA_TRUL_NG</t>
  </si>
  <si>
    <t>PHL_TRA_TRUL_PHEV</t>
  </si>
  <si>
    <t>PHL_TRA_VAN_ELE</t>
  </si>
  <si>
    <t>PHL_TRA_VAN_H2</t>
  </si>
  <si>
    <t>PHL_TRA_VAN_LIQ</t>
  </si>
  <si>
    <t>PHL_TRA_VAN_NG</t>
  </si>
  <si>
    <t>PHL_TRA_VAN_PHEV</t>
  </si>
  <si>
    <t>Philippines</t>
  </si>
  <si>
    <t>PHL_POW_PP_BIOM</t>
  </si>
  <si>
    <t>PHL_POW_PP_OIL</t>
  </si>
  <si>
    <t xml:space="preserve">Price of coal as commodity </t>
  </si>
  <si>
    <t>Coal</t>
  </si>
  <si>
    <t>Variable Cost of imported fuels</t>
  </si>
  <si>
    <t>Calculations</t>
  </si>
  <si>
    <t>PHL_PRO_IMP_UR</t>
  </si>
  <si>
    <t>(blank)</t>
  </si>
  <si>
    <t>Year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</si>
  <si>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</si>
  <si>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</si>
  <si>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</si>
  <si>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</si>
  <si>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</si>
  <si>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</si>
  <si>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</si>
  <si>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</si>
  <si>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</si>
  <si>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</si>
  <si>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</si>
  <si>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</si>
  <si>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</si>
  <si>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</si>
  <si>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</si>
  <si>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</si>
  <si>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</si>
  <si>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</si>
  <si>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</si>
  <si>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</si>
  <si>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</si>
  <si>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</si>
  <si>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</si>
  <si>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</si>
  <si>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</si>
  <si>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</si>
  <si>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</si>
  <si>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</si>
  <si>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</si>
  <si>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</si>
  <si>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</si>
  <si>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</si>
  <si>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</si>
  <si>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</si>
  <si>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Uranium</t>
  </si>
  <si>
    <t>Price of urankium as a commodity</t>
  </si>
  <si>
    <t>RE%</t>
  </si>
  <si>
    <t>Total Capital Investments (Million USD)</t>
  </si>
  <si>
    <t>Total Annualized Investments (Million USD)</t>
  </si>
  <si>
    <t>Variable</t>
  </si>
  <si>
    <t>Base Scenario</t>
  </si>
  <si>
    <t>Annual Technology Emission by Mode (Mton)</t>
  </si>
  <si>
    <t>CO2e</t>
  </si>
  <si>
    <t>PM2_5</t>
  </si>
  <si>
    <t>Emission / Tehcnology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</si>
</sst>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000"/>
    <numFmt numFmtId="166" formatCode="0.0000"/>
    <numFmt numFmtId="167" formatCode="0.0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3366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  <font>
      <sz val="11"/>
      <color rgb="FF003366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5">
    <xf numFmtId="0" fontId="0" fillId="0" borderId="0" xfId="0"/>
    <xf numFmtId="0" fontId="0" fillId="0" borderId="2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4" borderId="0" xfId="0" applyFill="1"/>
    <xf numFmtId="0" fontId="2" fillId="5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164" fontId="0" fillId="0" borderId="0" xfId="0" applyNumberFormat="1"/>
    <xf numFmtId="0" fontId="0" fillId="0" borderId="5" xfId="0" applyBorder="1"/>
    <xf numFmtId="0" fontId="1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/>
    <xf numFmtId="11" fontId="0" fillId="0" borderId="0" xfId="0" applyNumberFormat="1"/>
    <xf numFmtId="0" fontId="4" fillId="7" borderId="0" xfId="0" applyFont="1" applyFill="1"/>
    <xf numFmtId="0" fontId="1" fillId="6" borderId="0" xfId="0" applyFont="1" applyFill="1"/>
    <xf numFmtId="2" fontId="0" fillId="7" borderId="1" xfId="0" applyNumberFormat="1" applyFill="1" applyBorder="1"/>
    <xf numFmtId="2" fontId="0" fillId="0" borderId="0" xfId="0" applyNumberFormat="1"/>
    <xf numFmtId="0" fontId="1" fillId="2" borderId="4" xfId="0" applyFont="1" applyFill="1" applyBorder="1" applyAlignment="1">
      <alignment horizontal="left" vertical="center" wrapText="1"/>
    </xf>
    <xf numFmtId="0" fontId="0" fillId="5" borderId="0" xfId="0" applyFill="1"/>
    <xf numFmtId="0" fontId="7" fillId="8" borderId="6" xfId="0" applyFont="1" applyFill="1" applyBorder="1"/>
    <xf numFmtId="0" fontId="0" fillId="0" borderId="0" xfId="0" applyAlignment="1">
      <alignment horizontal="right"/>
    </xf>
    <xf numFmtId="0" fontId="8" fillId="0" borderId="7" xfId="0" applyFont="1" applyBorder="1"/>
    <xf numFmtId="165" fontId="0" fillId="0" borderId="0" xfId="0" applyNumberFormat="1"/>
    <xf numFmtId="166" fontId="0" fillId="7" borderId="1" xfId="0" applyNumberFormat="1" applyFill="1" applyBorder="1"/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8" fillId="0" borderId="0" xfId="0" applyFont="1"/>
    <xf numFmtId="0" fontId="9" fillId="9" borderId="8" xfId="0" applyFont="1" applyFill="1" applyBorder="1" applyAlignment="1">
      <alignment horizontal="left"/>
    </xf>
    <xf numFmtId="4" fontId="10" fillId="10" borderId="8" xfId="0" applyNumberFormat="1" applyFont="1" applyFill="1" applyBorder="1" applyAlignment="1">
      <alignment horizontal="right"/>
    </xf>
    <xf numFmtId="0" fontId="4" fillId="0" borderId="0" xfId="0" applyFont="1"/>
    <xf numFmtId="0" fontId="1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/>
    <xf numFmtId="0" fontId="0" fillId="12" borderId="0" xfId="0" applyFill="1" applyAlignment="1">
      <alignment horizontal="center"/>
    </xf>
    <xf numFmtId="0" fontId="12" fillId="0" borderId="0" xfId="0" applyFont="1"/>
    <xf numFmtId="0" fontId="13" fillId="7" borderId="0" xfId="0" applyFont="1" applyFill="1"/>
    <xf numFmtId="0" fontId="12" fillId="11" borderId="0" xfId="0" applyFont="1" applyFill="1"/>
    <xf numFmtId="0" fontId="4" fillId="0" borderId="0" xfId="0" applyFont="1" applyAlignment="1">
      <alignment horizontal="right"/>
    </xf>
    <xf numFmtId="0" fontId="8" fillId="4" borderId="0" xfId="0" applyFont="1" applyFill="1"/>
    <xf numFmtId="4" fontId="9" fillId="9" borderId="8" xfId="0" applyNumberFormat="1" applyFont="1" applyFill="1" applyBorder="1" applyAlignment="1">
      <alignment horizontal="center"/>
    </xf>
    <xf numFmtId="167" fontId="8" fillId="0" borderId="0" xfId="0" applyNumberFormat="1" applyFont="1"/>
    <xf numFmtId="0" fontId="4" fillId="0" borderId="4" xfId="0" applyFont="1" applyBorder="1"/>
    <xf numFmtId="166" fontId="4" fillId="7" borderId="1" xfId="0" applyNumberFormat="1" applyFont="1" applyFill="1" applyBorder="1"/>
    <xf numFmtId="0" fontId="0" fillId="0" borderId="3" xfId="0" applyBorder="1"/>
    <xf numFmtId="9" fontId="0" fillId="0" borderId="0" xfId="1" applyFont="1"/>
    <xf numFmtId="0" fontId="4" fillId="13" borderId="0" xfId="0" applyFont="1" applyFill="1"/>
    <xf numFmtId="0" fontId="4" fillId="13" borderId="9" xfId="0" applyFont="1" applyFill="1" applyBorder="1"/>
    <xf numFmtId="0" fontId="4" fillId="0" borderId="9" xfId="0" applyFont="1" applyBorder="1" applyAlignment="1">
      <alignment horizontal="left"/>
    </xf>
    <xf numFmtId="0" fontId="4" fillId="0" borderId="9" xfId="0" applyFont="1" applyBorder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Average</a:t>
            </a:r>
            <a:r>
              <a:rPr lang="sv-SE" baseline="0"/>
              <a:t> grid electricity generation cost (USD/kWh)</a:t>
            </a:r>
            <a:endParaRPr lang="sv-S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Cost_of_ELCgen!$C$149:$AG$149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Cost_of_ELCgen!$C$155:$AG$155</c:f>
              <c:numCache>
                <c:formatCode>0.0000</c:formatCode>
                <c:ptCount val="31"/>
                <c:pt idx="0">
                  <c:v>4.1444430068814063E-2</c:v>
                </c:pt>
                <c:pt idx="1">
                  <c:v>4.5716393173940488E-2</c:v>
                </c:pt>
                <c:pt idx="2">
                  <c:v>4.8825787813143368E-2</c:v>
                </c:pt>
                <c:pt idx="3">
                  <c:v>4.6546008065129249E-2</c:v>
                </c:pt>
                <c:pt idx="4">
                  <c:v>4.6389573583272115E-2</c:v>
                </c:pt>
                <c:pt idx="5">
                  <c:v>4.6771808029953649E-2</c:v>
                </c:pt>
                <c:pt idx="6">
                  <c:v>4.7138940258958956E-2</c:v>
                </c:pt>
                <c:pt idx="7">
                  <c:v>4.7472965178145338E-2</c:v>
                </c:pt>
                <c:pt idx="8">
                  <c:v>4.7785591043344774E-2</c:v>
                </c:pt>
                <c:pt idx="9">
                  <c:v>4.7612812655153665E-2</c:v>
                </c:pt>
                <c:pt idx="10">
                  <c:v>4.6563239084922214E-2</c:v>
                </c:pt>
                <c:pt idx="11">
                  <c:v>4.7102661227384351E-2</c:v>
                </c:pt>
                <c:pt idx="12">
                  <c:v>4.9785785509060806E-2</c:v>
                </c:pt>
                <c:pt idx="13">
                  <c:v>5.0795956693055984E-2</c:v>
                </c:pt>
                <c:pt idx="14">
                  <c:v>5.1396930574354856E-2</c:v>
                </c:pt>
                <c:pt idx="15">
                  <c:v>5.2394821350859912E-2</c:v>
                </c:pt>
                <c:pt idx="16">
                  <c:v>5.3647574620250875E-2</c:v>
                </c:pt>
                <c:pt idx="17">
                  <c:v>5.5083953648491266E-2</c:v>
                </c:pt>
                <c:pt idx="18">
                  <c:v>5.602270309158585E-2</c:v>
                </c:pt>
                <c:pt idx="19">
                  <c:v>5.7267855357769626E-2</c:v>
                </c:pt>
                <c:pt idx="20">
                  <c:v>5.7192706476316996E-2</c:v>
                </c:pt>
                <c:pt idx="21">
                  <c:v>5.7513680301204226E-2</c:v>
                </c:pt>
                <c:pt idx="22">
                  <c:v>5.7817625213357725E-2</c:v>
                </c:pt>
                <c:pt idx="23">
                  <c:v>5.8095098494074043E-2</c:v>
                </c:pt>
                <c:pt idx="24">
                  <c:v>5.8359173735721095E-2</c:v>
                </c:pt>
                <c:pt idx="25">
                  <c:v>5.8553568030530447E-2</c:v>
                </c:pt>
                <c:pt idx="26">
                  <c:v>5.9138282983427652E-2</c:v>
                </c:pt>
                <c:pt idx="27">
                  <c:v>5.9350662861145535E-2</c:v>
                </c:pt>
                <c:pt idx="28">
                  <c:v>5.9502116050902956E-2</c:v>
                </c:pt>
                <c:pt idx="29">
                  <c:v>5.9803019468621439E-2</c:v>
                </c:pt>
                <c:pt idx="30">
                  <c:v>5.9909690591509857E-2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5-5E49-8282-1FBE321D7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121616"/>
        <c:axId val="672125552"/>
      </c:lineChart>
      <c:catAx>
        <c:axId val="6721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5552"/>
        <c:crosses val="autoZero"/>
        <c:auto val="1"/>
        <c:lblAlgn val="ctr"/>
        <c:lblOffset val="100"/>
        <c:tickLblSkip val="2"/>
        <c:noMultiLvlLbl val="0"/>
      </c:catAx>
      <c:valAx>
        <c:axId val="67212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16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Annualized_Investments!$B$18</c:f>
              <c:strCache>
                <c:ptCount val="1"/>
                <c:pt idx="0">
                  <c:v>PHL_INDU_OTHLPH_OIL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Annualized_Investments!$C$18:$AG$18</c:f>
              <c:numCache>
                <c:formatCode>#,##0.00</c:formatCode>
                <c:ptCount val="31"/>
                <c:pt idx="0">
                  <c:v>34.242721657799997</c:v>
                </c:pt>
                <c:pt idx="1">
                  <c:v>34.242721657799997</c:v>
                </c:pt>
                <c:pt idx="2">
                  <c:v>34.242721657799997</c:v>
                </c:pt>
                <c:pt idx="3">
                  <c:v>34.242721657799997</c:v>
                </c:pt>
                <c:pt idx="4">
                  <c:v>34.242721657799997</c:v>
                </c:pt>
                <c:pt idx="5">
                  <c:v>34.242721657799997</c:v>
                </c:pt>
                <c:pt idx="6">
                  <c:v>34.242721657799997</c:v>
                </c:pt>
                <c:pt idx="7">
                  <c:v>34.242721657799997</c:v>
                </c:pt>
                <c:pt idx="8">
                  <c:v>34.242721657799997</c:v>
                </c:pt>
                <c:pt idx="9">
                  <c:v>34.242721657799997</c:v>
                </c:pt>
                <c:pt idx="10">
                  <c:v>34.242721657799997</c:v>
                </c:pt>
                <c:pt idx="11">
                  <c:v>34.242721657799997</c:v>
                </c:pt>
                <c:pt idx="12">
                  <c:v>34.242721657799997</c:v>
                </c:pt>
                <c:pt idx="13">
                  <c:v>34.242721657799997</c:v>
                </c:pt>
                <c:pt idx="14">
                  <c:v>34.242721657799997</c:v>
                </c:pt>
                <c:pt idx="15">
                  <c:v>34.242721657799997</c:v>
                </c:pt>
                <c:pt idx="16">
                  <c:v>34.242721657799997</c:v>
                </c:pt>
                <c:pt idx="17">
                  <c:v>34.242721657799997</c:v>
                </c:pt>
                <c:pt idx="18">
                  <c:v>34.242721657799997</c:v>
                </c:pt>
                <c:pt idx="19">
                  <c:v>34.242721657799997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F-40C7-803F-5FEE2FFA847E}"/>
            </c:ext>
          </c:extLst>
        </c:ser>
        <c:ser>
          <c:idx val="1"/>
          <c:order val="1"/>
          <c:tx>
            <c:strRef>
              <c:f>Annualized_Investments!$B$19</c:f>
              <c:strCache>
                <c:ptCount val="1"/>
                <c:pt idx="0">
                  <c:v>PHL_POW_CHP_BIOM_OLD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Annualized_Investments!$C$19:$AG$19</c:f>
              <c:numCache>
                <c:formatCode>#,##0.00</c:formatCode>
                <c:ptCount val="31"/>
                <c:pt idx="2">
                  <c:v>20.480610924099999</c:v>
                </c:pt>
                <c:pt idx="3">
                  <c:v>21.979192211200001</c:v>
                </c:pt>
                <c:pt idx="4">
                  <c:v>24.451851334899999</c:v>
                </c:pt>
                <c:pt idx="5">
                  <c:v>24.451851334899999</c:v>
                </c:pt>
                <c:pt idx="6">
                  <c:v>24.451851334899999</c:v>
                </c:pt>
                <c:pt idx="7">
                  <c:v>24.451851334899999</c:v>
                </c:pt>
                <c:pt idx="8">
                  <c:v>24.451851334899999</c:v>
                </c:pt>
                <c:pt idx="9">
                  <c:v>24.451851334899999</c:v>
                </c:pt>
                <c:pt idx="10">
                  <c:v>24.451851334899999</c:v>
                </c:pt>
                <c:pt idx="11">
                  <c:v>24.451851334899999</c:v>
                </c:pt>
                <c:pt idx="12">
                  <c:v>24.451851334899999</c:v>
                </c:pt>
                <c:pt idx="13">
                  <c:v>24.451851334899999</c:v>
                </c:pt>
                <c:pt idx="14">
                  <c:v>24.451851334899999</c:v>
                </c:pt>
                <c:pt idx="15">
                  <c:v>24.451851334899999</c:v>
                </c:pt>
                <c:pt idx="16">
                  <c:v>24.451851334899999</c:v>
                </c:pt>
                <c:pt idx="17">
                  <c:v>24.451851334899999</c:v>
                </c:pt>
                <c:pt idx="18">
                  <c:v>24.451851334899999</c:v>
                </c:pt>
                <c:pt idx="19">
                  <c:v>24.451851334899999</c:v>
                </c:pt>
                <c:pt idx="20">
                  <c:v>24.451851334899999</c:v>
                </c:pt>
                <c:pt idx="21">
                  <c:v>24.451851334899999</c:v>
                </c:pt>
                <c:pt idx="22">
                  <c:v>24.451851334899999</c:v>
                </c:pt>
                <c:pt idx="23">
                  <c:v>24.451851334899999</c:v>
                </c:pt>
                <c:pt idx="24">
                  <c:v>24.451851334899999</c:v>
                </c:pt>
                <c:pt idx="25">
                  <c:v>24.451851334899999</c:v>
                </c:pt>
                <c:pt idx="26">
                  <c:v>24.451851334899999</c:v>
                </c:pt>
                <c:pt idx="27">
                  <c:v>24.451851334899999</c:v>
                </c:pt>
                <c:pt idx="28">
                  <c:v>24.451851334899999</c:v>
                </c:pt>
                <c:pt idx="29">
                  <c:v>24.451851334899999</c:v>
                </c:pt>
                <c:pt idx="30">
                  <c:v>24.451851334899999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F-40C7-803F-5FEE2FFA847E}"/>
            </c:ext>
          </c:extLst>
        </c:ser>
        <c:ser>
          <c:idx val="2"/>
          <c:order val="2"/>
          <c:tx>
            <c:strRef>
              <c:f>Annualized_Investments!$B$20</c:f>
              <c:strCache>
                <c:ptCount val="1"/>
                <c:pt idx="0">
                  <c:v>PHL_POW_CHP_OIL_OLD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Annualized_Investments!$C$20:$AG$20</c:f>
              <c:numCache>
                <c:formatCode>#,##0.00</c:formatCode>
                <c:ptCount val="31"/>
                <c:pt idx="1">
                  <c:v>12.9732737057</c:v>
                </c:pt>
                <c:pt idx="2">
                  <c:v>19.993849520800001</c:v>
                </c:pt>
                <c:pt idx="3">
                  <c:v>19.993849520800001</c:v>
                </c:pt>
                <c:pt idx="4">
                  <c:v>20.801973355600001</c:v>
                </c:pt>
                <c:pt idx="5">
                  <c:v>20.801973355600001</c:v>
                </c:pt>
                <c:pt idx="6">
                  <c:v>20.801973355600001</c:v>
                </c:pt>
                <c:pt idx="7">
                  <c:v>20.801973355600001</c:v>
                </c:pt>
                <c:pt idx="8">
                  <c:v>20.801973355600001</c:v>
                </c:pt>
                <c:pt idx="9">
                  <c:v>20.801973355600001</c:v>
                </c:pt>
                <c:pt idx="10">
                  <c:v>20.801973355600001</c:v>
                </c:pt>
                <c:pt idx="11">
                  <c:v>20.801973355600001</c:v>
                </c:pt>
                <c:pt idx="12">
                  <c:v>20.801973355600001</c:v>
                </c:pt>
                <c:pt idx="13">
                  <c:v>20.801973355600001</c:v>
                </c:pt>
                <c:pt idx="14">
                  <c:v>20.801973355600001</c:v>
                </c:pt>
                <c:pt idx="15">
                  <c:v>20.801973355600001</c:v>
                </c:pt>
                <c:pt idx="16">
                  <c:v>20.801973355600001</c:v>
                </c:pt>
                <c:pt idx="17">
                  <c:v>20.801973355600001</c:v>
                </c:pt>
                <c:pt idx="18">
                  <c:v>20.801973355600001</c:v>
                </c:pt>
                <c:pt idx="19">
                  <c:v>20.801973355600001</c:v>
                </c:pt>
                <c:pt idx="20">
                  <c:v>20.801973355600001</c:v>
                </c:pt>
                <c:pt idx="21">
                  <c:v>20.801973355600001</c:v>
                </c:pt>
                <c:pt idx="22">
                  <c:v>20.801973355600001</c:v>
                </c:pt>
                <c:pt idx="23">
                  <c:v>20.801973355600001</c:v>
                </c:pt>
                <c:pt idx="24">
                  <c:v>20.801973355600001</c:v>
                </c:pt>
                <c:pt idx="25">
                  <c:v>20.801973355600001</c:v>
                </c:pt>
                <c:pt idx="26">
                  <c:v>20.801973355600001</c:v>
                </c:pt>
                <c:pt idx="27">
                  <c:v>20.801973355600001</c:v>
                </c:pt>
                <c:pt idx="28">
                  <c:v>20.801973355600001</c:v>
                </c:pt>
                <c:pt idx="29">
                  <c:v>20.801973355600001</c:v>
                </c:pt>
                <c:pt idx="30">
                  <c:v>20.801973355600001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F-40C7-803F-5FEE2FFA847E}"/>
            </c:ext>
          </c:extLst>
        </c:ser>
        <c:ser>
          <c:idx val="3"/>
          <c:order val="3"/>
          <c:tx>
            <c:strRef>
              <c:f>Annualized_Investments!$B$21</c:f>
              <c:strCache>
                <c:ptCount val="1"/>
                <c:pt idx="0">
                  <c:v>PHL_POW_GEO_OLD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Annualized_Investments!$C$21:$AG$21</c:f>
              <c:numCache>
                <c:formatCode>#,##0.00</c:formatCode>
                <c:ptCount val="31"/>
                <c:pt idx="2">
                  <c:v>0.90358901309999995</c:v>
                </c:pt>
                <c:pt idx="3">
                  <c:v>69.548413795200005</c:v>
                </c:pt>
                <c:pt idx="4">
                  <c:v>71.190131796499998</c:v>
                </c:pt>
                <c:pt idx="5">
                  <c:v>79.908544706900003</c:v>
                </c:pt>
                <c:pt idx="6">
                  <c:v>283.54049330790002</c:v>
                </c:pt>
                <c:pt idx="7">
                  <c:v>488.63028953650002</c:v>
                </c:pt>
                <c:pt idx="8">
                  <c:v>698.77249152130003</c:v>
                </c:pt>
                <c:pt idx="9">
                  <c:v>746.15278085709997</c:v>
                </c:pt>
                <c:pt idx="10">
                  <c:v>746.15278085709997</c:v>
                </c:pt>
                <c:pt idx="11">
                  <c:v>746.15278085709997</c:v>
                </c:pt>
                <c:pt idx="12">
                  <c:v>746.15278085709997</c:v>
                </c:pt>
                <c:pt idx="13">
                  <c:v>780.3426354078</c:v>
                </c:pt>
                <c:pt idx="14">
                  <c:v>780.3426354078</c:v>
                </c:pt>
                <c:pt idx="15">
                  <c:v>780.3426354078</c:v>
                </c:pt>
                <c:pt idx="16">
                  <c:v>806.83977268470005</c:v>
                </c:pt>
                <c:pt idx="17">
                  <c:v>955.85869587649995</c:v>
                </c:pt>
                <c:pt idx="18">
                  <c:v>955.85869587649995</c:v>
                </c:pt>
                <c:pt idx="19">
                  <c:v>955.85869587649995</c:v>
                </c:pt>
                <c:pt idx="20">
                  <c:v>955.85869587649995</c:v>
                </c:pt>
                <c:pt idx="21">
                  <c:v>955.85869587649995</c:v>
                </c:pt>
                <c:pt idx="22">
                  <c:v>955.85869587649995</c:v>
                </c:pt>
                <c:pt idx="23">
                  <c:v>955.85869587649995</c:v>
                </c:pt>
                <c:pt idx="24">
                  <c:v>955.85869587649995</c:v>
                </c:pt>
                <c:pt idx="25">
                  <c:v>955.85869587649995</c:v>
                </c:pt>
                <c:pt idx="26">
                  <c:v>955.85869587649995</c:v>
                </c:pt>
                <c:pt idx="27">
                  <c:v>955.85869587649995</c:v>
                </c:pt>
                <c:pt idx="28">
                  <c:v>955.85869587649995</c:v>
                </c:pt>
                <c:pt idx="29">
                  <c:v>955.85869587649995</c:v>
                </c:pt>
                <c:pt idx="30">
                  <c:v>956.97401777460004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F-40C7-803F-5FEE2FFA847E}"/>
            </c:ext>
          </c:extLst>
        </c:ser>
        <c:ser>
          <c:idx val="4"/>
          <c:order val="4"/>
          <c:tx>
            <c:strRef>
              <c:f>Annualized_Investments!$B$22</c:f>
              <c:strCache>
                <c:ptCount val="1"/>
                <c:pt idx="0">
                  <c:v>PHL_POW_PP_COAL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Annualized_Investments!$C$22:$AG$22</c:f>
              <c:numCache>
                <c:formatCode>#,##0.00</c:formatCode>
                <c:ptCount val="31"/>
                <c:pt idx="1">
                  <c:v>107.780161326</c:v>
                </c:pt>
                <c:pt idx="2">
                  <c:v>222.16092839379999</c:v>
                </c:pt>
                <c:pt idx="3">
                  <c:v>222.16092839379999</c:v>
                </c:pt>
                <c:pt idx="4">
                  <c:v>311.35830328430001</c:v>
                </c:pt>
                <c:pt idx="5">
                  <c:v>311.35830328430001</c:v>
                </c:pt>
                <c:pt idx="6">
                  <c:v>311.35830328430001</c:v>
                </c:pt>
                <c:pt idx="7">
                  <c:v>311.35830328430001</c:v>
                </c:pt>
                <c:pt idx="8">
                  <c:v>311.35830328430001</c:v>
                </c:pt>
                <c:pt idx="9">
                  <c:v>311.35830328430001</c:v>
                </c:pt>
                <c:pt idx="10">
                  <c:v>311.35830328430001</c:v>
                </c:pt>
                <c:pt idx="11">
                  <c:v>439.7715270388</c:v>
                </c:pt>
                <c:pt idx="12">
                  <c:v>903.90693861579996</c:v>
                </c:pt>
                <c:pt idx="13">
                  <c:v>1067.2985345205</c:v>
                </c:pt>
                <c:pt idx="14">
                  <c:v>1230.6901304252001</c:v>
                </c:pt>
                <c:pt idx="15">
                  <c:v>1394.0817263297999</c:v>
                </c:pt>
                <c:pt idx="16">
                  <c:v>1706.0797234544</c:v>
                </c:pt>
                <c:pt idx="17">
                  <c:v>1904.4997298850999</c:v>
                </c:pt>
                <c:pt idx="18">
                  <c:v>2202.6844796291998</c:v>
                </c:pt>
                <c:pt idx="19">
                  <c:v>2491.7926396520002</c:v>
                </c:pt>
                <c:pt idx="20">
                  <c:v>2491.7926396520002</c:v>
                </c:pt>
                <c:pt idx="21">
                  <c:v>2580.0065796974</c:v>
                </c:pt>
                <c:pt idx="22">
                  <c:v>2760.2473637549001</c:v>
                </c:pt>
                <c:pt idx="23">
                  <c:v>2940.8878939568999</c:v>
                </c:pt>
                <c:pt idx="24">
                  <c:v>3121.9037896875002</c:v>
                </c:pt>
                <c:pt idx="25">
                  <c:v>3308.467039097</c:v>
                </c:pt>
                <c:pt idx="26">
                  <c:v>3542.9885139884</c:v>
                </c:pt>
                <c:pt idx="27">
                  <c:v>3731.6843442413001</c:v>
                </c:pt>
                <c:pt idx="28">
                  <c:v>3902.9326746771999</c:v>
                </c:pt>
                <c:pt idx="29">
                  <c:v>3898.5043966695998</c:v>
                </c:pt>
                <c:pt idx="30">
                  <c:v>3898.5043966695998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F-40C7-803F-5FEE2FFA847E}"/>
            </c:ext>
          </c:extLst>
        </c:ser>
        <c:ser>
          <c:idx val="5"/>
          <c:order val="5"/>
          <c:tx>
            <c:strRef>
              <c:f>Annualized_Investments!$B$23</c:f>
              <c:strCache>
                <c:ptCount val="1"/>
                <c:pt idx="0">
                  <c:v>PHL_POW_PP_HY_LA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Annualized_Investments!$C$23:$AG$23</c:f>
              <c:numCache>
                <c:formatCode>#,##0.00</c:formatCode>
                <c:ptCount val="31"/>
                <c:pt idx="0">
                  <c:v>210.6473130039</c:v>
                </c:pt>
                <c:pt idx="1">
                  <c:v>578.38260473260004</c:v>
                </c:pt>
                <c:pt idx="2">
                  <c:v>580.67143871919995</c:v>
                </c:pt>
                <c:pt idx="3">
                  <c:v>587.40838403819998</c:v>
                </c:pt>
                <c:pt idx="4">
                  <c:v>592.47548820980001</c:v>
                </c:pt>
                <c:pt idx="5">
                  <c:v>592.47548820980001</c:v>
                </c:pt>
                <c:pt idx="6">
                  <c:v>592.47548820980001</c:v>
                </c:pt>
                <c:pt idx="7">
                  <c:v>592.47548820980001</c:v>
                </c:pt>
                <c:pt idx="8">
                  <c:v>592.47548820980001</c:v>
                </c:pt>
                <c:pt idx="9">
                  <c:v>592.47548820980001</c:v>
                </c:pt>
                <c:pt idx="10">
                  <c:v>592.47548820980001</c:v>
                </c:pt>
                <c:pt idx="11">
                  <c:v>592.47548820980001</c:v>
                </c:pt>
                <c:pt idx="12">
                  <c:v>592.47548820980001</c:v>
                </c:pt>
                <c:pt idx="13">
                  <c:v>592.47548820980001</c:v>
                </c:pt>
                <c:pt idx="14">
                  <c:v>592.47548820980001</c:v>
                </c:pt>
                <c:pt idx="15">
                  <c:v>592.47548820980001</c:v>
                </c:pt>
                <c:pt idx="16">
                  <c:v>592.47548820980001</c:v>
                </c:pt>
                <c:pt idx="17">
                  <c:v>592.47548820980001</c:v>
                </c:pt>
                <c:pt idx="18">
                  <c:v>592.47548820980001</c:v>
                </c:pt>
                <c:pt idx="19">
                  <c:v>592.47548820980001</c:v>
                </c:pt>
                <c:pt idx="20">
                  <c:v>592.47548820980001</c:v>
                </c:pt>
                <c:pt idx="21">
                  <c:v>592.47548820980001</c:v>
                </c:pt>
                <c:pt idx="22">
                  <c:v>592.47548820980001</c:v>
                </c:pt>
                <c:pt idx="23">
                  <c:v>592.47548820980001</c:v>
                </c:pt>
                <c:pt idx="24">
                  <c:v>592.47548820980001</c:v>
                </c:pt>
                <c:pt idx="25">
                  <c:v>592.47548820980001</c:v>
                </c:pt>
                <c:pt idx="26">
                  <c:v>592.47548820980001</c:v>
                </c:pt>
                <c:pt idx="27">
                  <c:v>592.47548820980001</c:v>
                </c:pt>
                <c:pt idx="28">
                  <c:v>592.47548820980001</c:v>
                </c:pt>
                <c:pt idx="29">
                  <c:v>592.47548820980001</c:v>
                </c:pt>
                <c:pt idx="30">
                  <c:v>592.47548820980001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F-40C7-803F-5FEE2FFA847E}"/>
            </c:ext>
          </c:extLst>
        </c:ser>
        <c:ser>
          <c:idx val="6"/>
          <c:order val="6"/>
          <c:tx>
            <c:strRef>
              <c:f>Annualized_Investments!$B$24</c:f>
              <c:strCache>
                <c:ptCount val="1"/>
                <c:pt idx="0">
                  <c:v>PHL_POW_PP_NGCC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Annualized_Investments!$C$24:$AG$24</c:f>
              <c:numCache>
                <c:formatCode>#,##0.00</c:formatCode>
                <c:ptCount val="31"/>
                <c:pt idx="5">
                  <c:v>71.357899912400001</c:v>
                </c:pt>
                <c:pt idx="6">
                  <c:v>71.357899912400001</c:v>
                </c:pt>
                <c:pt idx="7">
                  <c:v>71.357899912400001</c:v>
                </c:pt>
                <c:pt idx="8">
                  <c:v>71.357899912400001</c:v>
                </c:pt>
                <c:pt idx="9">
                  <c:v>71.357899912400001</c:v>
                </c:pt>
                <c:pt idx="10">
                  <c:v>71.357899912400001</c:v>
                </c:pt>
                <c:pt idx="11">
                  <c:v>71.357899912400001</c:v>
                </c:pt>
                <c:pt idx="12">
                  <c:v>71.357899912400001</c:v>
                </c:pt>
                <c:pt idx="13">
                  <c:v>71.357899912400001</c:v>
                </c:pt>
                <c:pt idx="14">
                  <c:v>71.357899912400001</c:v>
                </c:pt>
                <c:pt idx="15">
                  <c:v>71.357899912400001</c:v>
                </c:pt>
                <c:pt idx="16">
                  <c:v>71.357899912400001</c:v>
                </c:pt>
                <c:pt idx="17">
                  <c:v>71.357899912400001</c:v>
                </c:pt>
                <c:pt idx="18">
                  <c:v>74.035199664000004</c:v>
                </c:pt>
                <c:pt idx="19">
                  <c:v>134.48043595190001</c:v>
                </c:pt>
                <c:pt idx="20">
                  <c:v>252.4343147104</c:v>
                </c:pt>
                <c:pt idx="21">
                  <c:v>309.546305915</c:v>
                </c:pt>
                <c:pt idx="22">
                  <c:v>324.8717866687</c:v>
                </c:pt>
                <c:pt idx="23">
                  <c:v>338.90417578159997</c:v>
                </c:pt>
                <c:pt idx="24">
                  <c:v>358.2310237433</c:v>
                </c:pt>
                <c:pt idx="25">
                  <c:v>378.68358312049997</c:v>
                </c:pt>
                <c:pt idx="26">
                  <c:v>445.38710995209999</c:v>
                </c:pt>
                <c:pt idx="27">
                  <c:v>465.4709260299</c:v>
                </c:pt>
                <c:pt idx="28">
                  <c:v>495.35106004120001</c:v>
                </c:pt>
                <c:pt idx="29">
                  <c:v>623.77278457579996</c:v>
                </c:pt>
                <c:pt idx="30">
                  <c:v>832.45589502040002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F-40C7-803F-5FEE2FFA847E}"/>
            </c:ext>
          </c:extLst>
        </c:ser>
        <c:ser>
          <c:idx val="7"/>
          <c:order val="7"/>
          <c:tx>
            <c:strRef>
              <c:f>Annualized_Investments!$B$25</c:f>
              <c:strCache>
                <c:ptCount val="1"/>
                <c:pt idx="0">
                  <c:v>PHL_POW_PP_SPV_T1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Annualized_Investments!$C$25:$AG$25</c:f>
              <c:numCache>
                <c:formatCode>#,##0.00</c:formatCode>
                <c:ptCount val="31"/>
                <c:pt idx="1">
                  <c:v>17.8767600929</c:v>
                </c:pt>
                <c:pt idx="2">
                  <c:v>35.182746503700002</c:v>
                </c:pt>
                <c:pt idx="3">
                  <c:v>43.737239445599997</c:v>
                </c:pt>
                <c:pt idx="4">
                  <c:v>96.293446186699995</c:v>
                </c:pt>
                <c:pt idx="5">
                  <c:v>110.19144367200001</c:v>
                </c:pt>
                <c:pt idx="6">
                  <c:v>110.19144367200001</c:v>
                </c:pt>
                <c:pt idx="7">
                  <c:v>110.19144367200001</c:v>
                </c:pt>
                <c:pt idx="8">
                  <c:v>110.19144367200001</c:v>
                </c:pt>
                <c:pt idx="9">
                  <c:v>110.19144367200001</c:v>
                </c:pt>
                <c:pt idx="10">
                  <c:v>455.58903280880003</c:v>
                </c:pt>
                <c:pt idx="11">
                  <c:v>455.58903280880003</c:v>
                </c:pt>
                <c:pt idx="12">
                  <c:v>455.58903280880003</c:v>
                </c:pt>
                <c:pt idx="13">
                  <c:v>455.58903280880003</c:v>
                </c:pt>
                <c:pt idx="14">
                  <c:v>456.74671292900001</c:v>
                </c:pt>
                <c:pt idx="15">
                  <c:v>456.74671292900001</c:v>
                </c:pt>
                <c:pt idx="16">
                  <c:v>456.74671292900001</c:v>
                </c:pt>
                <c:pt idx="17">
                  <c:v>456.74671292900001</c:v>
                </c:pt>
                <c:pt idx="18">
                  <c:v>456.74671292900001</c:v>
                </c:pt>
                <c:pt idx="19">
                  <c:v>456.74671292900001</c:v>
                </c:pt>
                <c:pt idx="20">
                  <c:v>960.52234226309997</c:v>
                </c:pt>
                <c:pt idx="21">
                  <c:v>1003.6008832679</c:v>
                </c:pt>
                <c:pt idx="22">
                  <c:v>1048.6242453433999</c:v>
                </c:pt>
                <c:pt idx="23">
                  <c:v>1092.6186547957</c:v>
                </c:pt>
                <c:pt idx="24">
                  <c:v>1136.2447987809001</c:v>
                </c:pt>
                <c:pt idx="25">
                  <c:v>1181.9639943735999</c:v>
                </c:pt>
                <c:pt idx="26">
                  <c:v>1241.5086705900001</c:v>
                </c:pt>
                <c:pt idx="27">
                  <c:v>1286.2506263527</c:v>
                </c:pt>
                <c:pt idx="28">
                  <c:v>1371.3036120383999</c:v>
                </c:pt>
                <c:pt idx="29">
                  <c:v>1371.3036120383999</c:v>
                </c:pt>
                <c:pt idx="30">
                  <c:v>1589.5034289794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CF-40C7-803F-5FEE2FFA847E}"/>
            </c:ext>
          </c:extLst>
        </c:ser>
        <c:ser>
          <c:idx val="8"/>
          <c:order val="8"/>
          <c:tx>
            <c:strRef>
              <c:f>Annualized_Investments!$B$26</c:f>
              <c:strCache>
                <c:ptCount val="1"/>
                <c:pt idx="0">
                  <c:v>PHL_POW_PP_WON_T1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Annualized_Investments!$C$26:$AG$26</c:f>
              <c:numCache>
                <c:formatCode>#,##0.00</c:formatCode>
                <c:ptCount val="31"/>
                <c:pt idx="0">
                  <c:v>24.191247073500001</c:v>
                </c:pt>
                <c:pt idx="1">
                  <c:v>39.447849884599997</c:v>
                </c:pt>
                <c:pt idx="2">
                  <c:v>39.447849884599997</c:v>
                </c:pt>
                <c:pt idx="3">
                  <c:v>41.740986002900001</c:v>
                </c:pt>
                <c:pt idx="4">
                  <c:v>41.740986002900001</c:v>
                </c:pt>
                <c:pt idx="5">
                  <c:v>41.740986002900001</c:v>
                </c:pt>
                <c:pt idx="6">
                  <c:v>41.740986002900001</c:v>
                </c:pt>
                <c:pt idx="7">
                  <c:v>41.740986002900001</c:v>
                </c:pt>
                <c:pt idx="8">
                  <c:v>41.740986002900001</c:v>
                </c:pt>
                <c:pt idx="9">
                  <c:v>41.740986002900001</c:v>
                </c:pt>
                <c:pt idx="10">
                  <c:v>41.740986002900001</c:v>
                </c:pt>
                <c:pt idx="11">
                  <c:v>41.740986002900001</c:v>
                </c:pt>
                <c:pt idx="12">
                  <c:v>41.740986002900001</c:v>
                </c:pt>
                <c:pt idx="13">
                  <c:v>41.740986002900001</c:v>
                </c:pt>
                <c:pt idx="14">
                  <c:v>41.740986002900001</c:v>
                </c:pt>
                <c:pt idx="15">
                  <c:v>41.740986002900001</c:v>
                </c:pt>
                <c:pt idx="16">
                  <c:v>41.740986002900001</c:v>
                </c:pt>
                <c:pt idx="17">
                  <c:v>41.740986002900001</c:v>
                </c:pt>
                <c:pt idx="18">
                  <c:v>41.740986002900001</c:v>
                </c:pt>
                <c:pt idx="19">
                  <c:v>41.740986002900001</c:v>
                </c:pt>
                <c:pt idx="20">
                  <c:v>41.740986002900001</c:v>
                </c:pt>
                <c:pt idx="21">
                  <c:v>41.740986002900001</c:v>
                </c:pt>
                <c:pt idx="22">
                  <c:v>41.740986002900001</c:v>
                </c:pt>
                <c:pt idx="23">
                  <c:v>41.740986002900001</c:v>
                </c:pt>
                <c:pt idx="24">
                  <c:v>41.740986002900001</c:v>
                </c:pt>
                <c:pt idx="25">
                  <c:v>17.5497389294</c:v>
                </c:pt>
                <c:pt idx="26">
                  <c:v>2.2931361183000001</c:v>
                </c:pt>
                <c:pt idx="27">
                  <c:v>2.2931361183000001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CF-40C7-803F-5FEE2FFA8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7891264"/>
        <c:axId val="908440560"/>
      </c:barChart>
      <c:catAx>
        <c:axId val="3178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40560"/>
        <c:crosses val="autoZero"/>
        <c:auto val="1"/>
        <c:lblAlgn val="ctr"/>
        <c:lblOffset val="100"/>
        <c:noMultiLvlLbl val="0"/>
      </c:catAx>
      <c:valAx>
        <c:axId val="9084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616726</xdr:colOff>
      <xdr:row>170</xdr:row>
      <xdr:rowOff>13253</xdr:rowOff>
    </xdr:from>
    <xdr:to>
      <xdr:col>13</xdr:col>
      <xdr:colOff>805844</xdr:colOff>
      <xdr:row>187</xdr:row>
      <xdr:rowOff>62779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45</xdr:row>
      <xdr:rowOff>140970</xdr:rowOff>
    </xdr:from>
    <xdr:to>
      <xdr:col>12</xdr:col>
      <xdr:colOff>449580</xdr:colOff>
      <xdr:row>68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8237B-DCCA-F630-9284-FEF85D44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6ADE-03FA-4F5F-A7DF-56C7ED4A3BFC}">
  <dimension ref="A1:AG8"/>
  <sheetViews>
    <sheetView tabSelected="1" workbookViewId="0">
      <selection activeCell="A20" sqref="A20"/>
    </sheetView>
  </sheetViews>
  <sheetFormatPr defaultRowHeight="14.4"/>
  <cols>
    <col min="1" max="1" width="43.77734375" bestFit="1" customWidth="1"/>
    <col min="2" max="2" width="2" bestFit="1" customWidth="1"/>
    <col min="3" max="19" width="12.5546875" bestFit="1" customWidth="1"/>
    <col min="20" max="33" width="13.6640625" bestFit="1" customWidth="1"/>
  </cols>
  <sheetData>
    <row r="1" spans="1:33" ht="15" thickBot="1">
      <c r="A1" s="33" t="s">
        <v>270</v>
      </c>
    </row>
    <row r="2" spans="1:33" ht="16.2" thickBot="1">
      <c r="A2" s="13" t="str">
        <f>Cost_of_ELCgen!A149</f>
        <v>Calculations</v>
      </c>
      <c r="C2" s="22">
        <f>Cost_of_ELCgen!C149</f>
        <v>2020</v>
      </c>
      <c r="D2" s="22">
        <f>Cost_of_ELCgen!D149</f>
        <v>2021</v>
      </c>
      <c r="E2" s="22">
        <f>Cost_of_ELCgen!E149</f>
        <v>2022</v>
      </c>
      <c r="F2" s="22">
        <f>Cost_of_ELCgen!F149</f>
        <v>2023</v>
      </c>
      <c r="G2" s="22">
        <f>Cost_of_ELCgen!G149</f>
        <v>2024</v>
      </c>
      <c r="H2" s="22">
        <f>Cost_of_ELCgen!H149</f>
        <v>2025</v>
      </c>
      <c r="I2" s="22">
        <f>Cost_of_ELCgen!I149</f>
        <v>2026</v>
      </c>
      <c r="J2" s="22">
        <f>Cost_of_ELCgen!J149</f>
        <v>2027</v>
      </c>
      <c r="K2" s="22">
        <f>Cost_of_ELCgen!K149</f>
        <v>2028</v>
      </c>
      <c r="L2" s="22">
        <f>Cost_of_ELCgen!L149</f>
        <v>2029</v>
      </c>
      <c r="M2" s="22">
        <f>Cost_of_ELCgen!M149</f>
        <v>2030</v>
      </c>
      <c r="N2" s="22">
        <f>Cost_of_ELCgen!N149</f>
        <v>2031</v>
      </c>
      <c r="O2" s="22">
        <f>Cost_of_ELCgen!O149</f>
        <v>2032</v>
      </c>
      <c r="P2" s="22">
        <f>Cost_of_ELCgen!P149</f>
        <v>2033</v>
      </c>
      <c r="Q2" s="22">
        <f>Cost_of_ELCgen!Q149</f>
        <v>2034</v>
      </c>
      <c r="R2" s="22">
        <f>Cost_of_ELCgen!R149</f>
        <v>2035</v>
      </c>
      <c r="S2" s="22">
        <f>Cost_of_ELCgen!S149</f>
        <v>2036</v>
      </c>
      <c r="T2" s="22">
        <f>Cost_of_ELCgen!T149</f>
        <v>2037</v>
      </c>
      <c r="U2" s="22">
        <f>Cost_of_ELCgen!U149</f>
        <v>2038</v>
      </c>
      <c r="V2" s="22">
        <f>Cost_of_ELCgen!V149</f>
        <v>2039</v>
      </c>
      <c r="W2" s="22">
        <f>Cost_of_ELCgen!W149</f>
        <v>2040</v>
      </c>
      <c r="X2" s="22">
        <f>Cost_of_ELCgen!X149</f>
        <v>2041</v>
      </c>
      <c r="Y2" s="22">
        <f>Cost_of_ELCgen!Y149</f>
        <v>2042</v>
      </c>
      <c r="Z2" s="22">
        <f>Cost_of_ELCgen!Z149</f>
        <v>2043</v>
      </c>
      <c r="AA2" s="22">
        <f>Cost_of_ELCgen!AA149</f>
        <v>2044</v>
      </c>
      <c r="AB2" s="22">
        <f>Cost_of_ELCgen!AB149</f>
        <v>2045</v>
      </c>
      <c r="AC2" s="22">
        <f>Cost_of_ELCgen!AC149</f>
        <v>2046</v>
      </c>
      <c r="AD2" s="22">
        <f>Cost_of_ELCgen!AD149</f>
        <v>2047</v>
      </c>
      <c r="AE2" s="22">
        <f>Cost_of_ELCgen!AE149</f>
        <v>2048</v>
      </c>
      <c r="AF2" s="22">
        <f>Cost_of_ELCgen!AF149</f>
        <v>2049</v>
      </c>
      <c r="AG2" s="22">
        <f>Cost_of_ELCgen!AG149</f>
        <v>2050</v>
      </c>
    </row>
    <row r="3" spans="1:33">
      <c r="A3" s="48" t="str">
        <f>Cost_of_ELCgen!A150</f>
        <v>Operating O&amp;M costs</v>
      </c>
      <c r="C3" s="10">
        <f>Cost_of_ELCgen!C150</f>
        <v>3983.2719246258116</v>
      </c>
      <c r="D3" s="10">
        <f>Cost_of_ELCgen!D150</f>
        <v>4094.69758869732</v>
      </c>
      <c r="E3" s="10">
        <f>Cost_of_ELCgen!E150</f>
        <v>4526.0521645079707</v>
      </c>
      <c r="F3" s="10">
        <f>Cost_of_ELCgen!F150</f>
        <v>4486.0345102018782</v>
      </c>
      <c r="G3" s="10">
        <f>Cost_of_ELCgen!G150</f>
        <v>4730.4563225575821</v>
      </c>
      <c r="H3" s="10">
        <f>Cost_of_ELCgen!H150</f>
        <v>4392.577655013346</v>
      </c>
      <c r="I3" s="10">
        <f>Cost_of_ELCgen!I150</f>
        <v>4461.4023531799621</v>
      </c>
      <c r="J3" s="10">
        <f>Cost_of_ELCgen!J150</f>
        <v>4529.1518846456902</v>
      </c>
      <c r="K3" s="10">
        <f>Cost_of_ELCgen!K150</f>
        <v>4593.6606913623655</v>
      </c>
      <c r="L3" s="10">
        <f>Cost_of_ELCgen!L150</f>
        <v>4752.2270582025203</v>
      </c>
      <c r="M3" s="10">
        <f>Cost_of_ELCgen!M150</f>
        <v>4476.4206427455338</v>
      </c>
      <c r="N3" s="10">
        <f>Cost_of_ELCgen!N150</f>
        <v>4703.5413651275658</v>
      </c>
      <c r="O3" s="10">
        <f>Cost_of_ELCgen!O150</f>
        <v>4974.9523760973707</v>
      </c>
      <c r="P3" s="10">
        <f>Cost_of_ELCgen!P150</f>
        <v>5246.7763984678595</v>
      </c>
      <c r="Q3" s="10">
        <f>Cost_of_ELCgen!Q150</f>
        <v>5493.1274989208387</v>
      </c>
      <c r="R3" s="10">
        <f>Cost_of_ELCgen!R150</f>
        <v>5669.1775875660132</v>
      </c>
      <c r="S3" s="10">
        <f>Cost_of_ELCgen!S150</f>
        <v>5957.0550482719518</v>
      </c>
      <c r="T3" s="10">
        <f>Cost_of_ELCgen!T150</f>
        <v>6296.7572223176057</v>
      </c>
      <c r="U3" s="10">
        <f>Cost_of_ELCgen!U150</f>
        <v>6602.31241312365</v>
      </c>
      <c r="V3" s="10">
        <f>Cost_of_ELCgen!V150</f>
        <v>6945.0546232259067</v>
      </c>
      <c r="W3" s="10">
        <f>Cost_of_ELCgen!W150</f>
        <v>6724.2205100387991</v>
      </c>
      <c r="X3" s="10">
        <f>Cost_of_ELCgen!X150</f>
        <v>7042.0313670710648</v>
      </c>
      <c r="Y3" s="10">
        <f>Cost_of_ELCgen!Y150</f>
        <v>7342.8243948940999</v>
      </c>
      <c r="Z3" s="10">
        <f>Cost_of_ELCgen!Z150</f>
        <v>7645.6548356580552</v>
      </c>
      <c r="AA3" s="10">
        <f>Cost_of_ELCgen!AA150</f>
        <v>7946.0243065570721</v>
      </c>
      <c r="AB3" s="10">
        <f>Cost_of_ELCgen!AB150</f>
        <v>8246.1398287226748</v>
      </c>
      <c r="AC3" s="10">
        <f>Cost_of_ELCgen!AC150</f>
        <v>8566.7126819677851</v>
      </c>
      <c r="AD3" s="10">
        <f>Cost_of_ELCgen!AD150</f>
        <v>8881.1438342515776</v>
      </c>
      <c r="AE3" s="10">
        <f>Cost_of_ELCgen!AE150</f>
        <v>9151.2107665505064</v>
      </c>
      <c r="AF3" s="10">
        <f>Cost_of_ELCgen!AF150</f>
        <v>9633.4163189853589</v>
      </c>
      <c r="AG3" s="10">
        <f>Cost_of_ELCgen!AG150</f>
        <v>9963.7135035162646</v>
      </c>
    </row>
    <row r="4" spans="1:33">
      <c r="A4" s="48" t="str">
        <f>Cost_of_ELCgen!A151</f>
        <v>Annualized Investment costs</v>
      </c>
      <c r="C4">
        <f>Cost_of_ELCgen!C151</f>
        <v>234.83856007739999</v>
      </c>
      <c r="D4">
        <f>Cost_of_ELCgen!D151</f>
        <v>756.46064974180001</v>
      </c>
      <c r="E4">
        <f>Cost_of_ELCgen!E151</f>
        <v>918.84101295929997</v>
      </c>
      <c r="F4">
        <f>Cost_of_ELCgen!F151</f>
        <v>1006.5689934077002</v>
      </c>
      <c r="G4">
        <f>Cost_of_ELCgen!G151</f>
        <v>1158.3121801707</v>
      </c>
      <c r="H4">
        <f>Cost_of_ELCgen!H151</f>
        <v>1276.2681208864001</v>
      </c>
      <c r="I4">
        <f>Cost_of_ELCgen!I151</f>
        <v>1548.5938623391</v>
      </c>
      <c r="J4">
        <f>Cost_of_ELCgen!J151</f>
        <v>1822.3774514195002</v>
      </c>
      <c r="K4">
        <f>Cost_of_ELCgen!K151</f>
        <v>2101.2134462560998</v>
      </c>
      <c r="L4">
        <f>Cost_of_ELCgen!L151</f>
        <v>2217.2875284437</v>
      </c>
      <c r="M4">
        <f>Cost_of_ELCgen!M151</f>
        <v>2631.3789104322996</v>
      </c>
      <c r="N4">
        <f>Cost_of_ELCgen!N151</f>
        <v>2841.8810455846997</v>
      </c>
      <c r="O4">
        <f>Cost_of_ELCgen!O151</f>
        <v>3388.1053685596999</v>
      </c>
      <c r="P4">
        <f>Cost_of_ELCgen!P151</f>
        <v>3667.7757304129996</v>
      </c>
      <c r="Q4">
        <f>Cost_of_ELCgen!Q151</f>
        <v>3914.4139178359001</v>
      </c>
      <c r="R4">
        <f>Cost_of_ELCgen!R151</f>
        <v>4159.8944251385001</v>
      </c>
      <c r="S4">
        <f>Cost_of_ELCgen!S151</f>
        <v>4598.0769527087996</v>
      </c>
      <c r="T4">
        <f>Cost_of_ELCgen!T151</f>
        <v>5045.2032755002001</v>
      </c>
      <c r="U4">
        <f>Cost_of_ELCgen!U151</f>
        <v>5445.7527181648002</v>
      </c>
      <c r="V4">
        <f>Cost_of_ELCgen!V151</f>
        <v>5894.9935076442998</v>
      </c>
      <c r="W4">
        <f>Cost_of_ELCgen!W151</f>
        <v>6616.4104089058001</v>
      </c>
      <c r="X4">
        <f>Cost_of_ELCgen!X151</f>
        <v>6905.0504955487004</v>
      </c>
      <c r="Y4">
        <f>Cost_of_ELCgen!Y151</f>
        <v>7253.9176710820002</v>
      </c>
      <c r="Z4">
        <f>Cost_of_ELCgen!Z151</f>
        <v>7601.1036183001997</v>
      </c>
      <c r="AA4">
        <f>Cost_of_ELCgen!AA151</f>
        <v>7953.8174932007014</v>
      </c>
      <c r="AB4">
        <f>Cost_of_ELCgen!AB151</f>
        <v>8291.3184375860983</v>
      </c>
      <c r="AC4">
        <f>Cost_of_ELCgen!AC151</f>
        <v>8749.691177019</v>
      </c>
      <c r="AD4">
        <f>Cost_of_ELCgen!AD151</f>
        <v>9116.240727982</v>
      </c>
      <c r="AE4">
        <f>Cost_of_ELCgen!AE151</f>
        <v>9513.3154938714997</v>
      </c>
      <c r="AF4">
        <f>Cost_of_ELCgen!AF151</f>
        <v>9750.644374560201</v>
      </c>
      <c r="AG4">
        <f>Cost_of_ELCgen!AG151</f>
        <v>10340.3879213703</v>
      </c>
    </row>
    <row r="5" spans="1:33">
      <c r="A5" s="48" t="str">
        <f>Cost_of_ELCgen!A152</f>
        <v>CO2 costs</v>
      </c>
      <c r="C5">
        <f>Cost_of_ELCgen!C152</f>
        <v>0</v>
      </c>
      <c r="D5">
        <f>Cost_of_ELCgen!D152</f>
        <v>0</v>
      </c>
      <c r="E5">
        <f>Cost_of_ELCgen!E152</f>
        <v>0</v>
      </c>
      <c r="F5">
        <f>Cost_of_ELCgen!F152</f>
        <v>0</v>
      </c>
      <c r="G5">
        <f>Cost_of_ELCgen!G152</f>
        <v>0</v>
      </c>
      <c r="H5">
        <f>Cost_of_ELCgen!H152</f>
        <v>0</v>
      </c>
      <c r="I5">
        <f>Cost_of_ELCgen!I152</f>
        <v>0</v>
      </c>
      <c r="J5">
        <f>Cost_of_ELCgen!J152</f>
        <v>0</v>
      </c>
      <c r="K5">
        <f>Cost_of_ELCgen!K152</f>
        <v>0</v>
      </c>
      <c r="L5">
        <f>Cost_of_ELCgen!L152</f>
        <v>0</v>
      </c>
      <c r="M5">
        <f>Cost_of_ELCgen!M152</f>
        <v>0</v>
      </c>
      <c r="N5">
        <f>Cost_of_ELCgen!N152</f>
        <v>0</v>
      </c>
      <c r="O5">
        <f>Cost_of_ELCgen!O152</f>
        <v>0</v>
      </c>
      <c r="P5">
        <f>Cost_of_ELCgen!P152</f>
        <v>0</v>
      </c>
      <c r="Q5">
        <f>Cost_of_ELCgen!Q152</f>
        <v>0</v>
      </c>
      <c r="R5">
        <f>Cost_of_ELCgen!R152</f>
        <v>0</v>
      </c>
      <c r="S5">
        <f>Cost_of_ELCgen!S152</f>
        <v>0</v>
      </c>
      <c r="T5">
        <f>Cost_of_ELCgen!T152</f>
        <v>0</v>
      </c>
      <c r="U5">
        <f>Cost_of_ELCgen!U152</f>
        <v>0</v>
      </c>
      <c r="V5">
        <f>Cost_of_ELCgen!V152</f>
        <v>0</v>
      </c>
      <c r="W5">
        <f>Cost_of_ELCgen!W152</f>
        <v>0</v>
      </c>
      <c r="X5">
        <f>Cost_of_ELCgen!X152</f>
        <v>0</v>
      </c>
      <c r="Y5">
        <f>Cost_of_ELCgen!Y152</f>
        <v>0</v>
      </c>
      <c r="Z5">
        <f>Cost_of_ELCgen!Z152</f>
        <v>0</v>
      </c>
      <c r="AA5">
        <f>Cost_of_ELCgen!AA152</f>
        <v>0</v>
      </c>
      <c r="AB5">
        <f>Cost_of_ELCgen!AB152</f>
        <v>0</v>
      </c>
      <c r="AC5">
        <f>Cost_of_ELCgen!AC152</f>
        <v>0</v>
      </c>
      <c r="AD5">
        <f>Cost_of_ELCgen!AD152</f>
        <v>0</v>
      </c>
      <c r="AE5">
        <f>Cost_of_ELCgen!AE152</f>
        <v>0</v>
      </c>
      <c r="AF5">
        <f>Cost_of_ELCgen!AF152</f>
        <v>0</v>
      </c>
      <c r="AG5">
        <f>Cost_of_ELCgen!AG152</f>
        <v>0</v>
      </c>
    </row>
    <row r="6" spans="1:33">
      <c r="A6" s="48" t="str">
        <f>Cost_of_ELCgen!A153</f>
        <v>Total Costs (Million USD)</v>
      </c>
      <c r="C6" s="10">
        <f>Cost_of_ELCgen!C153</f>
        <v>4218.110484703212</v>
      </c>
      <c r="D6" s="10">
        <f>Cost_of_ELCgen!D153</f>
        <v>4851.1582384391204</v>
      </c>
      <c r="E6" s="10">
        <f>Cost_of_ELCgen!E153</f>
        <v>5444.893177467271</v>
      </c>
      <c r="F6" s="10">
        <f>Cost_of_ELCgen!F153</f>
        <v>5492.6035036095782</v>
      </c>
      <c r="G6" s="10">
        <f>Cost_of_ELCgen!G153</f>
        <v>5888.7685027282823</v>
      </c>
      <c r="H6" s="10">
        <f>Cost_of_ELCgen!H153</f>
        <v>5668.8457758997465</v>
      </c>
      <c r="I6" s="10">
        <f>Cost_of_ELCgen!I153</f>
        <v>6009.9962155190624</v>
      </c>
      <c r="J6" s="10">
        <f>Cost_of_ELCgen!J153</f>
        <v>6351.5293360651904</v>
      </c>
      <c r="K6" s="10">
        <f>Cost_of_ELCgen!K153</f>
        <v>6694.8741376184653</v>
      </c>
      <c r="L6" s="10">
        <f>Cost_of_ELCgen!L153</f>
        <v>6969.5145866462208</v>
      </c>
      <c r="M6" s="10">
        <f>Cost_of_ELCgen!M153</f>
        <v>7107.7995531778333</v>
      </c>
      <c r="N6" s="10">
        <f>Cost_of_ELCgen!N153</f>
        <v>7545.4224107122654</v>
      </c>
      <c r="O6" s="10">
        <f>Cost_of_ELCgen!O153</f>
        <v>8363.0577446570715</v>
      </c>
      <c r="P6" s="10">
        <f>Cost_of_ELCgen!P153</f>
        <v>8914.5521288808595</v>
      </c>
      <c r="Q6" s="10">
        <f>Cost_of_ELCgen!Q153</f>
        <v>9407.5414167567396</v>
      </c>
      <c r="R6" s="10">
        <f>Cost_of_ELCgen!R153</f>
        <v>9829.0720127045133</v>
      </c>
      <c r="S6" s="10">
        <f>Cost_of_ELCgen!S153</f>
        <v>10555.132000980751</v>
      </c>
      <c r="T6" s="10">
        <f>Cost_of_ELCgen!T153</f>
        <v>11341.960497817807</v>
      </c>
      <c r="U6" s="10">
        <f>Cost_of_ELCgen!U153</f>
        <v>12048.065131288451</v>
      </c>
      <c r="V6" s="10">
        <f>Cost_of_ELCgen!V153</f>
        <v>12840.048130870207</v>
      </c>
      <c r="W6" s="10">
        <f>Cost_of_ELCgen!W153</f>
        <v>13340.6309189446</v>
      </c>
      <c r="X6" s="10">
        <f>Cost_of_ELCgen!X153</f>
        <v>13947.081862619765</v>
      </c>
      <c r="Y6" s="10">
        <f>Cost_of_ELCgen!Y153</f>
        <v>14596.742065976101</v>
      </c>
      <c r="Z6" s="10">
        <f>Cost_of_ELCgen!Z153</f>
        <v>15246.758453958255</v>
      </c>
      <c r="AA6" s="10">
        <f>Cost_of_ELCgen!AA153</f>
        <v>15899.841799757774</v>
      </c>
      <c r="AB6" s="10">
        <f>Cost_of_ELCgen!AB153</f>
        <v>16537.458266308771</v>
      </c>
      <c r="AC6" s="10">
        <f>Cost_of_ELCgen!AC153</f>
        <v>17316.403858986785</v>
      </c>
      <c r="AD6" s="10">
        <f>Cost_of_ELCgen!AD153</f>
        <v>17997.384562233579</v>
      </c>
      <c r="AE6" s="10">
        <f>Cost_of_ELCgen!AE153</f>
        <v>18664.526260422004</v>
      </c>
      <c r="AF6" s="10">
        <f>Cost_of_ELCgen!AF153</f>
        <v>19384.060693545558</v>
      </c>
      <c r="AG6" s="10">
        <f>Cost_of_ELCgen!AG153</f>
        <v>20304.101424886565</v>
      </c>
    </row>
    <row r="7" spans="1:33" ht="15" thickBot="1">
      <c r="A7" s="48" t="str">
        <f>Cost_of_ELCgen!A154</f>
        <v>Generation (PJ-&gt;GWh), Before Transmission losses</v>
      </c>
      <c r="C7">
        <f>Cost_of_ELCgen!C154</f>
        <v>101777.50008142201</v>
      </c>
      <c r="D7">
        <f>Cost_of_ELCgen!D154</f>
        <v>106114.1945293358</v>
      </c>
      <c r="E7">
        <f>Cost_of_ELCgen!E154</f>
        <v>111516.75008921341</v>
      </c>
      <c r="F7">
        <f>Cost_of_ELCgen!F154</f>
        <v>118003.75009440299</v>
      </c>
      <c r="G7">
        <f>Cost_of_ELCgen!G154</f>
        <v>126941.6389904422</v>
      </c>
      <c r="H7">
        <f>Cost_of_ELCgen!H154</f>
        <v>121202.19454140619</v>
      </c>
      <c r="I7">
        <f>Cost_of_ELCgen!I154</f>
        <v>127495.3612131074</v>
      </c>
      <c r="J7">
        <f>Cost_of_ELCgen!J154</f>
        <v>133792.55566258964</v>
      </c>
      <c r="K7">
        <f>Cost_of_ELCgen!K154</f>
        <v>140102.361223193</v>
      </c>
      <c r="L7">
        <f>Cost_of_ELCgen!L154</f>
        <v>146378.97233932541</v>
      </c>
      <c r="M7">
        <f>Cost_of_ELCgen!M154</f>
        <v>152648.30567767422</v>
      </c>
      <c r="N7">
        <f>Cost_of_ELCgen!N154</f>
        <v>160191.00012815281</v>
      </c>
      <c r="O7">
        <f>Cost_of_ELCgen!O154</f>
        <v>167980.83346771801</v>
      </c>
      <c r="P7">
        <f>Cost_of_ELCgen!P154</f>
        <v>175497.27791817562</v>
      </c>
      <c r="Q7">
        <f>Cost_of_ELCgen!Q154</f>
        <v>183037.02792420742</v>
      </c>
      <c r="R7">
        <f>Cost_of_ELCgen!R154</f>
        <v>187596.25015007704</v>
      </c>
      <c r="S7">
        <f>Cost_of_ELCgen!S154</f>
        <v>196749.47237962185</v>
      </c>
      <c r="T7">
        <f>Cost_of_ELCgen!T154</f>
        <v>205903.16683138919</v>
      </c>
      <c r="U7">
        <f>Cost_of_ELCgen!U154</f>
        <v>215056.83350537886</v>
      </c>
      <c r="V7">
        <f>Cost_of_ELCgen!V154</f>
        <v>224210.38906825724</v>
      </c>
      <c r="W7">
        <f>Cost_of_ELCgen!W154</f>
        <v>233257.55574216164</v>
      </c>
      <c r="X7">
        <f>Cost_of_ELCgen!X154</f>
        <v>242500.2501940002</v>
      </c>
      <c r="Y7">
        <f>Cost_of_ELCgen!Y154</f>
        <v>252461.80575752506</v>
      </c>
      <c r="Z7">
        <f>Cost_of_ELCgen!Z154</f>
        <v>262444.83354328922</v>
      </c>
      <c r="AA7">
        <f>Cost_of_ELCgen!AA154</f>
        <v>272448.02799573622</v>
      </c>
      <c r="AB7">
        <f>Cost_of_ELCgen!AB154</f>
        <v>282432.97244816861</v>
      </c>
      <c r="AC7">
        <f>Cost_of_ELCgen!AC154</f>
        <v>292812.08356758294</v>
      </c>
      <c r="AD7">
        <f>Cost_of_ELCgen!AD154</f>
        <v>303238.13913147943</v>
      </c>
      <c r="AE7">
        <f>Cost_of_ELCgen!AE154</f>
        <v>313678.3613620539</v>
      </c>
      <c r="AF7">
        <f>Cost_of_ELCgen!AF154</f>
        <v>324131.80581486103</v>
      </c>
      <c r="AG7">
        <f>Cost_of_ELCgen!AG154</f>
        <v>338911.80582668498</v>
      </c>
    </row>
    <row r="8" spans="1:33" ht="15" thickBot="1">
      <c r="A8" s="46" t="str">
        <f>Cost_of_ELCgen!A155</f>
        <v>Average electricity cost (USD/kWh)</v>
      </c>
      <c r="B8" s="33"/>
      <c r="C8" s="47">
        <f>Cost_of_ELCgen!C155</f>
        <v>4.1444430068814063E-2</v>
      </c>
      <c r="D8" s="47">
        <f>Cost_of_ELCgen!D155</f>
        <v>4.5716393173940488E-2</v>
      </c>
      <c r="E8" s="47">
        <f>Cost_of_ELCgen!E155</f>
        <v>4.8825787813143368E-2</v>
      </c>
      <c r="F8" s="47">
        <f>Cost_of_ELCgen!F155</f>
        <v>4.6546008065129249E-2</v>
      </c>
      <c r="G8" s="47">
        <f>Cost_of_ELCgen!G155</f>
        <v>4.6389573583272115E-2</v>
      </c>
      <c r="H8" s="47">
        <f>Cost_of_ELCgen!H155</f>
        <v>4.6771808029953649E-2</v>
      </c>
      <c r="I8" s="47">
        <f>Cost_of_ELCgen!I155</f>
        <v>4.7138940258958956E-2</v>
      </c>
      <c r="J8" s="47">
        <f>Cost_of_ELCgen!J155</f>
        <v>4.7472965178145338E-2</v>
      </c>
      <c r="K8" s="47">
        <f>Cost_of_ELCgen!K155</f>
        <v>4.7785591043344774E-2</v>
      </c>
      <c r="L8" s="47">
        <f>Cost_of_ELCgen!L155</f>
        <v>4.7612812655153665E-2</v>
      </c>
      <c r="M8" s="47">
        <f>Cost_of_ELCgen!M155</f>
        <v>4.6563239084922214E-2</v>
      </c>
      <c r="N8" s="47">
        <f>Cost_of_ELCgen!N155</f>
        <v>4.7102661227384351E-2</v>
      </c>
      <c r="O8" s="47">
        <f>Cost_of_ELCgen!O155</f>
        <v>4.9785785509060806E-2</v>
      </c>
      <c r="P8" s="47">
        <f>Cost_of_ELCgen!P155</f>
        <v>5.0795956693055984E-2</v>
      </c>
      <c r="Q8" s="47">
        <f>Cost_of_ELCgen!Q155</f>
        <v>5.1396930574354856E-2</v>
      </c>
      <c r="R8" s="47">
        <f>Cost_of_ELCgen!R155</f>
        <v>5.2394821350859912E-2</v>
      </c>
      <c r="S8" s="47">
        <f>Cost_of_ELCgen!S155</f>
        <v>5.3647574620250875E-2</v>
      </c>
      <c r="T8" s="47">
        <f>Cost_of_ELCgen!T155</f>
        <v>5.5083953648491266E-2</v>
      </c>
      <c r="U8" s="47">
        <f>Cost_of_ELCgen!U155</f>
        <v>5.602270309158585E-2</v>
      </c>
      <c r="V8" s="47">
        <f>Cost_of_ELCgen!V155</f>
        <v>5.7267855357769626E-2</v>
      </c>
      <c r="W8" s="47">
        <f>Cost_of_ELCgen!W155</f>
        <v>5.7192706476316996E-2</v>
      </c>
      <c r="X8" s="47">
        <f>Cost_of_ELCgen!X155</f>
        <v>5.7513680301204226E-2</v>
      </c>
      <c r="Y8" s="47">
        <f>Cost_of_ELCgen!Y155</f>
        <v>5.7817625213357725E-2</v>
      </c>
      <c r="Z8" s="47">
        <f>Cost_of_ELCgen!Z155</f>
        <v>5.8095098494074043E-2</v>
      </c>
      <c r="AA8" s="47">
        <f>Cost_of_ELCgen!AA155</f>
        <v>5.8359173735721095E-2</v>
      </c>
      <c r="AB8" s="47">
        <f>Cost_of_ELCgen!AB155</f>
        <v>5.8553568030530447E-2</v>
      </c>
      <c r="AC8" s="47">
        <f>Cost_of_ELCgen!AC155</f>
        <v>5.9138282983427652E-2</v>
      </c>
      <c r="AD8" s="47">
        <f>Cost_of_ELCgen!AD155</f>
        <v>5.9350662861145535E-2</v>
      </c>
      <c r="AE8" s="47">
        <f>Cost_of_ELCgen!AE155</f>
        <v>5.9502116050902956E-2</v>
      </c>
      <c r="AF8" s="47">
        <f>Cost_of_ELCgen!AF155</f>
        <v>5.9803019468621439E-2</v>
      </c>
      <c r="AG8" s="47">
        <f>Cost_of_ELCgen!AG155</f>
        <v>5.9909690591509857E-2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8923-6809-4A0F-AD03-7314BC49CE0A}">
  <dimension ref="A1:AG5"/>
  <sheetViews>
    <sheetView workbookViewId="0">
      <selection activeCell="A2" sqref="A2"/>
    </sheetView>
  </sheetViews>
  <sheetFormatPr defaultRowHeight="14.4"/>
  <cols>
    <col min="1" max="1" width="38.109375" bestFit="1" customWidth="1"/>
  </cols>
  <sheetData>
    <row r="1" spans="1:33">
      <c r="A1" s="33" t="s">
        <v>270</v>
      </c>
    </row>
    <row r="2" spans="1:33">
      <c r="A2" s="33"/>
    </row>
    <row r="3" spans="1:33">
      <c r="A3" s="33" t="s">
        <v>269</v>
      </c>
      <c r="C3" s="33">
        <v>2020</v>
      </c>
      <c r="D3" s="33">
        <v>2021</v>
      </c>
      <c r="E3" s="33">
        <v>2022</v>
      </c>
      <c r="F3" s="33">
        <v>2023</v>
      </c>
      <c r="G3" s="33">
        <v>2024</v>
      </c>
      <c r="H3" s="33">
        <v>2025</v>
      </c>
      <c r="I3" s="33">
        <v>2026</v>
      </c>
      <c r="J3" s="33">
        <v>2027</v>
      </c>
      <c r="K3" s="33">
        <v>2028</v>
      </c>
      <c r="L3" s="33">
        <v>2029</v>
      </c>
      <c r="M3" s="33">
        <v>2030</v>
      </c>
      <c r="N3" s="33">
        <v>2031</v>
      </c>
      <c r="O3" s="33">
        <v>2032</v>
      </c>
      <c r="P3" s="33">
        <v>2033</v>
      </c>
      <c r="Q3" s="33">
        <v>2034</v>
      </c>
      <c r="R3" s="33">
        <v>2035</v>
      </c>
      <c r="S3" s="33">
        <v>2036</v>
      </c>
      <c r="T3" s="33">
        <v>2037</v>
      </c>
      <c r="U3" s="33">
        <v>2038</v>
      </c>
      <c r="V3" s="33">
        <v>2039</v>
      </c>
      <c r="W3" s="33">
        <v>2040</v>
      </c>
      <c r="X3" s="33">
        <v>2041</v>
      </c>
      <c r="Y3" s="33">
        <v>2042</v>
      </c>
      <c r="Z3" s="33">
        <v>2043</v>
      </c>
      <c r="AA3" s="33">
        <v>2044</v>
      </c>
      <c r="AB3" s="33">
        <v>2045</v>
      </c>
      <c r="AC3" s="33">
        <v>2046</v>
      </c>
      <c r="AD3" s="33">
        <v>2047</v>
      </c>
      <c r="AE3" s="33">
        <v>2048</v>
      </c>
      <c r="AF3" s="33">
        <v>2049</v>
      </c>
      <c r="AG3" s="33">
        <v>2050</v>
      </c>
    </row>
    <row r="4" spans="1:33">
      <c r="A4" s="33" t="str">
        <f>'Capital Annualized Costs Base'!A22</f>
        <v>Total Capital Investments (Million USD)</v>
      </c>
      <c r="B4">
        <f>'Capital Annualized Costs Base'!B22</f>
        <v>0</v>
      </c>
      <c r="C4">
        <f>'Capital Annualized Costs Base'!C22</f>
        <v>4747.9519999999993</v>
      </c>
      <c r="D4">
        <f>'Capital Annualized Costs Base'!D22</f>
        <v>10006.782999999999</v>
      </c>
      <c r="E4">
        <f>'Capital Annualized Costs Base'!E22</f>
        <v>2531.4871999999996</v>
      </c>
      <c r="F4">
        <f>'Capital Annualized Costs Base'!F22</f>
        <v>1576.1906000000001</v>
      </c>
      <c r="G4">
        <f>'Capital Annualized Costs Base'!G22</f>
        <v>2362.6024999999995</v>
      </c>
      <c r="H4">
        <f>'Capital Annualized Costs Base'!H22</f>
        <v>1897.1058</v>
      </c>
      <c r="I4">
        <f>'Capital Annualized Costs Base'!I22</f>
        <v>4985.6172999999999</v>
      </c>
      <c r="J4">
        <f>'Capital Annualized Costs Base'!J22</f>
        <v>5011.8833999999997</v>
      </c>
      <c r="K4">
        <f>'Capital Annualized Costs Base'!K22</f>
        <v>5102.9128000000001</v>
      </c>
      <c r="L4">
        <f>'Capital Annualized Costs Base'!L22</f>
        <v>2170.4248000000002</v>
      </c>
      <c r="M4">
        <f>'Capital Annualized Costs Base'!M22</f>
        <v>6891.8601000000008</v>
      </c>
      <c r="N4">
        <f>'Capital Annualized Costs Base'!N22</f>
        <v>3473.8807999999999</v>
      </c>
      <c r="O4">
        <f>'Capital Annualized Costs Base'!O22</f>
        <v>8442.1131999999998</v>
      </c>
      <c r="P4">
        <f>'Capital Annualized Costs Base'!P22</f>
        <v>4607.5132000000003</v>
      </c>
      <c r="Q4">
        <f>'Capital Annualized Costs Base'!Q22</f>
        <v>4010.1994000000004</v>
      </c>
      <c r="R4">
        <f>'Capital Annualized Costs Base'!R22</f>
        <v>3991.5132000000003</v>
      </c>
      <c r="S4">
        <f>'Capital Annualized Costs Base'!S22</f>
        <v>7005.4264999999996</v>
      </c>
      <c r="T4">
        <f>'Capital Annualized Costs Base'!T22</f>
        <v>7532.1064999999999</v>
      </c>
      <c r="U4">
        <f>'Capital Annualized Costs Base'!U22</f>
        <v>6363.2295999999997</v>
      </c>
      <c r="V4">
        <f>'Capital Annualized Costs Base'!V22</f>
        <v>7083.7953999999991</v>
      </c>
      <c r="W4">
        <f>'Capital Annualized Costs Base'!W22</f>
        <v>11787.9166</v>
      </c>
      <c r="X4">
        <f>'Capital Annualized Costs Base'!X22</f>
        <v>4767.3489</v>
      </c>
      <c r="Y4">
        <f>'Capital Annualized Costs Base'!Y22</f>
        <v>5696.3827000000001</v>
      </c>
      <c r="Z4">
        <f>'Capital Annualized Costs Base'!Z22</f>
        <v>5671.1750000000002</v>
      </c>
      <c r="AA4">
        <f>'Capital Annualized Costs Base'!AA22</f>
        <v>5753.4757000000009</v>
      </c>
      <c r="AB4">
        <f>'Capital Annualized Costs Base'!AB22</f>
        <v>5890.0797000000002</v>
      </c>
      <c r="AC4">
        <f>'Capital Annualized Costs Base'!AC22</f>
        <v>9177.2114000000001</v>
      </c>
      <c r="AD4">
        <f>'Capital Annualized Costs Base'!AD22</f>
        <v>7671.1197000000011</v>
      </c>
      <c r="AE4">
        <f>'Capital Annualized Costs Base'!AE22</f>
        <v>6518.9141999999993</v>
      </c>
      <c r="AF4">
        <f>'Capital Annualized Costs Base'!AF22</f>
        <v>5327.43</v>
      </c>
      <c r="AG4">
        <f>'Capital Annualized Costs Base'!AG22</f>
        <v>10786.7513</v>
      </c>
    </row>
    <row r="5" spans="1:33">
      <c r="A5" s="33" t="str">
        <f>'Capital Annualized Costs Base'!A43</f>
        <v>Total Annualized Investments (Million USD)</v>
      </c>
      <c r="B5">
        <f>'Capital Annualized Costs Base'!B43</f>
        <v>0</v>
      </c>
      <c r="C5" s="27">
        <f>'Capital Annualized Costs Base'!C43</f>
        <v>234.83856007739999</v>
      </c>
      <c r="D5" s="27">
        <f>'Capital Annualized Costs Base'!D43</f>
        <v>756.46064974180001</v>
      </c>
      <c r="E5" s="27">
        <f>'Capital Annualized Costs Base'!E43</f>
        <v>918.84101295929997</v>
      </c>
      <c r="F5" s="27">
        <f>'Capital Annualized Costs Base'!F43</f>
        <v>1006.5689934077002</v>
      </c>
      <c r="G5" s="27">
        <f>'Capital Annualized Costs Base'!G43</f>
        <v>1158.3121801707</v>
      </c>
      <c r="H5" s="27">
        <f>'Capital Annualized Costs Base'!H43</f>
        <v>1276.2681208864001</v>
      </c>
      <c r="I5" s="27">
        <f>'Capital Annualized Costs Base'!I43</f>
        <v>1548.5938623391</v>
      </c>
      <c r="J5" s="27">
        <f>'Capital Annualized Costs Base'!J43</f>
        <v>1822.3774514195002</v>
      </c>
      <c r="K5" s="27">
        <f>'Capital Annualized Costs Base'!K43</f>
        <v>2101.2134462560998</v>
      </c>
      <c r="L5" s="27">
        <f>'Capital Annualized Costs Base'!L43</f>
        <v>2217.2875284437</v>
      </c>
      <c r="M5" s="27">
        <f>'Capital Annualized Costs Base'!M43</f>
        <v>2631.3789104322996</v>
      </c>
      <c r="N5" s="27">
        <f>'Capital Annualized Costs Base'!N43</f>
        <v>2841.8810455846997</v>
      </c>
      <c r="O5" s="27">
        <f>'Capital Annualized Costs Base'!O43</f>
        <v>3388.1053685596999</v>
      </c>
      <c r="P5" s="27">
        <f>'Capital Annualized Costs Base'!P43</f>
        <v>3667.7757304129996</v>
      </c>
      <c r="Q5" s="27">
        <f>'Capital Annualized Costs Base'!Q43</f>
        <v>3914.4139178359001</v>
      </c>
      <c r="R5" s="27">
        <f>'Capital Annualized Costs Base'!R43</f>
        <v>4159.8944251385001</v>
      </c>
      <c r="S5" s="27">
        <f>'Capital Annualized Costs Base'!S43</f>
        <v>4598.0769527087996</v>
      </c>
      <c r="T5" s="27">
        <f>'Capital Annualized Costs Base'!T43</f>
        <v>5045.2032755002001</v>
      </c>
      <c r="U5" s="27">
        <f>'Capital Annualized Costs Base'!U43</f>
        <v>5445.7527181648002</v>
      </c>
      <c r="V5" s="27">
        <f>'Capital Annualized Costs Base'!V43</f>
        <v>5894.9935076442998</v>
      </c>
      <c r="W5" s="27">
        <f>'Capital Annualized Costs Base'!W43</f>
        <v>6616.4104089058001</v>
      </c>
      <c r="X5" s="27">
        <f>'Capital Annualized Costs Base'!X43</f>
        <v>6905.0504955487004</v>
      </c>
      <c r="Y5" s="27">
        <f>'Capital Annualized Costs Base'!Y43</f>
        <v>7253.9176710820002</v>
      </c>
      <c r="Z5" s="27">
        <f>'Capital Annualized Costs Base'!Z43</f>
        <v>7601.1036183001997</v>
      </c>
      <c r="AA5" s="27">
        <f>'Capital Annualized Costs Base'!AA43</f>
        <v>7953.8174932007014</v>
      </c>
      <c r="AB5" s="27">
        <f>'Capital Annualized Costs Base'!AB43</f>
        <v>8291.3184375860983</v>
      </c>
      <c r="AC5" s="27">
        <f>'Capital Annualized Costs Base'!AC43</f>
        <v>8749.691177019</v>
      </c>
      <c r="AD5" s="27">
        <f>'Capital Annualized Costs Base'!AD43</f>
        <v>9116.240727982</v>
      </c>
      <c r="AE5" s="27">
        <f>'Capital Annualized Costs Base'!AE43</f>
        <v>9513.3154938714997</v>
      </c>
      <c r="AF5" s="27">
        <f>'Capital Annualized Costs Base'!AF43</f>
        <v>9750.644374560201</v>
      </c>
      <c r="AG5" s="27">
        <f>'Capital Annualized Costs Base'!AG43</f>
        <v>10340.3879213703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BD9F-2B8C-4C47-BD92-078784810A0C}">
  <dimension ref="A1:BF43"/>
  <sheetViews>
    <sheetView workbookViewId="0">
      <selection activeCell="A2" sqref="A2"/>
    </sheetView>
  </sheetViews>
  <sheetFormatPr defaultRowHeight="14.4"/>
  <cols>
    <col min="1" max="1" width="32.6640625" bestFit="1" customWidth="1"/>
    <col min="3" max="5" width="9.5546875" bestFit="1" customWidth="1"/>
    <col min="6" max="6" width="9" bestFit="1" customWidth="1"/>
    <col min="7" max="22" width="9.5546875" bestFit="1" customWidth="1"/>
    <col min="23" max="23" width="10.5546875" bestFit="1" customWidth="1"/>
    <col min="24" max="24" width="9" bestFit="1" customWidth="1"/>
    <col min="25" max="32" width="9.5546875" bestFit="1" customWidth="1"/>
    <col min="33" max="33" width="10.5546875" bestFit="1" customWidth="1"/>
  </cols>
  <sheetData>
    <row r="1" spans="1:58">
      <c r="A1" s="33" t="s">
        <v>270</v>
      </c>
    </row>
    <row r="2" spans="1:58" ht="15" thickBot="1"/>
    <row r="3" spans="1:58" ht="15" thickBot="1">
      <c r="A3" s="3" t="s">
        <v>17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t="s">
        <v>132</v>
      </c>
      <c r="C4">
        <f>SUMIFS(Capital_Investments!C$2:C$10000,Capital_Investments!$B$2:$B$10000,$A4)</f>
        <v>0</v>
      </c>
      <c r="D4">
        <f>SUMIFS(Capital_Investments!D$2:D$10000,Capital_Investments!$B$2:$B$10000,$A4)</f>
        <v>0</v>
      </c>
      <c r="E4">
        <f>SUMIFS(Capital_Investments!E$2:E$10000,Capital_Investments!$B$2:$B$10000,$A4)</f>
        <v>369</v>
      </c>
      <c r="F4">
        <f>SUMIFS(Capital_Investments!F$2:F$10000,Capital_Investments!$B$2:$B$10000,$A4)</f>
        <v>27</v>
      </c>
      <c r="G4">
        <f>SUMIFS(Capital_Investments!G$2:G$10000,Capital_Investments!$B$2:$B$10000,$A4)</f>
        <v>44.55</v>
      </c>
      <c r="H4">
        <f>SUMIFS(Capital_Investments!H$2:H$10000,Capital_Investments!$B$2:$B$10000,$A4)</f>
        <v>0</v>
      </c>
      <c r="I4">
        <f>SUMIFS(Capital_Investments!I$2:I$10000,Capital_Investments!$B$2:$B$10000,$A4)</f>
        <v>0</v>
      </c>
      <c r="J4">
        <f>SUMIFS(Capital_Investments!J$2:J$10000,Capital_Investments!$B$2:$B$10000,$A4)</f>
        <v>0</v>
      </c>
      <c r="K4">
        <f>SUMIFS(Capital_Investments!K$2:K$10000,Capital_Investments!$B$2:$B$10000,$A4)</f>
        <v>0</v>
      </c>
      <c r="L4">
        <f>SUMIFS(Capital_Investments!L$2:L$10000,Capital_Investments!$B$2:$B$10000,$A4)</f>
        <v>0</v>
      </c>
      <c r="M4">
        <f>SUMIFS(Capital_Investments!M$2:M$10000,Capital_Investments!$B$2:$B$10000,$A4)</f>
        <v>0</v>
      </c>
      <c r="N4">
        <f>SUMIFS(Capital_Investments!N$2:N$10000,Capital_Investments!$B$2:$B$10000,$A4)</f>
        <v>0</v>
      </c>
      <c r="O4">
        <f>SUMIFS(Capital_Investments!O$2:O$10000,Capital_Investments!$B$2:$B$10000,$A4)</f>
        <v>0</v>
      </c>
      <c r="P4">
        <f>SUMIFS(Capital_Investments!P$2:P$10000,Capital_Investments!$B$2:$B$10000,$A4)</f>
        <v>0</v>
      </c>
      <c r="Q4">
        <f>SUMIFS(Capital_Investments!Q$2:Q$10000,Capital_Investments!$B$2:$B$10000,$A4)</f>
        <v>0</v>
      </c>
      <c r="R4">
        <f>SUMIFS(Capital_Investments!R$2:R$10000,Capital_Investments!$B$2:$B$10000,$A4)</f>
        <v>0</v>
      </c>
      <c r="S4">
        <f>SUMIFS(Capital_Investments!S$2:S$10000,Capital_Investments!$B$2:$B$10000,$A4)</f>
        <v>0</v>
      </c>
      <c r="T4">
        <f>SUMIFS(Capital_Investments!T$2:T$10000,Capital_Investments!$B$2:$B$10000,$A4)</f>
        <v>0</v>
      </c>
      <c r="U4">
        <f>SUMIFS(Capital_Investments!U$2:U$10000,Capital_Investments!$B$2:$B$10000,$A4)</f>
        <v>0</v>
      </c>
      <c r="V4">
        <f>SUMIFS(Capital_Investments!V$2:V$10000,Capital_Investments!$B$2:$B$10000,$A4)</f>
        <v>0</v>
      </c>
      <c r="W4">
        <f>SUMIFS(Capital_Investments!W$2:W$10000,Capital_Investments!$B$2:$B$10000,$A4)</f>
        <v>0</v>
      </c>
      <c r="X4">
        <f>SUMIFS(Capital_Investments!X$2:X$10000,Capital_Investments!$B$2:$B$10000,$A4)</f>
        <v>0</v>
      </c>
      <c r="Y4">
        <f>SUMIFS(Capital_Investments!Y$2:Y$10000,Capital_Investments!$B$2:$B$10000,$A4)</f>
        <v>0</v>
      </c>
      <c r="Z4">
        <f>SUMIFS(Capital_Investments!Z$2:Z$10000,Capital_Investments!$B$2:$B$10000,$A4)</f>
        <v>0</v>
      </c>
      <c r="AA4">
        <f>SUMIFS(Capital_Investments!AA$2:AA$10000,Capital_Investments!$B$2:$B$10000,$A4)</f>
        <v>0</v>
      </c>
      <c r="AB4">
        <f>SUMIFS(Capital_Investments!AB$2:AB$10000,Capital_Investments!$B$2:$B$10000,$A4)</f>
        <v>0</v>
      </c>
      <c r="AC4">
        <f>SUMIFS(Capital_Investments!AC$2:AC$10000,Capital_Investments!$B$2:$B$10000,$A4)</f>
        <v>0</v>
      </c>
      <c r="AD4">
        <f>SUMIFS(Capital_Investments!AD$2:AD$10000,Capital_Investments!$B$2:$B$10000,$A4)</f>
        <v>0</v>
      </c>
      <c r="AE4">
        <f>SUMIFS(Capital_Investments!AE$2:AE$10000,Capital_Investments!$B$2:$B$10000,$A4)</f>
        <v>0</v>
      </c>
      <c r="AF4">
        <f>SUMIFS(Capital_Investments!AF$2:AF$10000,Capital_Investments!$B$2:$B$10000,$A4)</f>
        <v>0</v>
      </c>
      <c r="AG4">
        <f>SUMIFS(Capital_Investments!AG$2:AG$10000,Capital_Investments!$B$2:$B$10000,$A4)</f>
        <v>0</v>
      </c>
    </row>
    <row r="5" spans="1:58">
      <c r="A5" t="s">
        <v>133</v>
      </c>
      <c r="C5">
        <f>SUMIFS(Capital_Investments!C$2:C$10000,Capital_Investments!$B$2:$B$10000,$A5)</f>
        <v>0</v>
      </c>
      <c r="D5">
        <f>SUMIFS(Capital_Investments!D$2:D$10000,Capital_Investments!$B$2:$B$10000,$A5)</f>
        <v>0</v>
      </c>
      <c r="E5">
        <f>SUMIFS(Capital_Investments!E$2:E$10000,Capital_Investments!$B$2:$B$10000,$A5)</f>
        <v>0</v>
      </c>
      <c r="F5">
        <f>SUMIFS(Capital_Investments!F$2:F$10000,Capital_Investments!$B$2:$B$10000,$A5)</f>
        <v>0</v>
      </c>
      <c r="G5">
        <f>SUMIFS(Capital_Investments!G$2:G$10000,Capital_Investments!$B$2:$B$10000,$A5)</f>
        <v>0</v>
      </c>
      <c r="H5">
        <f>SUMIFS(Capital_Investments!H$2:H$10000,Capital_Investments!$B$2:$B$10000,$A5)</f>
        <v>0</v>
      </c>
      <c r="I5">
        <f>SUMIFS(Capital_Investments!I$2:I$10000,Capital_Investments!$B$2:$B$10000,$A5)</f>
        <v>0</v>
      </c>
      <c r="J5">
        <f>SUMIFS(Capital_Investments!J$2:J$10000,Capital_Investments!$B$2:$B$10000,$A5)</f>
        <v>0</v>
      </c>
      <c r="K5">
        <f>SUMIFS(Capital_Investments!K$2:K$10000,Capital_Investments!$B$2:$B$10000,$A5)</f>
        <v>0</v>
      </c>
      <c r="L5">
        <f>SUMIFS(Capital_Investments!L$2:L$10000,Capital_Investments!$B$2:$B$10000,$A5)</f>
        <v>0</v>
      </c>
      <c r="M5">
        <f>SUMIFS(Capital_Investments!M$2:M$10000,Capital_Investments!$B$2:$B$10000,$A5)</f>
        <v>0</v>
      </c>
      <c r="N5">
        <f>SUMIFS(Capital_Investments!N$2:N$10000,Capital_Investments!$B$2:$B$10000,$A5)</f>
        <v>0</v>
      </c>
      <c r="O5">
        <f>SUMIFS(Capital_Investments!O$2:O$10000,Capital_Investments!$B$2:$B$10000,$A5)</f>
        <v>0</v>
      </c>
      <c r="P5">
        <f>SUMIFS(Capital_Investments!P$2:P$10000,Capital_Investments!$B$2:$B$10000,$A5)</f>
        <v>0</v>
      </c>
      <c r="Q5">
        <f>SUMIFS(Capital_Investments!Q$2:Q$10000,Capital_Investments!$B$2:$B$10000,$A5)</f>
        <v>0</v>
      </c>
      <c r="R5">
        <f>SUMIFS(Capital_Investments!R$2:R$10000,Capital_Investments!$B$2:$B$10000,$A5)</f>
        <v>0</v>
      </c>
      <c r="S5">
        <f>SUMIFS(Capital_Investments!S$2:S$10000,Capital_Investments!$B$2:$B$10000,$A5)</f>
        <v>0</v>
      </c>
      <c r="T5">
        <f>SUMIFS(Capital_Investments!T$2:T$10000,Capital_Investments!$B$2:$B$10000,$A5)</f>
        <v>0</v>
      </c>
      <c r="U5">
        <f>SUMIFS(Capital_Investments!U$2:U$10000,Capital_Investments!$B$2:$B$10000,$A5)</f>
        <v>0</v>
      </c>
      <c r="V5">
        <f>SUMIFS(Capital_Investments!V$2:V$10000,Capital_Investments!$B$2:$B$10000,$A5)</f>
        <v>0</v>
      </c>
      <c r="W5">
        <f>SUMIFS(Capital_Investments!W$2:W$10000,Capital_Investments!$B$2:$B$10000,$A5)</f>
        <v>0</v>
      </c>
      <c r="X5">
        <f>SUMIFS(Capital_Investments!X$2:X$10000,Capital_Investments!$B$2:$B$10000,$A5)</f>
        <v>0</v>
      </c>
      <c r="Y5">
        <f>SUMIFS(Capital_Investments!Y$2:Y$10000,Capital_Investments!$B$2:$B$10000,$A5)</f>
        <v>0</v>
      </c>
      <c r="Z5">
        <f>SUMIFS(Capital_Investments!Z$2:Z$10000,Capital_Investments!$B$2:$B$10000,$A5)</f>
        <v>0</v>
      </c>
      <c r="AA5">
        <f>SUMIFS(Capital_Investments!AA$2:AA$10000,Capital_Investments!$B$2:$B$10000,$A5)</f>
        <v>0</v>
      </c>
      <c r="AB5">
        <f>SUMIFS(Capital_Investments!AB$2:AB$10000,Capital_Investments!$B$2:$B$10000,$A5)</f>
        <v>0</v>
      </c>
      <c r="AC5">
        <f>SUMIFS(Capital_Investments!AC$2:AC$10000,Capital_Investments!$B$2:$B$10000,$A5)</f>
        <v>0</v>
      </c>
      <c r="AD5">
        <f>SUMIFS(Capital_Investments!AD$2:AD$10000,Capital_Investments!$B$2:$B$10000,$A5)</f>
        <v>0</v>
      </c>
      <c r="AE5">
        <f>SUMIFS(Capital_Investments!AE$2:AE$10000,Capital_Investments!$B$2:$B$10000,$A5)</f>
        <v>0</v>
      </c>
      <c r="AF5">
        <f>SUMIFS(Capital_Investments!AF$2:AF$10000,Capital_Investments!$B$2:$B$10000,$A5)</f>
        <v>0</v>
      </c>
      <c r="AG5">
        <f>SUMIFS(Capital_Investments!AG$2:AG$10000,Capital_Investments!$B$2:$B$10000,$A5)</f>
        <v>0</v>
      </c>
    </row>
    <row r="6" spans="1:58">
      <c r="A6" t="s">
        <v>138</v>
      </c>
      <c r="C6">
        <f>SUMIFS(Capital_Investments!C$2:C$10000,Capital_Investments!$B$2:$B$10000,$A6)</f>
        <v>0</v>
      </c>
      <c r="D6">
        <f>SUMIFS(Capital_Investments!D$2:D$10000,Capital_Investments!$B$2:$B$10000,$A6)</f>
        <v>0</v>
      </c>
      <c r="E6">
        <f>SUMIFS(Capital_Investments!E$2:E$10000,Capital_Investments!$B$2:$B$10000,$A6)</f>
        <v>16.28</v>
      </c>
      <c r="F6">
        <f>SUMIFS(Capital_Investments!F$2:F$10000,Capital_Investments!$B$2:$B$10000,$A6)</f>
        <v>1236.7765999999999</v>
      </c>
      <c r="G6">
        <f>SUMIFS(Capital_Investments!G$2:G$10000,Capital_Investments!$B$2:$B$10000,$A6)</f>
        <v>29.578900000000001</v>
      </c>
      <c r="H6">
        <f>SUMIFS(Capital_Investments!H$2:H$10000,Capital_Investments!$B$2:$B$10000,$A6)</f>
        <v>157.08000000000001</v>
      </c>
      <c r="I6">
        <f>SUMIFS(Capital_Investments!I$2:I$10000,Capital_Investments!$B$2:$B$10000,$A6)</f>
        <v>3668.8451</v>
      </c>
      <c r="J6">
        <f>SUMIFS(Capital_Investments!J$2:J$10000,Capital_Investments!$B$2:$B$10000,$A6)</f>
        <v>3695.1111999999998</v>
      </c>
      <c r="K6">
        <f>SUMIFS(Capital_Investments!K$2:K$10000,Capital_Investments!$B$2:$B$10000,$A6)</f>
        <v>3786.1406000000002</v>
      </c>
      <c r="L6">
        <f>SUMIFS(Capital_Investments!L$2:L$10000,Capital_Investments!$B$2:$B$10000,$A6)</f>
        <v>853.65260000000001</v>
      </c>
      <c r="M6">
        <f>SUMIFS(Capital_Investments!M$2:M$10000,Capital_Investments!$B$2:$B$10000,$A6)</f>
        <v>0</v>
      </c>
      <c r="N6">
        <f>SUMIFS(Capital_Investments!N$2:N$10000,Capital_Investments!$B$2:$B$10000,$A6)</f>
        <v>0</v>
      </c>
      <c r="O6">
        <f>SUMIFS(Capital_Investments!O$2:O$10000,Capital_Investments!$B$2:$B$10000,$A6)</f>
        <v>0</v>
      </c>
      <c r="P6">
        <f>SUMIFS(Capital_Investments!P$2:P$10000,Capital_Investments!$B$2:$B$10000,$A6)</f>
        <v>616</v>
      </c>
      <c r="Q6">
        <f>SUMIFS(Capital_Investments!Q$2:Q$10000,Capital_Investments!$B$2:$B$10000,$A6)</f>
        <v>0</v>
      </c>
      <c r="R6">
        <f>SUMIFS(Capital_Investments!R$2:R$10000,Capital_Investments!$B$2:$B$10000,$A6)</f>
        <v>0</v>
      </c>
      <c r="S6">
        <f>SUMIFS(Capital_Investments!S$2:S$10000,Capital_Investments!$B$2:$B$10000,$A6)</f>
        <v>477.4</v>
      </c>
      <c r="T6">
        <f>SUMIFS(Capital_Investments!T$2:T$10000,Capital_Investments!$B$2:$B$10000,$A6)</f>
        <v>2684.88</v>
      </c>
      <c r="U6">
        <f>SUMIFS(Capital_Investments!U$2:U$10000,Capital_Investments!$B$2:$B$10000,$A6)</f>
        <v>0</v>
      </c>
      <c r="V6">
        <f>SUMIFS(Capital_Investments!V$2:V$10000,Capital_Investments!$B$2:$B$10000,$A6)</f>
        <v>0</v>
      </c>
      <c r="W6">
        <f>SUMIFS(Capital_Investments!W$2:W$10000,Capital_Investments!$B$2:$B$10000,$A6)</f>
        <v>0</v>
      </c>
      <c r="X6">
        <f>SUMIFS(Capital_Investments!X$2:X$10000,Capital_Investments!$B$2:$B$10000,$A6)</f>
        <v>0</v>
      </c>
      <c r="Y6">
        <f>SUMIFS(Capital_Investments!Y$2:Y$10000,Capital_Investments!$B$2:$B$10000,$A6)</f>
        <v>0</v>
      </c>
      <c r="Z6">
        <f>SUMIFS(Capital_Investments!Z$2:Z$10000,Capital_Investments!$B$2:$B$10000,$A6)</f>
        <v>0</v>
      </c>
      <c r="AA6">
        <f>SUMIFS(Capital_Investments!AA$2:AA$10000,Capital_Investments!$B$2:$B$10000,$A6)</f>
        <v>0</v>
      </c>
      <c r="AB6">
        <f>SUMIFS(Capital_Investments!AB$2:AB$10000,Capital_Investments!$B$2:$B$10000,$A6)</f>
        <v>0</v>
      </c>
      <c r="AC6">
        <f>SUMIFS(Capital_Investments!AC$2:AC$10000,Capital_Investments!$B$2:$B$10000,$A6)</f>
        <v>0</v>
      </c>
      <c r="AD6">
        <f>SUMIFS(Capital_Investments!AD$2:AD$10000,Capital_Investments!$B$2:$B$10000,$A6)</f>
        <v>0</v>
      </c>
      <c r="AE6">
        <f>SUMIFS(Capital_Investments!AE$2:AE$10000,Capital_Investments!$B$2:$B$10000,$A6)</f>
        <v>0</v>
      </c>
      <c r="AF6">
        <f>SUMIFS(Capital_Investments!AF$2:AF$10000,Capital_Investments!$B$2:$B$10000,$A6)</f>
        <v>0</v>
      </c>
      <c r="AG6">
        <f>SUMIFS(Capital_Investments!AG$2:AG$10000,Capital_Investments!$B$2:$B$10000,$A6)</f>
        <v>20.094799999999999</v>
      </c>
    </row>
    <row r="7" spans="1:58">
      <c r="A7" t="s">
        <v>141</v>
      </c>
      <c r="C7">
        <f>SUMIFS(Capital_Investments!C$2:C$10000,Capital_Investments!$B$2:$B$10000,$A7)</f>
        <v>0</v>
      </c>
      <c r="D7">
        <f>SUMIFS(Capital_Investments!D$2:D$10000,Capital_Investments!$B$2:$B$10000,$A7)</f>
        <v>0</v>
      </c>
      <c r="E7">
        <f>SUMIFS(Capital_Investments!E$2:E$10000,Capital_Investments!$B$2:$B$10000,$A7)</f>
        <v>0</v>
      </c>
      <c r="F7">
        <f>SUMIFS(Capital_Investments!F$2:F$10000,Capital_Investments!$B$2:$B$10000,$A7)</f>
        <v>0</v>
      </c>
      <c r="G7">
        <f>SUMIFS(Capital_Investments!G$2:G$10000,Capital_Investments!$B$2:$B$10000,$A7)</f>
        <v>0</v>
      </c>
      <c r="H7">
        <f>SUMIFS(Capital_Investments!H$2:H$10000,Capital_Investments!$B$2:$B$10000,$A7)</f>
        <v>0</v>
      </c>
      <c r="I7">
        <f>SUMIFS(Capital_Investments!I$2:I$10000,Capital_Investments!$B$2:$B$10000,$A7)</f>
        <v>0</v>
      </c>
      <c r="J7">
        <f>SUMIFS(Capital_Investments!J$2:J$10000,Capital_Investments!$B$2:$B$10000,$A7)</f>
        <v>0</v>
      </c>
      <c r="K7">
        <f>SUMIFS(Capital_Investments!K$2:K$10000,Capital_Investments!$B$2:$B$10000,$A7)</f>
        <v>0</v>
      </c>
      <c r="L7">
        <f>SUMIFS(Capital_Investments!L$2:L$10000,Capital_Investments!$B$2:$B$10000,$A7)</f>
        <v>0</v>
      </c>
      <c r="M7">
        <f>SUMIFS(Capital_Investments!M$2:M$10000,Capital_Investments!$B$2:$B$10000,$A7)</f>
        <v>0</v>
      </c>
      <c r="N7">
        <f>SUMIFS(Capital_Investments!N$2:N$10000,Capital_Investments!$B$2:$B$10000,$A7)</f>
        <v>0</v>
      </c>
      <c r="O7">
        <f>SUMIFS(Capital_Investments!O$2:O$10000,Capital_Investments!$B$2:$B$10000,$A7)</f>
        <v>0</v>
      </c>
      <c r="P7">
        <f>SUMIFS(Capital_Investments!P$2:P$10000,Capital_Investments!$B$2:$B$10000,$A7)</f>
        <v>0</v>
      </c>
      <c r="Q7">
        <f>SUMIFS(Capital_Investments!Q$2:Q$10000,Capital_Investments!$B$2:$B$10000,$A7)</f>
        <v>0</v>
      </c>
      <c r="R7">
        <f>SUMIFS(Capital_Investments!R$2:R$10000,Capital_Investments!$B$2:$B$10000,$A7)</f>
        <v>0</v>
      </c>
      <c r="S7">
        <f>SUMIFS(Capital_Investments!S$2:S$10000,Capital_Investments!$B$2:$B$10000,$A7)</f>
        <v>0</v>
      </c>
      <c r="T7">
        <f>SUMIFS(Capital_Investments!T$2:T$10000,Capital_Investments!$B$2:$B$10000,$A7)</f>
        <v>0</v>
      </c>
      <c r="U7">
        <f>SUMIFS(Capital_Investments!U$2:U$10000,Capital_Investments!$B$2:$B$10000,$A7)</f>
        <v>0</v>
      </c>
      <c r="V7">
        <f>SUMIFS(Capital_Investments!V$2:V$10000,Capital_Investments!$B$2:$B$10000,$A7)</f>
        <v>0</v>
      </c>
      <c r="W7">
        <f>SUMIFS(Capital_Investments!W$2:W$10000,Capital_Investments!$B$2:$B$10000,$A7)</f>
        <v>0</v>
      </c>
      <c r="X7">
        <f>SUMIFS(Capital_Investments!X$2:X$10000,Capital_Investments!$B$2:$B$10000,$A7)</f>
        <v>0</v>
      </c>
      <c r="Y7">
        <f>SUMIFS(Capital_Investments!Y$2:Y$10000,Capital_Investments!$B$2:$B$10000,$A7)</f>
        <v>0</v>
      </c>
      <c r="Z7">
        <f>SUMIFS(Capital_Investments!Z$2:Z$10000,Capital_Investments!$B$2:$B$10000,$A7)</f>
        <v>0</v>
      </c>
      <c r="AA7">
        <f>SUMIFS(Capital_Investments!AA$2:AA$10000,Capital_Investments!$B$2:$B$10000,$A7)</f>
        <v>0</v>
      </c>
      <c r="AB7">
        <f>SUMIFS(Capital_Investments!AB$2:AB$10000,Capital_Investments!$B$2:$B$10000,$A7)</f>
        <v>0</v>
      </c>
      <c r="AC7">
        <f>SUMIFS(Capital_Investments!AC$2:AC$10000,Capital_Investments!$B$2:$B$10000,$A7)</f>
        <v>0</v>
      </c>
      <c r="AD7">
        <f>SUMIFS(Capital_Investments!AD$2:AD$10000,Capital_Investments!$B$2:$B$10000,$A7)</f>
        <v>0</v>
      </c>
      <c r="AE7">
        <f>SUMIFS(Capital_Investments!AE$2:AE$10000,Capital_Investments!$B$2:$B$10000,$A7)</f>
        <v>0</v>
      </c>
      <c r="AF7">
        <f>SUMIFS(Capital_Investments!AF$2:AF$10000,Capital_Investments!$B$2:$B$10000,$A7)</f>
        <v>0</v>
      </c>
      <c r="AG7">
        <f>SUMIFS(Capital_Investments!AG$2:AG$10000,Capital_Investments!$B$2:$B$10000,$A7)</f>
        <v>0</v>
      </c>
    </row>
    <row r="8" spans="1:58">
      <c r="A8" t="s">
        <v>142</v>
      </c>
      <c r="C8">
        <f>SUMIFS(Capital_Investments!C$2:C$10000,Capital_Investments!$B$2:$B$10000,$A8)</f>
        <v>0</v>
      </c>
      <c r="D8">
        <f>SUMIFS(Capital_Investments!D$2:D$10000,Capital_Investments!$B$2:$B$10000,$A8)</f>
        <v>1595</v>
      </c>
      <c r="E8">
        <f>SUMIFS(Capital_Investments!E$2:E$10000,Capital_Investments!$B$2:$B$10000,$A8)</f>
        <v>1692.68</v>
      </c>
      <c r="F8">
        <f>SUMIFS(Capital_Investments!F$2:F$10000,Capital_Investments!$B$2:$B$10000,$A8)</f>
        <v>0</v>
      </c>
      <c r="G8">
        <f>SUMIFS(Capital_Investments!G$2:G$10000,Capital_Investments!$B$2:$B$10000,$A8)</f>
        <v>1320</v>
      </c>
      <c r="H8">
        <f>SUMIFS(Capital_Investments!H$2:H$10000,Capital_Investments!$B$2:$B$10000,$A8)</f>
        <v>0</v>
      </c>
      <c r="I8">
        <f>SUMIFS(Capital_Investments!I$2:I$10000,Capital_Investments!$B$2:$B$10000,$A8)</f>
        <v>0</v>
      </c>
      <c r="J8">
        <f>SUMIFS(Capital_Investments!J$2:J$10000,Capital_Investments!$B$2:$B$10000,$A8)</f>
        <v>0</v>
      </c>
      <c r="K8">
        <f>SUMIFS(Capital_Investments!K$2:K$10000,Capital_Investments!$B$2:$B$10000,$A8)</f>
        <v>0</v>
      </c>
      <c r="L8">
        <f>SUMIFS(Capital_Investments!L$2:L$10000,Capital_Investments!$B$2:$B$10000,$A8)</f>
        <v>0</v>
      </c>
      <c r="M8">
        <f>SUMIFS(Capital_Investments!M$2:M$10000,Capital_Investments!$B$2:$B$10000,$A8)</f>
        <v>0</v>
      </c>
      <c r="N8">
        <f>SUMIFS(Capital_Investments!N$2:N$10000,Capital_Investments!$B$2:$B$10000,$A8)</f>
        <v>1900.3413</v>
      </c>
      <c r="O8">
        <f>SUMIFS(Capital_Investments!O$2:O$10000,Capital_Investments!$B$2:$B$10000,$A8)</f>
        <v>6868.5736999999999</v>
      </c>
      <c r="P8">
        <f>SUMIFS(Capital_Investments!P$2:P$10000,Capital_Investments!$B$2:$B$10000,$A8)</f>
        <v>2417.9737</v>
      </c>
      <c r="Q8">
        <f>SUMIFS(Capital_Investments!Q$2:Q$10000,Capital_Investments!$B$2:$B$10000,$A8)</f>
        <v>2417.9737</v>
      </c>
      <c r="R8">
        <f>SUMIFS(Capital_Investments!R$2:R$10000,Capital_Investments!$B$2:$B$10000,$A8)</f>
        <v>2417.9737</v>
      </c>
      <c r="S8">
        <f>SUMIFS(Capital_Investments!S$2:S$10000,Capital_Investments!$B$2:$B$10000,$A8)</f>
        <v>4617.1466</v>
      </c>
      <c r="T8">
        <f>SUMIFS(Capital_Investments!T$2:T$10000,Capital_Investments!$B$2:$B$10000,$A8)</f>
        <v>2936.3465999999999</v>
      </c>
      <c r="U8">
        <f>SUMIFS(Capital_Investments!U$2:U$10000,Capital_Investments!$B$2:$B$10000,$A8)</f>
        <v>4412.7293</v>
      </c>
      <c r="V8">
        <f>SUMIFS(Capital_Investments!V$2:V$10000,Capital_Investments!$B$2:$B$10000,$A8)</f>
        <v>4278.4080999999996</v>
      </c>
      <c r="W8">
        <f>SUMIFS(Capital_Investments!W$2:W$10000,Capital_Investments!$B$2:$B$10000,$A8)</f>
        <v>0</v>
      </c>
      <c r="X8">
        <f>SUMIFS(Capital_Investments!X$2:X$10000,Capital_Investments!$B$2:$B$10000,$A8)</f>
        <v>1305.4465</v>
      </c>
      <c r="Y8">
        <f>SUMIFS(Capital_Investments!Y$2:Y$10000,Capital_Investments!$B$2:$B$10000,$A8)</f>
        <v>2667.3188</v>
      </c>
      <c r="Z8">
        <f>SUMIFS(Capital_Investments!Z$2:Z$10000,Capital_Investments!$B$2:$B$10000,$A8)</f>
        <v>2673.2345</v>
      </c>
      <c r="AA8">
        <f>SUMIFS(Capital_Investments!AA$2:AA$10000,Capital_Investments!$B$2:$B$10000,$A8)</f>
        <v>2678.7894000000001</v>
      </c>
      <c r="AB8">
        <f>SUMIFS(Capital_Investments!AB$2:AB$10000,Capital_Investments!$B$2:$B$10000,$A8)</f>
        <v>2760.8827000000001</v>
      </c>
      <c r="AC8">
        <f>SUMIFS(Capital_Investments!AC$2:AC$10000,Capital_Investments!$B$2:$B$10000,$A8)</f>
        <v>5065.5992999999999</v>
      </c>
      <c r="AD8">
        <f>SUMIFS(Capital_Investments!AD$2:AD$10000,Capital_Investments!$B$2:$B$10000,$A8)</f>
        <v>4485.1220000000003</v>
      </c>
      <c r="AE8">
        <f>SUMIFS(Capital_Investments!AE$2:AE$10000,Capital_Investments!$B$2:$B$10000,$A8)</f>
        <v>2534.2426999999998</v>
      </c>
      <c r="AF8">
        <f>SUMIFS(Capital_Investments!AF$2:AF$10000,Capital_Investments!$B$2:$B$10000,$A8)</f>
        <v>1254.4675</v>
      </c>
      <c r="AG8">
        <f>SUMIFS(Capital_Investments!AG$2:AG$10000,Capital_Investments!$B$2:$B$10000,$A8)</f>
        <v>0</v>
      </c>
    </row>
    <row r="9" spans="1:58">
      <c r="A9" t="s">
        <v>143</v>
      </c>
      <c r="C9">
        <f>SUMIFS(Capital_Investments!C$2:C$10000,Capital_Investments!$B$2:$B$10000,$A9)</f>
        <v>0</v>
      </c>
      <c r="D9">
        <f>SUMIFS(Capital_Investments!D$2:D$10000,Capital_Investments!$B$2:$B$10000,$A9)</f>
        <v>0</v>
      </c>
      <c r="E9">
        <f>SUMIFS(Capital_Investments!E$2:E$10000,Capital_Investments!$B$2:$B$10000,$A9)</f>
        <v>0</v>
      </c>
      <c r="F9">
        <f>SUMIFS(Capital_Investments!F$2:F$10000,Capital_Investments!$B$2:$B$10000,$A9)</f>
        <v>0</v>
      </c>
      <c r="G9">
        <f>SUMIFS(Capital_Investments!G$2:G$10000,Capital_Investments!$B$2:$B$10000,$A9)</f>
        <v>0</v>
      </c>
      <c r="H9">
        <f>SUMIFS(Capital_Investments!H$2:H$10000,Capital_Investments!$B$2:$B$10000,$A9)</f>
        <v>0</v>
      </c>
      <c r="I9">
        <f>SUMIFS(Capital_Investments!I$2:I$10000,Capital_Investments!$B$2:$B$10000,$A9)</f>
        <v>0</v>
      </c>
      <c r="J9">
        <f>SUMIFS(Capital_Investments!J$2:J$10000,Capital_Investments!$B$2:$B$10000,$A9)</f>
        <v>0</v>
      </c>
      <c r="K9">
        <f>SUMIFS(Capital_Investments!K$2:K$10000,Capital_Investments!$B$2:$B$10000,$A9)</f>
        <v>0</v>
      </c>
      <c r="L9">
        <f>SUMIFS(Capital_Investments!L$2:L$10000,Capital_Investments!$B$2:$B$10000,$A9)</f>
        <v>0</v>
      </c>
      <c r="M9">
        <f>SUMIFS(Capital_Investments!M$2:M$10000,Capital_Investments!$B$2:$B$10000,$A9)</f>
        <v>0</v>
      </c>
      <c r="N9">
        <f>SUMIFS(Capital_Investments!N$2:N$10000,Capital_Investments!$B$2:$B$10000,$A9)</f>
        <v>0</v>
      </c>
      <c r="O9">
        <f>SUMIFS(Capital_Investments!O$2:O$10000,Capital_Investments!$B$2:$B$10000,$A9)</f>
        <v>0</v>
      </c>
      <c r="P9">
        <f>SUMIFS(Capital_Investments!P$2:P$10000,Capital_Investments!$B$2:$B$10000,$A9)</f>
        <v>0</v>
      </c>
      <c r="Q9">
        <f>SUMIFS(Capital_Investments!Q$2:Q$10000,Capital_Investments!$B$2:$B$10000,$A9)</f>
        <v>0</v>
      </c>
      <c r="R9">
        <f>SUMIFS(Capital_Investments!R$2:R$10000,Capital_Investments!$B$2:$B$10000,$A9)</f>
        <v>0</v>
      </c>
      <c r="S9">
        <f>SUMIFS(Capital_Investments!S$2:S$10000,Capital_Investments!$B$2:$B$10000,$A9)</f>
        <v>0</v>
      </c>
      <c r="T9">
        <f>SUMIFS(Capital_Investments!T$2:T$10000,Capital_Investments!$B$2:$B$10000,$A9)</f>
        <v>0</v>
      </c>
      <c r="U9">
        <f>SUMIFS(Capital_Investments!U$2:U$10000,Capital_Investments!$B$2:$B$10000,$A9)</f>
        <v>0</v>
      </c>
      <c r="V9">
        <f>SUMIFS(Capital_Investments!V$2:V$10000,Capital_Investments!$B$2:$B$10000,$A9)</f>
        <v>0</v>
      </c>
      <c r="W9">
        <f>SUMIFS(Capital_Investments!W$2:W$10000,Capital_Investments!$B$2:$B$10000,$A9)</f>
        <v>0</v>
      </c>
      <c r="X9">
        <f>SUMIFS(Capital_Investments!X$2:X$10000,Capital_Investments!$B$2:$B$10000,$A9)</f>
        <v>0</v>
      </c>
      <c r="Y9">
        <f>SUMIFS(Capital_Investments!Y$2:Y$10000,Capital_Investments!$B$2:$B$10000,$A9)</f>
        <v>0</v>
      </c>
      <c r="Z9">
        <f>SUMIFS(Capital_Investments!Z$2:Z$10000,Capital_Investments!$B$2:$B$10000,$A9)</f>
        <v>0</v>
      </c>
      <c r="AA9">
        <f>SUMIFS(Capital_Investments!AA$2:AA$10000,Capital_Investments!$B$2:$B$10000,$A9)</f>
        <v>0</v>
      </c>
      <c r="AB9">
        <f>SUMIFS(Capital_Investments!AB$2:AB$10000,Capital_Investments!$B$2:$B$10000,$A9)</f>
        <v>0</v>
      </c>
      <c r="AC9">
        <f>SUMIFS(Capital_Investments!AC$2:AC$10000,Capital_Investments!$B$2:$B$10000,$A9)</f>
        <v>0</v>
      </c>
      <c r="AD9">
        <f>SUMIFS(Capital_Investments!AD$2:AD$10000,Capital_Investments!$B$2:$B$10000,$A9)</f>
        <v>0</v>
      </c>
      <c r="AE9">
        <f>SUMIFS(Capital_Investments!AE$2:AE$10000,Capital_Investments!$B$2:$B$10000,$A9)</f>
        <v>0</v>
      </c>
      <c r="AF9">
        <f>SUMIFS(Capital_Investments!AF$2:AF$10000,Capital_Investments!$B$2:$B$10000,$A9)</f>
        <v>0</v>
      </c>
      <c r="AG9">
        <f>SUMIFS(Capital_Investments!AG$2:AG$10000,Capital_Investments!$B$2:$B$10000,$A9)</f>
        <v>0</v>
      </c>
    </row>
    <row r="10" spans="1:58">
      <c r="A10" t="s">
        <v>144</v>
      </c>
      <c r="C10">
        <f>SUMIFS(Capital_Investments!C$2:C$10000,Capital_Investments!$B$2:$B$10000,$A10)</f>
        <v>0</v>
      </c>
      <c r="D10">
        <f>SUMIFS(Capital_Investments!D$2:D$10000,Capital_Investments!$B$2:$B$10000,$A10)</f>
        <v>0</v>
      </c>
      <c r="E10">
        <f>SUMIFS(Capital_Investments!E$2:E$10000,Capital_Investments!$B$2:$B$10000,$A10)</f>
        <v>0</v>
      </c>
      <c r="F10">
        <f>SUMIFS(Capital_Investments!F$2:F$10000,Capital_Investments!$B$2:$B$10000,$A10)</f>
        <v>0</v>
      </c>
      <c r="G10">
        <f>SUMIFS(Capital_Investments!G$2:G$10000,Capital_Investments!$B$2:$B$10000,$A10)</f>
        <v>0</v>
      </c>
      <c r="H10">
        <f>SUMIFS(Capital_Investments!H$2:H$10000,Capital_Investments!$B$2:$B$10000,$A10)</f>
        <v>0</v>
      </c>
      <c r="I10">
        <f>SUMIFS(Capital_Investments!I$2:I$10000,Capital_Investments!$B$2:$B$10000,$A10)</f>
        <v>0</v>
      </c>
      <c r="J10">
        <f>SUMIFS(Capital_Investments!J$2:J$10000,Capital_Investments!$B$2:$B$10000,$A10)</f>
        <v>0</v>
      </c>
      <c r="K10">
        <f>SUMIFS(Capital_Investments!K$2:K$10000,Capital_Investments!$B$2:$B$10000,$A10)</f>
        <v>0</v>
      </c>
      <c r="L10">
        <f>SUMIFS(Capital_Investments!L$2:L$10000,Capital_Investments!$B$2:$B$10000,$A10)</f>
        <v>0</v>
      </c>
      <c r="M10">
        <f>SUMIFS(Capital_Investments!M$2:M$10000,Capital_Investments!$B$2:$B$10000,$A10)</f>
        <v>0</v>
      </c>
      <c r="N10">
        <f>SUMIFS(Capital_Investments!N$2:N$10000,Capital_Investments!$B$2:$B$10000,$A10)</f>
        <v>0</v>
      </c>
      <c r="O10">
        <f>SUMIFS(Capital_Investments!O$2:O$10000,Capital_Investments!$B$2:$B$10000,$A10)</f>
        <v>0</v>
      </c>
      <c r="P10">
        <f>SUMIFS(Capital_Investments!P$2:P$10000,Capital_Investments!$B$2:$B$10000,$A10)</f>
        <v>0</v>
      </c>
      <c r="Q10">
        <f>SUMIFS(Capital_Investments!Q$2:Q$10000,Capital_Investments!$B$2:$B$10000,$A10)</f>
        <v>0</v>
      </c>
      <c r="R10">
        <f>SUMIFS(Capital_Investments!R$2:R$10000,Capital_Investments!$B$2:$B$10000,$A10)</f>
        <v>0</v>
      </c>
      <c r="S10">
        <f>SUMIFS(Capital_Investments!S$2:S$10000,Capital_Investments!$B$2:$B$10000,$A10)</f>
        <v>0</v>
      </c>
      <c r="T10">
        <f>SUMIFS(Capital_Investments!T$2:T$10000,Capital_Investments!$B$2:$B$10000,$A10)</f>
        <v>0</v>
      </c>
      <c r="U10">
        <f>SUMIFS(Capital_Investments!U$2:U$10000,Capital_Investments!$B$2:$B$10000,$A10)</f>
        <v>0</v>
      </c>
      <c r="V10">
        <f>SUMIFS(Capital_Investments!V$2:V$10000,Capital_Investments!$B$2:$B$10000,$A10)</f>
        <v>0</v>
      </c>
      <c r="W10">
        <f>SUMIFS(Capital_Investments!W$2:W$10000,Capital_Investments!$B$2:$B$10000,$A10)</f>
        <v>0</v>
      </c>
      <c r="X10">
        <f>SUMIFS(Capital_Investments!X$2:X$10000,Capital_Investments!$B$2:$B$10000,$A10)</f>
        <v>0</v>
      </c>
      <c r="Y10">
        <f>SUMIFS(Capital_Investments!Y$2:Y$10000,Capital_Investments!$B$2:$B$10000,$A10)</f>
        <v>0</v>
      </c>
      <c r="Z10">
        <f>SUMIFS(Capital_Investments!Z$2:Z$10000,Capital_Investments!$B$2:$B$10000,$A10)</f>
        <v>0</v>
      </c>
      <c r="AA10">
        <f>SUMIFS(Capital_Investments!AA$2:AA$10000,Capital_Investments!$B$2:$B$10000,$A10)</f>
        <v>0</v>
      </c>
      <c r="AB10">
        <f>SUMIFS(Capital_Investments!AB$2:AB$10000,Capital_Investments!$B$2:$B$10000,$A10)</f>
        <v>0</v>
      </c>
      <c r="AC10">
        <f>SUMIFS(Capital_Investments!AC$2:AC$10000,Capital_Investments!$B$2:$B$10000,$A10)</f>
        <v>0</v>
      </c>
      <c r="AD10">
        <f>SUMIFS(Capital_Investments!AD$2:AD$10000,Capital_Investments!$B$2:$B$10000,$A10)</f>
        <v>0</v>
      </c>
      <c r="AE10">
        <f>SUMIFS(Capital_Investments!AE$2:AE$10000,Capital_Investments!$B$2:$B$10000,$A10)</f>
        <v>0</v>
      </c>
      <c r="AF10">
        <f>SUMIFS(Capital_Investments!AF$2:AF$10000,Capital_Investments!$B$2:$B$10000,$A10)</f>
        <v>0</v>
      </c>
      <c r="AG10">
        <f>SUMIFS(Capital_Investments!AG$2:AG$10000,Capital_Investments!$B$2:$B$10000,$A10)</f>
        <v>0</v>
      </c>
    </row>
    <row r="11" spans="1:58">
      <c r="A11" t="s">
        <v>145</v>
      </c>
      <c r="C11">
        <f>SUMIFS(Capital_Investments!C$2:C$10000,Capital_Investments!$B$2:$B$10000,$A11)</f>
        <v>4389.9543999999996</v>
      </c>
      <c r="D11">
        <f>SUMIFS(Capital_Investments!D$2:D$10000,Capital_Investments!$B$2:$B$10000,$A11)</f>
        <v>7663.7159000000001</v>
      </c>
      <c r="E11">
        <f>SUMIFS(Capital_Investments!E$2:E$10000,Capital_Investments!$B$2:$B$10000,$A11)</f>
        <v>47.7</v>
      </c>
      <c r="F11">
        <f>SUMIFS(Capital_Investments!F$2:F$10000,Capital_Investments!$B$2:$B$10000,$A11)</f>
        <v>140.4</v>
      </c>
      <c r="G11">
        <f>SUMIFS(Capital_Investments!G$2:G$10000,Capital_Investments!$B$2:$B$10000,$A11)</f>
        <v>105.6</v>
      </c>
      <c r="H11">
        <f>SUMIFS(Capital_Investments!H$2:H$10000,Capital_Investments!$B$2:$B$10000,$A11)</f>
        <v>0</v>
      </c>
      <c r="I11">
        <f>SUMIFS(Capital_Investments!I$2:I$10000,Capital_Investments!$B$2:$B$10000,$A11)</f>
        <v>0</v>
      </c>
      <c r="J11">
        <f>SUMIFS(Capital_Investments!J$2:J$10000,Capital_Investments!$B$2:$B$10000,$A11)</f>
        <v>0</v>
      </c>
      <c r="K11">
        <f>SUMIFS(Capital_Investments!K$2:K$10000,Capital_Investments!$B$2:$B$10000,$A11)</f>
        <v>0</v>
      </c>
      <c r="L11">
        <f>SUMIFS(Capital_Investments!L$2:L$10000,Capital_Investments!$B$2:$B$10000,$A11)</f>
        <v>0</v>
      </c>
      <c r="M11">
        <f>SUMIFS(Capital_Investments!M$2:M$10000,Capital_Investments!$B$2:$B$10000,$A11)</f>
        <v>0</v>
      </c>
      <c r="N11">
        <f>SUMIFS(Capital_Investments!N$2:N$10000,Capital_Investments!$B$2:$B$10000,$A11)</f>
        <v>0</v>
      </c>
      <c r="O11">
        <f>SUMIFS(Capital_Investments!O$2:O$10000,Capital_Investments!$B$2:$B$10000,$A11)</f>
        <v>0</v>
      </c>
      <c r="P11">
        <f>SUMIFS(Capital_Investments!P$2:P$10000,Capital_Investments!$B$2:$B$10000,$A11)</f>
        <v>0</v>
      </c>
      <c r="Q11">
        <f>SUMIFS(Capital_Investments!Q$2:Q$10000,Capital_Investments!$B$2:$B$10000,$A11)</f>
        <v>0</v>
      </c>
      <c r="R11">
        <f>SUMIFS(Capital_Investments!R$2:R$10000,Capital_Investments!$B$2:$B$10000,$A11)</f>
        <v>0</v>
      </c>
      <c r="S11">
        <f>SUMIFS(Capital_Investments!S$2:S$10000,Capital_Investments!$B$2:$B$10000,$A11)</f>
        <v>0</v>
      </c>
      <c r="T11">
        <f>SUMIFS(Capital_Investments!T$2:T$10000,Capital_Investments!$B$2:$B$10000,$A11)</f>
        <v>0</v>
      </c>
      <c r="U11">
        <f>SUMIFS(Capital_Investments!U$2:U$10000,Capital_Investments!$B$2:$B$10000,$A11)</f>
        <v>0</v>
      </c>
      <c r="V11">
        <f>SUMIFS(Capital_Investments!V$2:V$10000,Capital_Investments!$B$2:$B$10000,$A11)</f>
        <v>0</v>
      </c>
      <c r="W11">
        <f>SUMIFS(Capital_Investments!W$2:W$10000,Capital_Investments!$B$2:$B$10000,$A11)</f>
        <v>0</v>
      </c>
      <c r="X11">
        <f>SUMIFS(Capital_Investments!X$2:X$10000,Capital_Investments!$B$2:$B$10000,$A11)</f>
        <v>0</v>
      </c>
      <c r="Y11">
        <f>SUMIFS(Capital_Investments!Y$2:Y$10000,Capital_Investments!$B$2:$B$10000,$A11)</f>
        <v>0</v>
      </c>
      <c r="Z11">
        <f>SUMIFS(Capital_Investments!Z$2:Z$10000,Capital_Investments!$B$2:$B$10000,$A11)</f>
        <v>0</v>
      </c>
      <c r="AA11">
        <f>SUMIFS(Capital_Investments!AA$2:AA$10000,Capital_Investments!$B$2:$B$10000,$A11)</f>
        <v>0</v>
      </c>
      <c r="AB11">
        <f>SUMIFS(Capital_Investments!AB$2:AB$10000,Capital_Investments!$B$2:$B$10000,$A11)</f>
        <v>0</v>
      </c>
      <c r="AC11">
        <f>SUMIFS(Capital_Investments!AC$2:AC$10000,Capital_Investments!$B$2:$B$10000,$A11)</f>
        <v>0</v>
      </c>
      <c r="AD11">
        <f>SUMIFS(Capital_Investments!AD$2:AD$10000,Capital_Investments!$B$2:$B$10000,$A11)</f>
        <v>0</v>
      </c>
      <c r="AE11">
        <f>SUMIFS(Capital_Investments!AE$2:AE$10000,Capital_Investments!$B$2:$B$10000,$A11)</f>
        <v>0</v>
      </c>
      <c r="AF11">
        <f>SUMIFS(Capital_Investments!AF$2:AF$10000,Capital_Investments!$B$2:$B$10000,$A11)</f>
        <v>0</v>
      </c>
      <c r="AG11">
        <f>SUMIFS(Capital_Investments!AG$2:AG$10000,Capital_Investments!$B$2:$B$10000,$A11)</f>
        <v>0</v>
      </c>
    </row>
    <row r="12" spans="1:58">
      <c r="A12" t="s">
        <v>146</v>
      </c>
      <c r="C12">
        <f>SUMIFS(Capital_Investments!C$2:C$10000,Capital_Investments!$B$2:$B$10000,$A12)</f>
        <v>0</v>
      </c>
      <c r="D12">
        <f>SUMIFS(Capital_Investments!D$2:D$10000,Capital_Investments!$B$2:$B$10000,$A12)</f>
        <v>0</v>
      </c>
      <c r="E12">
        <f>SUMIFS(Capital_Investments!E$2:E$10000,Capital_Investments!$B$2:$B$10000,$A12)</f>
        <v>0</v>
      </c>
      <c r="F12">
        <f>SUMIFS(Capital_Investments!F$2:F$10000,Capital_Investments!$B$2:$B$10000,$A12)</f>
        <v>0</v>
      </c>
      <c r="G12">
        <f>SUMIFS(Capital_Investments!G$2:G$10000,Capital_Investments!$B$2:$B$10000,$A12)</f>
        <v>0</v>
      </c>
      <c r="H12">
        <f>SUMIFS(Capital_Investments!H$2:H$10000,Capital_Investments!$B$2:$B$10000,$A12)</f>
        <v>1056</v>
      </c>
      <c r="I12">
        <f>SUMIFS(Capital_Investments!I$2:I$10000,Capital_Investments!$B$2:$B$10000,$A12)</f>
        <v>0</v>
      </c>
      <c r="J12">
        <f>SUMIFS(Capital_Investments!J$2:J$10000,Capital_Investments!$B$2:$B$10000,$A12)</f>
        <v>0</v>
      </c>
      <c r="K12">
        <f>SUMIFS(Capital_Investments!K$2:K$10000,Capital_Investments!$B$2:$B$10000,$A12)</f>
        <v>0</v>
      </c>
      <c r="L12">
        <f>SUMIFS(Capital_Investments!L$2:L$10000,Capital_Investments!$B$2:$B$10000,$A12)</f>
        <v>0</v>
      </c>
      <c r="M12">
        <f>SUMIFS(Capital_Investments!M$2:M$10000,Capital_Investments!$B$2:$B$10000,$A12)</f>
        <v>0</v>
      </c>
      <c r="N12">
        <f>SUMIFS(Capital_Investments!N$2:N$10000,Capital_Investments!$B$2:$B$10000,$A12)</f>
        <v>0</v>
      </c>
      <c r="O12">
        <f>SUMIFS(Capital_Investments!O$2:O$10000,Capital_Investments!$B$2:$B$10000,$A12)</f>
        <v>0</v>
      </c>
      <c r="P12">
        <f>SUMIFS(Capital_Investments!P$2:P$10000,Capital_Investments!$B$2:$B$10000,$A12)</f>
        <v>0</v>
      </c>
      <c r="Q12">
        <f>SUMIFS(Capital_Investments!Q$2:Q$10000,Capital_Investments!$B$2:$B$10000,$A12)</f>
        <v>0</v>
      </c>
      <c r="R12">
        <f>SUMIFS(Capital_Investments!R$2:R$10000,Capital_Investments!$B$2:$B$10000,$A12)</f>
        <v>0</v>
      </c>
      <c r="S12">
        <f>SUMIFS(Capital_Investments!S$2:S$10000,Capital_Investments!$B$2:$B$10000,$A12)</f>
        <v>0</v>
      </c>
      <c r="T12">
        <f>SUMIFS(Capital_Investments!T$2:T$10000,Capital_Investments!$B$2:$B$10000,$A12)</f>
        <v>0</v>
      </c>
      <c r="U12">
        <f>SUMIFS(Capital_Investments!U$2:U$10000,Capital_Investments!$B$2:$B$10000,$A12)</f>
        <v>39.620399999999997</v>
      </c>
      <c r="V12">
        <f>SUMIFS(Capital_Investments!V$2:V$10000,Capital_Investments!$B$2:$B$10000,$A12)</f>
        <v>894.50739999999996</v>
      </c>
      <c r="W12">
        <f>SUMIFS(Capital_Investments!W$2:W$10000,Capital_Investments!$B$2:$B$10000,$A12)</f>
        <v>1745.5572</v>
      </c>
      <c r="X12">
        <f>SUMIFS(Capital_Investments!X$2:X$10000,Capital_Investments!$B$2:$B$10000,$A12)</f>
        <v>845.17989999999998</v>
      </c>
      <c r="Y12">
        <f>SUMIFS(Capital_Investments!Y$2:Y$10000,Capital_Investments!$B$2:$B$10000,$A12)</f>
        <v>226.7963</v>
      </c>
      <c r="Z12">
        <f>SUMIFS(Capital_Investments!Z$2:Z$10000,Capital_Investments!$B$2:$B$10000,$A12)</f>
        <v>207.66030000000001</v>
      </c>
      <c r="AA12">
        <f>SUMIFS(Capital_Investments!AA$2:AA$10000,Capital_Investments!$B$2:$B$10000,$A12)</f>
        <v>286.0111</v>
      </c>
      <c r="AB12">
        <f>SUMIFS(Capital_Investments!AB$2:AB$10000,Capital_Investments!$B$2:$B$10000,$A12)</f>
        <v>302.67009999999999</v>
      </c>
      <c r="AC12">
        <f>SUMIFS(Capital_Investments!AC$2:AC$10000,Capital_Investments!$B$2:$B$10000,$A12)</f>
        <v>987.12159999999994</v>
      </c>
      <c r="AD12">
        <f>SUMIFS(Capital_Investments!AD$2:AD$10000,Capital_Investments!$B$2:$B$10000,$A12)</f>
        <v>297.21319999999997</v>
      </c>
      <c r="AE12">
        <f>SUMIFS(Capital_Investments!AE$2:AE$10000,Capital_Investments!$B$2:$B$10000,$A12)</f>
        <v>442.18540000000002</v>
      </c>
      <c r="AF12">
        <f>SUMIFS(Capital_Investments!AF$2:AF$10000,Capital_Investments!$B$2:$B$10000,$A12)</f>
        <v>1900.4671000000001</v>
      </c>
      <c r="AG12">
        <f>SUMIFS(Capital_Investments!AG$2:AG$10000,Capital_Investments!$B$2:$B$10000,$A12)</f>
        <v>4144.2266</v>
      </c>
    </row>
    <row r="13" spans="1:58">
      <c r="A13" t="s">
        <v>147</v>
      </c>
      <c r="C13">
        <f>SUMIFS(Capital_Investments!C$2:C$10000,Capital_Investments!$B$2:$B$10000,$A13)</f>
        <v>0</v>
      </c>
      <c r="D13">
        <f>SUMIFS(Capital_Investments!D$2:D$10000,Capital_Investments!$B$2:$B$10000,$A13)</f>
        <v>0</v>
      </c>
      <c r="E13">
        <f>SUMIFS(Capital_Investments!E$2:E$10000,Capital_Investments!$B$2:$B$10000,$A13)</f>
        <v>0</v>
      </c>
      <c r="F13">
        <f>SUMIFS(Capital_Investments!F$2:F$10000,Capital_Investments!$B$2:$B$10000,$A13)</f>
        <v>0</v>
      </c>
      <c r="G13">
        <f>SUMIFS(Capital_Investments!G$2:G$10000,Capital_Investments!$B$2:$B$10000,$A13)</f>
        <v>0</v>
      </c>
      <c r="H13">
        <f>SUMIFS(Capital_Investments!H$2:H$10000,Capital_Investments!$B$2:$B$10000,$A13)</f>
        <v>0</v>
      </c>
      <c r="I13">
        <f>SUMIFS(Capital_Investments!I$2:I$10000,Capital_Investments!$B$2:$B$10000,$A13)</f>
        <v>0</v>
      </c>
      <c r="J13">
        <f>SUMIFS(Capital_Investments!J$2:J$10000,Capital_Investments!$B$2:$B$10000,$A13)</f>
        <v>0</v>
      </c>
      <c r="K13">
        <f>SUMIFS(Capital_Investments!K$2:K$10000,Capital_Investments!$B$2:$B$10000,$A13)</f>
        <v>0</v>
      </c>
      <c r="L13">
        <f>SUMIFS(Capital_Investments!L$2:L$10000,Capital_Investments!$B$2:$B$10000,$A13)</f>
        <v>0</v>
      </c>
      <c r="M13">
        <f>SUMIFS(Capital_Investments!M$2:M$10000,Capital_Investments!$B$2:$B$10000,$A13)</f>
        <v>0</v>
      </c>
      <c r="N13">
        <f>SUMIFS(Capital_Investments!N$2:N$10000,Capital_Investments!$B$2:$B$10000,$A13)</f>
        <v>0</v>
      </c>
      <c r="O13">
        <f>SUMIFS(Capital_Investments!O$2:O$10000,Capital_Investments!$B$2:$B$10000,$A13)</f>
        <v>0</v>
      </c>
      <c r="P13">
        <f>SUMIFS(Capital_Investments!P$2:P$10000,Capital_Investments!$B$2:$B$10000,$A13)</f>
        <v>0</v>
      </c>
      <c r="Q13">
        <f>SUMIFS(Capital_Investments!Q$2:Q$10000,Capital_Investments!$B$2:$B$10000,$A13)</f>
        <v>0</v>
      </c>
      <c r="R13">
        <f>SUMIFS(Capital_Investments!R$2:R$10000,Capital_Investments!$B$2:$B$10000,$A13)</f>
        <v>0</v>
      </c>
      <c r="S13">
        <f>SUMIFS(Capital_Investments!S$2:S$10000,Capital_Investments!$B$2:$B$10000,$A13)</f>
        <v>0</v>
      </c>
      <c r="T13">
        <f>SUMIFS(Capital_Investments!T$2:T$10000,Capital_Investments!$B$2:$B$10000,$A13)</f>
        <v>0</v>
      </c>
      <c r="U13">
        <f>SUMIFS(Capital_Investments!U$2:U$10000,Capital_Investments!$B$2:$B$10000,$A13)</f>
        <v>0</v>
      </c>
      <c r="V13">
        <f>SUMIFS(Capital_Investments!V$2:V$10000,Capital_Investments!$B$2:$B$10000,$A13)</f>
        <v>0</v>
      </c>
      <c r="W13">
        <f>SUMIFS(Capital_Investments!W$2:W$10000,Capital_Investments!$B$2:$B$10000,$A13)</f>
        <v>0</v>
      </c>
      <c r="X13">
        <f>SUMIFS(Capital_Investments!X$2:X$10000,Capital_Investments!$B$2:$B$10000,$A13)</f>
        <v>0</v>
      </c>
      <c r="Y13">
        <f>SUMIFS(Capital_Investments!Y$2:Y$10000,Capital_Investments!$B$2:$B$10000,$A13)</f>
        <v>0</v>
      </c>
      <c r="Z13">
        <f>SUMIFS(Capital_Investments!Z$2:Z$10000,Capital_Investments!$B$2:$B$10000,$A13)</f>
        <v>0</v>
      </c>
      <c r="AA13">
        <f>SUMIFS(Capital_Investments!AA$2:AA$10000,Capital_Investments!$B$2:$B$10000,$A13)</f>
        <v>0</v>
      </c>
      <c r="AB13">
        <f>SUMIFS(Capital_Investments!AB$2:AB$10000,Capital_Investments!$B$2:$B$10000,$A13)</f>
        <v>0</v>
      </c>
      <c r="AC13">
        <f>SUMIFS(Capital_Investments!AC$2:AC$10000,Capital_Investments!$B$2:$B$10000,$A13)</f>
        <v>0</v>
      </c>
      <c r="AD13">
        <f>SUMIFS(Capital_Investments!AD$2:AD$10000,Capital_Investments!$B$2:$B$10000,$A13)</f>
        <v>0</v>
      </c>
      <c r="AE13">
        <f>SUMIFS(Capital_Investments!AE$2:AE$10000,Capital_Investments!$B$2:$B$10000,$A13)</f>
        <v>0</v>
      </c>
      <c r="AF13">
        <f>SUMIFS(Capital_Investments!AF$2:AF$10000,Capital_Investments!$B$2:$B$10000,$A13)</f>
        <v>0</v>
      </c>
      <c r="AG13">
        <f>SUMIFS(Capital_Investments!AG$2:AG$10000,Capital_Investments!$B$2:$B$10000,$A13)</f>
        <v>0</v>
      </c>
    </row>
    <row r="14" spans="1:58">
      <c r="A14" t="s">
        <v>148</v>
      </c>
      <c r="C14">
        <f>SUMIFS(Capital_Investments!C$2:C$10000,Capital_Investments!$B$2:$B$10000,$A14)</f>
        <v>0</v>
      </c>
      <c r="D14">
        <f>SUMIFS(Capital_Investments!D$2:D$10000,Capital_Investments!$B$2:$B$10000,$A14)</f>
        <v>0</v>
      </c>
      <c r="E14">
        <f>SUMIFS(Capital_Investments!E$2:E$10000,Capital_Investments!$B$2:$B$10000,$A14)</f>
        <v>0</v>
      </c>
      <c r="F14">
        <f>SUMIFS(Capital_Investments!F$2:F$10000,Capital_Investments!$B$2:$B$10000,$A14)</f>
        <v>0</v>
      </c>
      <c r="G14">
        <f>SUMIFS(Capital_Investments!G$2:G$10000,Capital_Investments!$B$2:$B$10000,$A14)</f>
        <v>0</v>
      </c>
      <c r="H14">
        <f>SUMIFS(Capital_Investments!H$2:H$10000,Capital_Investments!$B$2:$B$10000,$A14)</f>
        <v>0</v>
      </c>
      <c r="I14">
        <f>SUMIFS(Capital_Investments!I$2:I$10000,Capital_Investments!$B$2:$B$10000,$A14)</f>
        <v>0</v>
      </c>
      <c r="J14">
        <f>SUMIFS(Capital_Investments!J$2:J$10000,Capital_Investments!$B$2:$B$10000,$A14)</f>
        <v>0</v>
      </c>
      <c r="K14">
        <f>SUMIFS(Capital_Investments!K$2:K$10000,Capital_Investments!$B$2:$B$10000,$A14)</f>
        <v>0</v>
      </c>
      <c r="L14">
        <f>SUMIFS(Capital_Investments!L$2:L$10000,Capital_Investments!$B$2:$B$10000,$A14)</f>
        <v>0</v>
      </c>
      <c r="M14">
        <f>SUMIFS(Capital_Investments!M$2:M$10000,Capital_Investments!$B$2:$B$10000,$A14)</f>
        <v>0</v>
      </c>
      <c r="N14">
        <f>SUMIFS(Capital_Investments!N$2:N$10000,Capital_Investments!$B$2:$B$10000,$A14)</f>
        <v>0</v>
      </c>
      <c r="O14">
        <f>SUMIFS(Capital_Investments!O$2:O$10000,Capital_Investments!$B$2:$B$10000,$A14)</f>
        <v>0</v>
      </c>
      <c r="P14">
        <f>SUMIFS(Capital_Investments!P$2:P$10000,Capital_Investments!$B$2:$B$10000,$A14)</f>
        <v>0</v>
      </c>
      <c r="Q14">
        <f>SUMIFS(Capital_Investments!Q$2:Q$10000,Capital_Investments!$B$2:$B$10000,$A14)</f>
        <v>0</v>
      </c>
      <c r="R14">
        <f>SUMIFS(Capital_Investments!R$2:R$10000,Capital_Investments!$B$2:$B$10000,$A14)</f>
        <v>0</v>
      </c>
      <c r="S14">
        <f>SUMIFS(Capital_Investments!S$2:S$10000,Capital_Investments!$B$2:$B$10000,$A14)</f>
        <v>0</v>
      </c>
      <c r="T14">
        <f>SUMIFS(Capital_Investments!T$2:T$10000,Capital_Investments!$B$2:$B$10000,$A14)</f>
        <v>0</v>
      </c>
      <c r="U14">
        <f>SUMIFS(Capital_Investments!U$2:U$10000,Capital_Investments!$B$2:$B$10000,$A14)</f>
        <v>0</v>
      </c>
      <c r="V14">
        <f>SUMIFS(Capital_Investments!V$2:V$10000,Capital_Investments!$B$2:$B$10000,$A14)</f>
        <v>0</v>
      </c>
      <c r="W14">
        <f>SUMIFS(Capital_Investments!W$2:W$10000,Capital_Investments!$B$2:$B$10000,$A14)</f>
        <v>0</v>
      </c>
      <c r="X14">
        <f>SUMIFS(Capital_Investments!X$2:X$10000,Capital_Investments!$B$2:$B$10000,$A14)</f>
        <v>0</v>
      </c>
      <c r="Y14">
        <f>SUMIFS(Capital_Investments!Y$2:Y$10000,Capital_Investments!$B$2:$B$10000,$A14)</f>
        <v>0</v>
      </c>
      <c r="Z14">
        <f>SUMIFS(Capital_Investments!Z$2:Z$10000,Capital_Investments!$B$2:$B$10000,$A14)</f>
        <v>0</v>
      </c>
      <c r="AA14">
        <f>SUMIFS(Capital_Investments!AA$2:AA$10000,Capital_Investments!$B$2:$B$10000,$A14)</f>
        <v>0</v>
      </c>
      <c r="AB14">
        <f>SUMIFS(Capital_Investments!AB$2:AB$10000,Capital_Investments!$B$2:$B$10000,$A14)</f>
        <v>0</v>
      </c>
      <c r="AC14">
        <f>SUMIFS(Capital_Investments!AC$2:AC$10000,Capital_Investments!$B$2:$B$10000,$A14)</f>
        <v>0</v>
      </c>
      <c r="AD14">
        <f>SUMIFS(Capital_Investments!AD$2:AD$10000,Capital_Investments!$B$2:$B$10000,$A14)</f>
        <v>0</v>
      </c>
      <c r="AE14">
        <f>SUMIFS(Capital_Investments!AE$2:AE$10000,Capital_Investments!$B$2:$B$10000,$A14)</f>
        <v>0</v>
      </c>
      <c r="AF14">
        <f>SUMIFS(Capital_Investments!AF$2:AF$10000,Capital_Investments!$B$2:$B$10000,$A14)</f>
        <v>0</v>
      </c>
      <c r="AG14">
        <f>SUMIFS(Capital_Investments!AG$2:AG$10000,Capital_Investments!$B$2:$B$10000,$A14)</f>
        <v>0</v>
      </c>
    </row>
    <row r="15" spans="1:58">
      <c r="A15" t="s">
        <v>149</v>
      </c>
      <c r="C15">
        <f>SUMIFS(Capital_Investments!C$2:C$10000,Capital_Investments!$B$2:$B$10000,$A15)</f>
        <v>0</v>
      </c>
      <c r="D15">
        <f>SUMIFS(Capital_Investments!D$2:D$10000,Capital_Investments!$B$2:$B$10000,$A15)</f>
        <v>0</v>
      </c>
      <c r="E15">
        <f>SUMIFS(Capital_Investments!E$2:E$10000,Capital_Investments!$B$2:$B$10000,$A15)</f>
        <v>0</v>
      </c>
      <c r="F15">
        <f>SUMIFS(Capital_Investments!F$2:F$10000,Capital_Investments!$B$2:$B$10000,$A15)</f>
        <v>0</v>
      </c>
      <c r="G15">
        <f>SUMIFS(Capital_Investments!G$2:G$10000,Capital_Investments!$B$2:$B$10000,$A15)</f>
        <v>0</v>
      </c>
      <c r="H15">
        <f>SUMIFS(Capital_Investments!H$2:H$10000,Capital_Investments!$B$2:$B$10000,$A15)</f>
        <v>0</v>
      </c>
      <c r="I15">
        <f>SUMIFS(Capital_Investments!I$2:I$10000,Capital_Investments!$B$2:$B$10000,$A15)</f>
        <v>0</v>
      </c>
      <c r="J15">
        <f>SUMIFS(Capital_Investments!J$2:J$10000,Capital_Investments!$B$2:$B$10000,$A15)</f>
        <v>0</v>
      </c>
      <c r="K15">
        <f>SUMIFS(Capital_Investments!K$2:K$10000,Capital_Investments!$B$2:$B$10000,$A15)</f>
        <v>0</v>
      </c>
      <c r="L15">
        <f>SUMIFS(Capital_Investments!L$2:L$10000,Capital_Investments!$B$2:$B$10000,$A15)</f>
        <v>0</v>
      </c>
      <c r="M15">
        <f>SUMIFS(Capital_Investments!M$2:M$10000,Capital_Investments!$B$2:$B$10000,$A15)</f>
        <v>0</v>
      </c>
      <c r="N15">
        <f>SUMIFS(Capital_Investments!N$2:N$10000,Capital_Investments!$B$2:$B$10000,$A15)</f>
        <v>0</v>
      </c>
      <c r="O15">
        <f>SUMIFS(Capital_Investments!O$2:O$10000,Capital_Investments!$B$2:$B$10000,$A15)</f>
        <v>0</v>
      </c>
      <c r="P15">
        <f>SUMIFS(Capital_Investments!P$2:P$10000,Capital_Investments!$B$2:$B$10000,$A15)</f>
        <v>0</v>
      </c>
      <c r="Q15">
        <f>SUMIFS(Capital_Investments!Q$2:Q$10000,Capital_Investments!$B$2:$B$10000,$A15)</f>
        <v>0</v>
      </c>
      <c r="R15">
        <f>SUMIFS(Capital_Investments!R$2:R$10000,Capital_Investments!$B$2:$B$10000,$A15)</f>
        <v>0</v>
      </c>
      <c r="S15">
        <f>SUMIFS(Capital_Investments!S$2:S$10000,Capital_Investments!$B$2:$B$10000,$A15)</f>
        <v>0</v>
      </c>
      <c r="T15">
        <f>SUMIFS(Capital_Investments!T$2:T$10000,Capital_Investments!$B$2:$B$10000,$A15)</f>
        <v>0</v>
      </c>
      <c r="U15">
        <f>SUMIFS(Capital_Investments!U$2:U$10000,Capital_Investments!$B$2:$B$10000,$A15)</f>
        <v>0</v>
      </c>
      <c r="V15">
        <f>SUMIFS(Capital_Investments!V$2:V$10000,Capital_Investments!$B$2:$B$10000,$A15)</f>
        <v>0</v>
      </c>
      <c r="W15">
        <f>SUMIFS(Capital_Investments!W$2:W$10000,Capital_Investments!$B$2:$B$10000,$A15)</f>
        <v>0</v>
      </c>
      <c r="X15">
        <f>SUMIFS(Capital_Investments!X$2:X$10000,Capital_Investments!$B$2:$B$10000,$A15)</f>
        <v>0</v>
      </c>
      <c r="Y15">
        <f>SUMIFS(Capital_Investments!Y$2:Y$10000,Capital_Investments!$B$2:$B$10000,$A15)</f>
        <v>0</v>
      </c>
      <c r="Z15">
        <f>SUMIFS(Capital_Investments!Z$2:Z$10000,Capital_Investments!$B$2:$B$10000,$A15)</f>
        <v>0</v>
      </c>
      <c r="AA15">
        <f>SUMIFS(Capital_Investments!AA$2:AA$10000,Capital_Investments!$B$2:$B$10000,$A15)</f>
        <v>0</v>
      </c>
      <c r="AB15">
        <f>SUMIFS(Capital_Investments!AB$2:AB$10000,Capital_Investments!$B$2:$B$10000,$A15)</f>
        <v>0</v>
      </c>
      <c r="AC15">
        <f>SUMIFS(Capital_Investments!AC$2:AC$10000,Capital_Investments!$B$2:$B$10000,$A15)</f>
        <v>0</v>
      </c>
      <c r="AD15">
        <f>SUMIFS(Capital_Investments!AD$2:AD$10000,Capital_Investments!$B$2:$B$10000,$A15)</f>
        <v>0</v>
      </c>
      <c r="AE15">
        <f>SUMIFS(Capital_Investments!AE$2:AE$10000,Capital_Investments!$B$2:$B$10000,$A15)</f>
        <v>0</v>
      </c>
      <c r="AF15">
        <f>SUMIFS(Capital_Investments!AF$2:AF$10000,Capital_Investments!$B$2:$B$10000,$A15)</f>
        <v>0</v>
      </c>
      <c r="AG15">
        <f>SUMIFS(Capital_Investments!AG$2:AG$10000,Capital_Investments!$B$2:$B$10000,$A15)</f>
        <v>0</v>
      </c>
    </row>
    <row r="16" spans="1:58">
      <c r="A16" t="s">
        <v>150</v>
      </c>
      <c r="C16">
        <f>SUMIFS(Capital_Investments!C$2:C$10000,Capital_Investments!$B$2:$B$10000,$A16)</f>
        <v>0</v>
      </c>
      <c r="D16">
        <f>SUMIFS(Capital_Investments!D$2:D$10000,Capital_Investments!$B$2:$B$10000,$A16)</f>
        <v>288.55009999999999</v>
      </c>
      <c r="E16">
        <f>SUMIFS(Capital_Investments!E$2:E$10000,Capital_Investments!$B$2:$B$10000,$A16)</f>
        <v>279.3372</v>
      </c>
      <c r="F16">
        <f>SUMIFS(Capital_Investments!F$2:F$10000,Capital_Investments!$B$2:$B$10000,$A16)</f>
        <v>138.0787</v>
      </c>
      <c r="G16">
        <f>SUMIFS(Capital_Investments!G$2:G$10000,Capital_Investments!$B$2:$B$10000,$A16)</f>
        <v>848.31359999999995</v>
      </c>
      <c r="H16">
        <f>SUMIFS(Capital_Investments!H$2:H$10000,Capital_Investments!$B$2:$B$10000,$A16)</f>
        <v>224.32859999999999</v>
      </c>
      <c r="I16">
        <f>SUMIFS(Capital_Investments!I$2:I$10000,Capital_Investments!$B$2:$B$10000,$A16)</f>
        <v>0</v>
      </c>
      <c r="J16">
        <f>SUMIFS(Capital_Investments!J$2:J$10000,Capital_Investments!$B$2:$B$10000,$A16)</f>
        <v>0</v>
      </c>
      <c r="K16">
        <f>SUMIFS(Capital_Investments!K$2:K$10000,Capital_Investments!$B$2:$B$10000,$A16)</f>
        <v>0</v>
      </c>
      <c r="L16">
        <f>SUMIFS(Capital_Investments!L$2:L$10000,Capital_Investments!$B$2:$B$10000,$A16)</f>
        <v>0</v>
      </c>
      <c r="M16">
        <f>SUMIFS(Capital_Investments!M$2:M$10000,Capital_Investments!$B$2:$B$10000,$A16)</f>
        <v>5575.0879000000004</v>
      </c>
      <c r="N16">
        <f>SUMIFS(Capital_Investments!N$2:N$10000,Capital_Investments!$B$2:$B$10000,$A16)</f>
        <v>0</v>
      </c>
      <c r="O16">
        <f>SUMIFS(Capital_Investments!O$2:O$10000,Capital_Investments!$B$2:$B$10000,$A16)</f>
        <v>0</v>
      </c>
      <c r="P16">
        <f>SUMIFS(Capital_Investments!P$2:P$10000,Capital_Investments!$B$2:$B$10000,$A16)</f>
        <v>0</v>
      </c>
      <c r="Q16">
        <f>SUMIFS(Capital_Investments!Q$2:Q$10000,Capital_Investments!$B$2:$B$10000,$A16)</f>
        <v>18.686199999999999</v>
      </c>
      <c r="R16">
        <f>SUMIFS(Capital_Investments!R$2:R$10000,Capital_Investments!$B$2:$B$10000,$A16)</f>
        <v>0</v>
      </c>
      <c r="S16">
        <f>SUMIFS(Capital_Investments!S$2:S$10000,Capital_Investments!$B$2:$B$10000,$A16)</f>
        <v>0</v>
      </c>
      <c r="T16">
        <f>SUMIFS(Capital_Investments!T$2:T$10000,Capital_Investments!$B$2:$B$10000,$A16)</f>
        <v>0</v>
      </c>
      <c r="U16">
        <f>SUMIFS(Capital_Investments!U$2:U$10000,Capital_Investments!$B$2:$B$10000,$A16)</f>
        <v>0</v>
      </c>
      <c r="V16">
        <f>SUMIFS(Capital_Investments!V$2:V$10000,Capital_Investments!$B$2:$B$10000,$A16)</f>
        <v>0</v>
      </c>
      <c r="W16">
        <f>SUMIFS(Capital_Investments!W$2:W$10000,Capital_Investments!$B$2:$B$10000,$A16)</f>
        <v>8131.4795000000004</v>
      </c>
      <c r="X16">
        <f>SUMIFS(Capital_Investments!X$2:X$10000,Capital_Investments!$B$2:$B$10000,$A16)</f>
        <v>695.33389999999997</v>
      </c>
      <c r="Y16">
        <f>SUMIFS(Capital_Investments!Y$2:Y$10000,Capital_Investments!$B$2:$B$10000,$A16)</f>
        <v>726.72540000000004</v>
      </c>
      <c r="Z16">
        <f>SUMIFS(Capital_Investments!Z$2:Z$10000,Capital_Investments!$B$2:$B$10000,$A16)</f>
        <v>710.11699999999996</v>
      </c>
      <c r="AA16">
        <f>SUMIFS(Capital_Investments!AA$2:AA$10000,Capital_Investments!$B$2:$B$10000,$A16)</f>
        <v>704.17280000000005</v>
      </c>
      <c r="AB16">
        <f>SUMIFS(Capital_Investments!AB$2:AB$10000,Capital_Investments!$B$2:$B$10000,$A16)</f>
        <v>737.95690000000002</v>
      </c>
      <c r="AC16">
        <f>SUMIFS(Capital_Investments!AC$2:AC$10000,Capital_Investments!$B$2:$B$10000,$A16)</f>
        <v>961.11500000000001</v>
      </c>
      <c r="AD16">
        <f>SUMIFS(Capital_Investments!AD$2:AD$10000,Capital_Investments!$B$2:$B$10000,$A16)</f>
        <v>722.18320000000006</v>
      </c>
      <c r="AE16">
        <f>SUMIFS(Capital_Investments!AE$2:AE$10000,Capital_Investments!$B$2:$B$10000,$A16)</f>
        <v>1372.8465000000001</v>
      </c>
      <c r="AF16">
        <f>SUMIFS(Capital_Investments!AF$2:AF$10000,Capital_Investments!$B$2:$B$10000,$A16)</f>
        <v>0</v>
      </c>
      <c r="AG16">
        <f>SUMIFS(Capital_Investments!AG$2:AG$10000,Capital_Investments!$B$2:$B$10000,$A16)</f>
        <v>3521.9793</v>
      </c>
    </row>
    <row r="17" spans="1:58">
      <c r="A17" t="s">
        <v>151</v>
      </c>
      <c r="C17">
        <f>SUMIFS(Capital_Investments!C$2:C$10000,Capital_Investments!$B$2:$B$10000,$A17)</f>
        <v>0</v>
      </c>
      <c r="D17">
        <f>SUMIFS(Capital_Investments!D$2:D$10000,Capital_Investments!$B$2:$B$10000,$A17)</f>
        <v>0</v>
      </c>
      <c r="E17">
        <f>SUMIFS(Capital_Investments!E$2:E$10000,Capital_Investments!$B$2:$B$10000,$A17)</f>
        <v>0</v>
      </c>
      <c r="F17">
        <f>SUMIFS(Capital_Investments!F$2:F$10000,Capital_Investments!$B$2:$B$10000,$A17)</f>
        <v>0</v>
      </c>
      <c r="G17">
        <f>SUMIFS(Capital_Investments!G$2:G$10000,Capital_Investments!$B$2:$B$10000,$A17)</f>
        <v>0</v>
      </c>
      <c r="H17">
        <f>SUMIFS(Capital_Investments!H$2:H$10000,Capital_Investments!$B$2:$B$10000,$A17)</f>
        <v>0</v>
      </c>
      <c r="I17">
        <f>SUMIFS(Capital_Investments!I$2:I$10000,Capital_Investments!$B$2:$B$10000,$A17)</f>
        <v>0</v>
      </c>
      <c r="J17">
        <f>SUMIFS(Capital_Investments!J$2:J$10000,Capital_Investments!$B$2:$B$10000,$A17)</f>
        <v>0</v>
      </c>
      <c r="K17">
        <f>SUMIFS(Capital_Investments!K$2:K$10000,Capital_Investments!$B$2:$B$10000,$A17)</f>
        <v>0</v>
      </c>
      <c r="L17">
        <f>SUMIFS(Capital_Investments!L$2:L$10000,Capital_Investments!$B$2:$B$10000,$A17)</f>
        <v>0</v>
      </c>
      <c r="M17">
        <f>SUMIFS(Capital_Investments!M$2:M$10000,Capital_Investments!$B$2:$B$10000,$A17)</f>
        <v>0</v>
      </c>
      <c r="N17">
        <f>SUMIFS(Capital_Investments!N$2:N$10000,Capital_Investments!$B$2:$B$10000,$A17)</f>
        <v>0</v>
      </c>
      <c r="O17">
        <f>SUMIFS(Capital_Investments!O$2:O$10000,Capital_Investments!$B$2:$B$10000,$A17)</f>
        <v>0</v>
      </c>
      <c r="P17">
        <f>SUMIFS(Capital_Investments!P$2:P$10000,Capital_Investments!$B$2:$B$10000,$A17)</f>
        <v>0</v>
      </c>
      <c r="Q17">
        <f>SUMIFS(Capital_Investments!Q$2:Q$10000,Capital_Investments!$B$2:$B$10000,$A17)</f>
        <v>0</v>
      </c>
      <c r="R17">
        <f>SUMIFS(Capital_Investments!R$2:R$10000,Capital_Investments!$B$2:$B$10000,$A17)</f>
        <v>0</v>
      </c>
      <c r="S17">
        <f>SUMIFS(Capital_Investments!S$2:S$10000,Capital_Investments!$B$2:$B$10000,$A17)</f>
        <v>0</v>
      </c>
      <c r="T17">
        <f>SUMIFS(Capital_Investments!T$2:T$10000,Capital_Investments!$B$2:$B$10000,$A17)</f>
        <v>0</v>
      </c>
      <c r="U17">
        <f>SUMIFS(Capital_Investments!U$2:U$10000,Capital_Investments!$B$2:$B$10000,$A17)</f>
        <v>0</v>
      </c>
      <c r="V17">
        <f>SUMIFS(Capital_Investments!V$2:V$10000,Capital_Investments!$B$2:$B$10000,$A17)</f>
        <v>0</v>
      </c>
      <c r="W17">
        <f>SUMIFS(Capital_Investments!W$2:W$10000,Capital_Investments!$B$2:$B$10000,$A17)</f>
        <v>0</v>
      </c>
      <c r="X17">
        <f>SUMIFS(Capital_Investments!X$2:X$10000,Capital_Investments!$B$2:$B$10000,$A17)</f>
        <v>0</v>
      </c>
      <c r="Y17">
        <f>SUMIFS(Capital_Investments!Y$2:Y$10000,Capital_Investments!$B$2:$B$10000,$A17)</f>
        <v>0</v>
      </c>
      <c r="Z17">
        <f>SUMIFS(Capital_Investments!Z$2:Z$10000,Capital_Investments!$B$2:$B$10000,$A17)</f>
        <v>0</v>
      </c>
      <c r="AA17">
        <f>SUMIFS(Capital_Investments!AA$2:AA$10000,Capital_Investments!$B$2:$B$10000,$A17)</f>
        <v>0</v>
      </c>
      <c r="AB17">
        <f>SUMIFS(Capital_Investments!AB$2:AB$10000,Capital_Investments!$B$2:$B$10000,$A17)</f>
        <v>0</v>
      </c>
      <c r="AC17">
        <f>SUMIFS(Capital_Investments!AC$2:AC$10000,Capital_Investments!$B$2:$B$10000,$A17)</f>
        <v>0</v>
      </c>
      <c r="AD17">
        <f>SUMIFS(Capital_Investments!AD$2:AD$10000,Capital_Investments!$B$2:$B$10000,$A17)</f>
        <v>0</v>
      </c>
      <c r="AE17">
        <f>SUMIFS(Capital_Investments!AE$2:AE$10000,Capital_Investments!$B$2:$B$10000,$A17)</f>
        <v>0</v>
      </c>
      <c r="AF17">
        <f>SUMIFS(Capital_Investments!AF$2:AF$10000,Capital_Investments!$B$2:$B$10000,$A17)</f>
        <v>0</v>
      </c>
      <c r="AG17">
        <f>SUMIFS(Capital_Investments!AG$2:AG$10000,Capital_Investments!$B$2:$B$10000,$A17)</f>
        <v>0</v>
      </c>
    </row>
    <row r="18" spans="1:58">
      <c r="A18" t="s">
        <v>152</v>
      </c>
      <c r="C18">
        <f>SUMIFS(Capital_Investments!C$2:C$10000,Capital_Investments!$B$2:$B$10000,$A18)</f>
        <v>357.99759999999998</v>
      </c>
      <c r="D18">
        <f>SUMIFS(Capital_Investments!D$2:D$10000,Capital_Investments!$B$2:$B$10000,$A18)</f>
        <v>225.77699999999999</v>
      </c>
      <c r="E18">
        <f>SUMIFS(Capital_Investments!E$2:E$10000,Capital_Investments!$B$2:$B$10000,$A18)</f>
        <v>0</v>
      </c>
      <c r="F18">
        <f>SUMIFS(Capital_Investments!F$2:F$10000,Capital_Investments!$B$2:$B$10000,$A18)</f>
        <v>33.935299999999998</v>
      </c>
      <c r="G18">
        <f>SUMIFS(Capital_Investments!G$2:G$10000,Capital_Investments!$B$2:$B$10000,$A18)</f>
        <v>0</v>
      </c>
      <c r="H18">
        <f>SUMIFS(Capital_Investments!H$2:H$10000,Capital_Investments!$B$2:$B$10000,$A18)</f>
        <v>0</v>
      </c>
      <c r="I18">
        <f>SUMIFS(Capital_Investments!I$2:I$10000,Capital_Investments!$B$2:$B$10000,$A18)</f>
        <v>0</v>
      </c>
      <c r="J18">
        <f>SUMIFS(Capital_Investments!J$2:J$10000,Capital_Investments!$B$2:$B$10000,$A18)</f>
        <v>0</v>
      </c>
      <c r="K18">
        <f>SUMIFS(Capital_Investments!K$2:K$10000,Capital_Investments!$B$2:$B$10000,$A18)</f>
        <v>0</v>
      </c>
      <c r="L18">
        <f>SUMIFS(Capital_Investments!L$2:L$10000,Capital_Investments!$B$2:$B$10000,$A18)</f>
        <v>0</v>
      </c>
      <c r="M18">
        <f>SUMIFS(Capital_Investments!M$2:M$10000,Capital_Investments!$B$2:$B$10000,$A18)</f>
        <v>0</v>
      </c>
      <c r="N18">
        <f>SUMIFS(Capital_Investments!N$2:N$10000,Capital_Investments!$B$2:$B$10000,$A18)</f>
        <v>0</v>
      </c>
      <c r="O18">
        <f>SUMIFS(Capital_Investments!O$2:O$10000,Capital_Investments!$B$2:$B$10000,$A18)</f>
        <v>0</v>
      </c>
      <c r="P18">
        <f>SUMIFS(Capital_Investments!P$2:P$10000,Capital_Investments!$B$2:$B$10000,$A18)</f>
        <v>0</v>
      </c>
      <c r="Q18">
        <f>SUMIFS(Capital_Investments!Q$2:Q$10000,Capital_Investments!$B$2:$B$10000,$A18)</f>
        <v>0</v>
      </c>
      <c r="R18">
        <f>SUMIFS(Capital_Investments!R$2:R$10000,Capital_Investments!$B$2:$B$10000,$A18)</f>
        <v>0</v>
      </c>
      <c r="S18">
        <f>SUMIFS(Capital_Investments!S$2:S$10000,Capital_Investments!$B$2:$B$10000,$A18)</f>
        <v>0</v>
      </c>
      <c r="T18">
        <f>SUMIFS(Capital_Investments!T$2:T$10000,Capital_Investments!$B$2:$B$10000,$A18)</f>
        <v>0</v>
      </c>
      <c r="U18">
        <f>SUMIFS(Capital_Investments!U$2:U$10000,Capital_Investments!$B$2:$B$10000,$A18)</f>
        <v>0</v>
      </c>
      <c r="V18">
        <f>SUMIFS(Capital_Investments!V$2:V$10000,Capital_Investments!$B$2:$B$10000,$A18)</f>
        <v>0</v>
      </c>
      <c r="W18">
        <f>SUMIFS(Capital_Investments!W$2:W$10000,Capital_Investments!$B$2:$B$10000,$A18)</f>
        <v>0</v>
      </c>
      <c r="X18">
        <f>SUMIFS(Capital_Investments!X$2:X$10000,Capital_Investments!$B$2:$B$10000,$A18)</f>
        <v>0</v>
      </c>
      <c r="Y18">
        <f>SUMIFS(Capital_Investments!Y$2:Y$10000,Capital_Investments!$B$2:$B$10000,$A18)</f>
        <v>0</v>
      </c>
      <c r="Z18">
        <f>SUMIFS(Capital_Investments!Z$2:Z$10000,Capital_Investments!$B$2:$B$10000,$A18)</f>
        <v>0</v>
      </c>
      <c r="AA18">
        <f>SUMIFS(Capital_Investments!AA$2:AA$10000,Capital_Investments!$B$2:$B$10000,$A18)</f>
        <v>0</v>
      </c>
      <c r="AB18">
        <f>SUMIFS(Capital_Investments!AB$2:AB$10000,Capital_Investments!$B$2:$B$10000,$A18)</f>
        <v>0</v>
      </c>
      <c r="AC18">
        <f>SUMIFS(Capital_Investments!AC$2:AC$10000,Capital_Investments!$B$2:$B$10000,$A18)</f>
        <v>0</v>
      </c>
      <c r="AD18">
        <f>SUMIFS(Capital_Investments!AD$2:AD$10000,Capital_Investments!$B$2:$B$10000,$A18)</f>
        <v>0</v>
      </c>
      <c r="AE18">
        <f>SUMIFS(Capital_Investments!AE$2:AE$10000,Capital_Investments!$B$2:$B$10000,$A18)</f>
        <v>0</v>
      </c>
      <c r="AF18">
        <f>SUMIFS(Capital_Investments!AF$2:AF$10000,Capital_Investments!$B$2:$B$10000,$A18)</f>
        <v>0</v>
      </c>
      <c r="AG18">
        <f>SUMIFS(Capital_Investments!AG$2:AG$10000,Capital_Investments!$B$2:$B$10000,$A18)</f>
        <v>0</v>
      </c>
    </row>
    <row r="19" spans="1:58">
      <c r="A19" t="s">
        <v>135</v>
      </c>
      <c r="C19">
        <f>SUMIFS(Capital_Investments!C$2:C$10000,Capital_Investments!$B$2:$B$10000,$A19)</f>
        <v>0</v>
      </c>
      <c r="D19">
        <f>SUMIFS(Capital_Investments!D$2:D$10000,Capital_Investments!$B$2:$B$10000,$A19)</f>
        <v>233.74</v>
      </c>
      <c r="E19">
        <f>SUMIFS(Capital_Investments!E$2:E$10000,Capital_Investments!$B$2:$B$10000,$A19)</f>
        <v>126.49</v>
      </c>
      <c r="F19">
        <f>SUMIFS(Capital_Investments!F$2:F$10000,Capital_Investments!$B$2:$B$10000,$A19)</f>
        <v>0</v>
      </c>
      <c r="G19">
        <f>SUMIFS(Capital_Investments!G$2:G$10000,Capital_Investments!$B$2:$B$10000,$A19)</f>
        <v>14.56</v>
      </c>
      <c r="H19">
        <f>SUMIFS(Capital_Investments!H$2:H$10000,Capital_Investments!$B$2:$B$10000,$A19)</f>
        <v>0</v>
      </c>
      <c r="I19">
        <f>SUMIFS(Capital_Investments!I$2:I$10000,Capital_Investments!$B$2:$B$10000,$A19)</f>
        <v>0</v>
      </c>
      <c r="J19">
        <f>SUMIFS(Capital_Investments!J$2:J$10000,Capital_Investments!$B$2:$B$10000,$A19)</f>
        <v>0</v>
      </c>
      <c r="K19">
        <f>SUMIFS(Capital_Investments!K$2:K$10000,Capital_Investments!$B$2:$B$10000,$A19)</f>
        <v>0</v>
      </c>
      <c r="L19">
        <f>SUMIFS(Capital_Investments!L$2:L$10000,Capital_Investments!$B$2:$B$10000,$A19)</f>
        <v>0</v>
      </c>
      <c r="M19">
        <f>SUMIFS(Capital_Investments!M$2:M$10000,Capital_Investments!$B$2:$B$10000,$A19)</f>
        <v>0</v>
      </c>
      <c r="N19">
        <f>SUMIFS(Capital_Investments!N$2:N$10000,Capital_Investments!$B$2:$B$10000,$A19)</f>
        <v>0</v>
      </c>
      <c r="O19">
        <f>SUMIFS(Capital_Investments!O$2:O$10000,Capital_Investments!$B$2:$B$10000,$A19)</f>
        <v>0</v>
      </c>
      <c r="P19">
        <f>SUMIFS(Capital_Investments!P$2:P$10000,Capital_Investments!$B$2:$B$10000,$A19)</f>
        <v>0</v>
      </c>
      <c r="Q19">
        <f>SUMIFS(Capital_Investments!Q$2:Q$10000,Capital_Investments!$B$2:$B$10000,$A19)</f>
        <v>0</v>
      </c>
      <c r="R19">
        <f>SUMIFS(Capital_Investments!R$2:R$10000,Capital_Investments!$B$2:$B$10000,$A19)</f>
        <v>0</v>
      </c>
      <c r="S19">
        <f>SUMIFS(Capital_Investments!S$2:S$10000,Capital_Investments!$B$2:$B$10000,$A19)</f>
        <v>0</v>
      </c>
      <c r="T19">
        <f>SUMIFS(Capital_Investments!T$2:T$10000,Capital_Investments!$B$2:$B$10000,$A19)</f>
        <v>0</v>
      </c>
      <c r="U19">
        <f>SUMIFS(Capital_Investments!U$2:U$10000,Capital_Investments!$B$2:$B$10000,$A19)</f>
        <v>0</v>
      </c>
      <c r="V19">
        <f>SUMIFS(Capital_Investments!V$2:V$10000,Capital_Investments!$B$2:$B$10000,$A19)</f>
        <v>0</v>
      </c>
      <c r="W19">
        <f>SUMIFS(Capital_Investments!W$2:W$10000,Capital_Investments!$B$2:$B$10000,$A19)</f>
        <v>0</v>
      </c>
      <c r="X19">
        <f>SUMIFS(Capital_Investments!X$2:X$10000,Capital_Investments!$B$2:$B$10000,$A19)</f>
        <v>0</v>
      </c>
      <c r="Y19">
        <f>SUMIFS(Capital_Investments!Y$2:Y$10000,Capital_Investments!$B$2:$B$10000,$A19)</f>
        <v>0</v>
      </c>
      <c r="Z19">
        <f>SUMIFS(Capital_Investments!Z$2:Z$10000,Capital_Investments!$B$2:$B$10000,$A19)</f>
        <v>0</v>
      </c>
      <c r="AA19">
        <f>SUMIFS(Capital_Investments!AA$2:AA$10000,Capital_Investments!$B$2:$B$10000,$A19)</f>
        <v>0</v>
      </c>
      <c r="AB19">
        <f>SUMIFS(Capital_Investments!AB$2:AB$10000,Capital_Investments!$B$2:$B$10000,$A19)</f>
        <v>0</v>
      </c>
      <c r="AC19">
        <f>SUMIFS(Capital_Investments!AC$2:AC$10000,Capital_Investments!$B$2:$B$10000,$A19)</f>
        <v>0</v>
      </c>
      <c r="AD19">
        <f>SUMIFS(Capital_Investments!AD$2:AD$10000,Capital_Investments!$B$2:$B$10000,$A19)</f>
        <v>0</v>
      </c>
      <c r="AE19">
        <f>SUMIFS(Capital_Investments!AE$2:AE$10000,Capital_Investments!$B$2:$B$10000,$A19)</f>
        <v>0</v>
      </c>
      <c r="AF19">
        <f>SUMIFS(Capital_Investments!AF$2:AF$10000,Capital_Investments!$B$2:$B$10000,$A19)</f>
        <v>0</v>
      </c>
      <c r="AG19">
        <f>SUMIFS(Capital_Investments!AG$2:AG$10000,Capital_Investments!$B$2:$B$10000,$A19)</f>
        <v>0</v>
      </c>
    </row>
    <row r="20" spans="1:58">
      <c r="A20" t="s">
        <v>134</v>
      </c>
      <c r="C20">
        <f>SUMIFS(Capital_Investments!C$2:C$10000,Capital_Investments!$B$2:$B$10000,$A20)</f>
        <v>0</v>
      </c>
      <c r="D20">
        <f>SUMIFS(Capital_Investments!D$2:D$10000,Capital_Investments!$B$2:$B$10000,$A20)</f>
        <v>0</v>
      </c>
      <c r="E20">
        <f>SUMIFS(Capital_Investments!E$2:E$10000,Capital_Investments!$B$2:$B$10000,$A20)</f>
        <v>0</v>
      </c>
      <c r="F20">
        <f>SUMIFS(Capital_Investments!F$2:F$10000,Capital_Investments!$B$2:$B$10000,$A20)</f>
        <v>0</v>
      </c>
      <c r="G20">
        <f>SUMIFS(Capital_Investments!G$2:G$10000,Capital_Investments!$B$2:$B$10000,$A20)</f>
        <v>0</v>
      </c>
      <c r="H20">
        <f>SUMIFS(Capital_Investments!H$2:H$10000,Capital_Investments!$B$2:$B$10000,$A20)</f>
        <v>0</v>
      </c>
      <c r="I20">
        <f>SUMIFS(Capital_Investments!I$2:I$10000,Capital_Investments!$B$2:$B$10000,$A20)</f>
        <v>0</v>
      </c>
      <c r="J20">
        <f>SUMIFS(Capital_Investments!J$2:J$10000,Capital_Investments!$B$2:$B$10000,$A20)</f>
        <v>0</v>
      </c>
      <c r="K20">
        <f>SUMIFS(Capital_Investments!K$2:K$10000,Capital_Investments!$B$2:$B$10000,$A20)</f>
        <v>0</v>
      </c>
      <c r="L20">
        <f>SUMIFS(Capital_Investments!L$2:L$10000,Capital_Investments!$B$2:$B$10000,$A20)</f>
        <v>0</v>
      </c>
      <c r="M20">
        <f>SUMIFS(Capital_Investments!M$2:M$10000,Capital_Investments!$B$2:$B$10000,$A20)</f>
        <v>0</v>
      </c>
      <c r="N20">
        <f>SUMIFS(Capital_Investments!N$2:N$10000,Capital_Investments!$B$2:$B$10000,$A20)</f>
        <v>0</v>
      </c>
      <c r="O20">
        <f>SUMIFS(Capital_Investments!O$2:O$10000,Capital_Investments!$B$2:$B$10000,$A20)</f>
        <v>0</v>
      </c>
      <c r="P20">
        <f>SUMIFS(Capital_Investments!P$2:P$10000,Capital_Investments!$B$2:$B$10000,$A20)</f>
        <v>0</v>
      </c>
      <c r="Q20">
        <f>SUMIFS(Capital_Investments!Q$2:Q$10000,Capital_Investments!$B$2:$B$10000,$A20)</f>
        <v>0</v>
      </c>
      <c r="R20">
        <f>SUMIFS(Capital_Investments!R$2:R$10000,Capital_Investments!$B$2:$B$10000,$A20)</f>
        <v>0</v>
      </c>
      <c r="S20">
        <f>SUMIFS(Capital_Investments!S$2:S$10000,Capital_Investments!$B$2:$B$10000,$A20)</f>
        <v>0</v>
      </c>
      <c r="T20">
        <f>SUMIFS(Capital_Investments!T$2:T$10000,Capital_Investments!$B$2:$B$10000,$A20)</f>
        <v>0</v>
      </c>
      <c r="U20">
        <f>SUMIFS(Capital_Investments!U$2:U$10000,Capital_Investments!$B$2:$B$10000,$A20)</f>
        <v>0</v>
      </c>
      <c r="V20">
        <f>SUMIFS(Capital_Investments!V$2:V$10000,Capital_Investments!$B$2:$B$10000,$A20)</f>
        <v>0</v>
      </c>
      <c r="W20">
        <f>SUMIFS(Capital_Investments!W$2:W$10000,Capital_Investments!$B$2:$B$10000,$A20)</f>
        <v>0</v>
      </c>
      <c r="X20">
        <f>SUMIFS(Capital_Investments!X$2:X$10000,Capital_Investments!$B$2:$B$10000,$A20)</f>
        <v>0</v>
      </c>
      <c r="Y20">
        <f>SUMIFS(Capital_Investments!Y$2:Y$10000,Capital_Investments!$B$2:$B$10000,$A20)</f>
        <v>0</v>
      </c>
      <c r="Z20">
        <f>SUMIFS(Capital_Investments!Z$2:Z$10000,Capital_Investments!$B$2:$B$10000,$A20)</f>
        <v>0</v>
      </c>
      <c r="AA20">
        <f>SUMIFS(Capital_Investments!AA$2:AA$10000,Capital_Investments!$B$2:$B$10000,$A20)</f>
        <v>0</v>
      </c>
      <c r="AB20">
        <f>SUMIFS(Capital_Investments!AB$2:AB$10000,Capital_Investments!$B$2:$B$10000,$A20)</f>
        <v>0</v>
      </c>
      <c r="AC20">
        <f>SUMIFS(Capital_Investments!AC$2:AC$10000,Capital_Investments!$B$2:$B$10000,$A20)</f>
        <v>0</v>
      </c>
      <c r="AD20">
        <f>SUMIFS(Capital_Investments!AD$2:AD$10000,Capital_Investments!$B$2:$B$10000,$A20)</f>
        <v>0</v>
      </c>
      <c r="AE20">
        <f>SUMIFS(Capital_Investments!AE$2:AE$10000,Capital_Investments!$B$2:$B$10000,$A20)</f>
        <v>0</v>
      </c>
      <c r="AF20">
        <f>SUMIFS(Capital_Investments!AF$2:AF$10000,Capital_Investments!$B$2:$B$10000,$A20)</f>
        <v>0</v>
      </c>
      <c r="AG20">
        <f>SUMIFS(Capital_Investments!AG$2:AG$10000,Capital_Investments!$B$2:$B$10000,$A20)</f>
        <v>0</v>
      </c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>
      <c r="A21" s="43" t="s">
        <v>154</v>
      </c>
      <c r="C21">
        <f>SUMIFS(Capital_Investments!C$2:C$10000,Capital_Investments!$B$2:$B$10000,$A21)</f>
        <v>0</v>
      </c>
      <c r="D21">
        <f>SUMIFS(Capital_Investments!D$2:D$10000,Capital_Investments!$B$2:$B$10000,$A21)</f>
        <v>0</v>
      </c>
      <c r="E21">
        <f>SUMIFS(Capital_Investments!E$2:E$10000,Capital_Investments!$B$2:$B$10000,$A21)</f>
        <v>0</v>
      </c>
      <c r="F21">
        <f>SUMIFS(Capital_Investments!F$2:F$10000,Capital_Investments!$B$2:$B$10000,$A21)</f>
        <v>0</v>
      </c>
      <c r="G21">
        <f>SUMIFS(Capital_Investments!G$2:G$10000,Capital_Investments!$B$2:$B$10000,$A21)</f>
        <v>0</v>
      </c>
      <c r="H21">
        <f>SUMIFS(Capital_Investments!H$2:H$10000,Capital_Investments!$B$2:$B$10000,$A21)</f>
        <v>459.69720000000001</v>
      </c>
      <c r="I21">
        <f>SUMIFS(Capital_Investments!I$2:I$10000,Capital_Investments!$B$2:$B$10000,$A21)</f>
        <v>1316.7722000000001</v>
      </c>
      <c r="J21">
        <f>SUMIFS(Capital_Investments!J$2:J$10000,Capital_Investments!$B$2:$B$10000,$A21)</f>
        <v>1316.7722000000001</v>
      </c>
      <c r="K21">
        <f>SUMIFS(Capital_Investments!K$2:K$10000,Capital_Investments!$B$2:$B$10000,$A21)</f>
        <v>1316.7722000000001</v>
      </c>
      <c r="L21">
        <f>SUMIFS(Capital_Investments!L$2:L$10000,Capital_Investments!$B$2:$B$10000,$A21)</f>
        <v>1316.7722000000001</v>
      </c>
      <c r="M21">
        <f>SUMIFS(Capital_Investments!M$2:M$10000,Capital_Investments!$B$2:$B$10000,$A21)</f>
        <v>1316.7722000000001</v>
      </c>
      <c r="N21">
        <f>SUMIFS(Capital_Investments!N$2:N$10000,Capital_Investments!$B$2:$B$10000,$A21)</f>
        <v>1573.5395000000001</v>
      </c>
      <c r="O21">
        <f>SUMIFS(Capital_Investments!O$2:O$10000,Capital_Investments!$B$2:$B$10000,$A21)</f>
        <v>1573.5395000000001</v>
      </c>
      <c r="P21">
        <f>SUMIFS(Capital_Investments!P$2:P$10000,Capital_Investments!$B$2:$B$10000,$A21)</f>
        <v>1573.5395000000001</v>
      </c>
      <c r="Q21">
        <f>SUMIFS(Capital_Investments!Q$2:Q$10000,Capital_Investments!$B$2:$B$10000,$A21)</f>
        <v>1573.5395000000001</v>
      </c>
      <c r="R21">
        <f>SUMIFS(Capital_Investments!R$2:R$10000,Capital_Investments!$B$2:$B$10000,$A21)</f>
        <v>1573.5395000000001</v>
      </c>
      <c r="S21">
        <f>SUMIFS(Capital_Investments!S$2:S$10000,Capital_Investments!$B$2:$B$10000,$A21)</f>
        <v>1910.8798999999999</v>
      </c>
      <c r="T21">
        <f>SUMIFS(Capital_Investments!T$2:T$10000,Capital_Investments!$B$2:$B$10000,$A21)</f>
        <v>1910.8798999999999</v>
      </c>
      <c r="U21">
        <f>SUMIFS(Capital_Investments!U$2:U$10000,Capital_Investments!$B$2:$B$10000,$A21)</f>
        <v>1910.8798999999999</v>
      </c>
      <c r="V21">
        <f>SUMIFS(Capital_Investments!V$2:V$10000,Capital_Investments!$B$2:$B$10000,$A21)</f>
        <v>1910.8798999999999</v>
      </c>
      <c r="W21">
        <f>SUMIFS(Capital_Investments!W$2:W$10000,Capital_Investments!$B$2:$B$10000,$A21)</f>
        <v>1910.8798999999999</v>
      </c>
      <c r="X21">
        <f>SUMIFS(Capital_Investments!X$2:X$10000,Capital_Investments!$B$2:$B$10000,$A21)</f>
        <v>1921.3886</v>
      </c>
      <c r="Y21">
        <f>SUMIFS(Capital_Investments!Y$2:Y$10000,Capital_Investments!$B$2:$B$10000,$A21)</f>
        <v>2075.5421999999999</v>
      </c>
      <c r="Z21">
        <f>SUMIFS(Capital_Investments!Z$2:Z$10000,Capital_Investments!$B$2:$B$10000,$A21)</f>
        <v>2080.1632</v>
      </c>
      <c r="AA21">
        <f>SUMIFS(Capital_Investments!AA$2:AA$10000,Capital_Investments!$B$2:$B$10000,$A21)</f>
        <v>2084.5023999999999</v>
      </c>
      <c r="AB21">
        <f>SUMIFS(Capital_Investments!AB$2:AB$10000,Capital_Investments!$B$2:$B$10000,$A21)</f>
        <v>2088.5700000000002</v>
      </c>
      <c r="AC21">
        <f>SUMIFS(Capital_Investments!AC$2:AC$10000,Capital_Investments!$B$2:$B$10000,$A21)</f>
        <v>2163.3755000000001</v>
      </c>
      <c r="AD21">
        <f>SUMIFS(Capital_Investments!AD$2:AD$10000,Capital_Investments!$B$2:$B$10000,$A21)</f>
        <v>2166.6012999999998</v>
      </c>
      <c r="AE21">
        <f>SUMIFS(Capital_Investments!AE$2:AE$10000,Capital_Investments!$B$2:$B$10000,$A21)</f>
        <v>2169.6396</v>
      </c>
      <c r="AF21">
        <f>SUMIFS(Capital_Investments!AF$2:AF$10000,Capital_Investments!$B$2:$B$10000,$A21)</f>
        <v>2172.4953999999998</v>
      </c>
      <c r="AG21">
        <f>SUMIFS(Capital_Investments!AG$2:AG$10000,Capital_Investments!$B$2:$B$10000,$A21)</f>
        <v>3100.4506000000001</v>
      </c>
    </row>
    <row r="22" spans="1:58">
      <c r="A22" t="s">
        <v>267</v>
      </c>
      <c r="C22" s="27">
        <f>SUM(C4:C21)</f>
        <v>4747.9519999999993</v>
      </c>
      <c r="D22" s="27">
        <f t="shared" ref="D22:AG22" si="0">SUM(D4:D21)</f>
        <v>10006.782999999999</v>
      </c>
      <c r="E22" s="27">
        <f t="shared" si="0"/>
        <v>2531.4871999999996</v>
      </c>
      <c r="F22" s="27">
        <f t="shared" si="0"/>
        <v>1576.1906000000001</v>
      </c>
      <c r="G22" s="27">
        <f t="shared" si="0"/>
        <v>2362.6024999999995</v>
      </c>
      <c r="H22" s="27">
        <f t="shared" si="0"/>
        <v>1897.1058</v>
      </c>
      <c r="I22" s="27">
        <f t="shared" si="0"/>
        <v>4985.6172999999999</v>
      </c>
      <c r="J22" s="27">
        <f t="shared" si="0"/>
        <v>5011.8833999999997</v>
      </c>
      <c r="K22" s="27">
        <f t="shared" si="0"/>
        <v>5102.9128000000001</v>
      </c>
      <c r="L22" s="27">
        <f t="shared" si="0"/>
        <v>2170.4248000000002</v>
      </c>
      <c r="M22" s="27">
        <f t="shared" si="0"/>
        <v>6891.8601000000008</v>
      </c>
      <c r="N22" s="27">
        <f t="shared" si="0"/>
        <v>3473.8807999999999</v>
      </c>
      <c r="O22" s="27">
        <f t="shared" si="0"/>
        <v>8442.1131999999998</v>
      </c>
      <c r="P22" s="27">
        <f t="shared" si="0"/>
        <v>4607.5132000000003</v>
      </c>
      <c r="Q22" s="27">
        <f t="shared" si="0"/>
        <v>4010.1994000000004</v>
      </c>
      <c r="R22" s="27">
        <f t="shared" si="0"/>
        <v>3991.5132000000003</v>
      </c>
      <c r="S22" s="27">
        <f t="shared" si="0"/>
        <v>7005.4264999999996</v>
      </c>
      <c r="T22" s="27">
        <f t="shared" si="0"/>
        <v>7532.1064999999999</v>
      </c>
      <c r="U22" s="27">
        <f t="shared" si="0"/>
        <v>6363.2295999999997</v>
      </c>
      <c r="V22" s="27">
        <f t="shared" si="0"/>
        <v>7083.7953999999991</v>
      </c>
      <c r="W22" s="27">
        <f t="shared" si="0"/>
        <v>11787.9166</v>
      </c>
      <c r="X22" s="27">
        <f t="shared" si="0"/>
        <v>4767.3489</v>
      </c>
      <c r="Y22" s="27">
        <f t="shared" si="0"/>
        <v>5696.3827000000001</v>
      </c>
      <c r="Z22" s="27">
        <f t="shared" si="0"/>
        <v>5671.1750000000002</v>
      </c>
      <c r="AA22" s="27">
        <f t="shared" si="0"/>
        <v>5753.4757000000009</v>
      </c>
      <c r="AB22" s="27">
        <f t="shared" si="0"/>
        <v>5890.0797000000002</v>
      </c>
      <c r="AC22" s="27">
        <f t="shared" si="0"/>
        <v>9177.2114000000001</v>
      </c>
      <c r="AD22" s="27">
        <f t="shared" si="0"/>
        <v>7671.1197000000011</v>
      </c>
      <c r="AE22" s="27">
        <f t="shared" si="0"/>
        <v>6518.9141999999993</v>
      </c>
      <c r="AF22" s="27">
        <f t="shared" si="0"/>
        <v>5327.43</v>
      </c>
      <c r="AG22" s="27">
        <f t="shared" si="0"/>
        <v>10786.7513</v>
      </c>
    </row>
    <row r="23" spans="1:58" ht="15" thickBot="1"/>
    <row r="24" spans="1:58" ht="15" thickBot="1">
      <c r="A24" s="3" t="s">
        <v>16</v>
      </c>
      <c r="C24" s="22">
        <v>2020</v>
      </c>
      <c r="D24" s="22">
        <v>2021</v>
      </c>
      <c r="E24" s="22">
        <v>2022</v>
      </c>
      <c r="F24" s="22">
        <v>2023</v>
      </c>
      <c r="G24" s="22">
        <v>2024</v>
      </c>
      <c r="H24" s="22">
        <v>2025</v>
      </c>
      <c r="I24" s="22">
        <v>2026</v>
      </c>
      <c r="J24" s="22">
        <v>2027</v>
      </c>
      <c r="K24" s="22">
        <v>2028</v>
      </c>
      <c r="L24" s="22">
        <v>2029</v>
      </c>
      <c r="M24" s="22">
        <v>2030</v>
      </c>
      <c r="N24" s="22">
        <v>2031</v>
      </c>
      <c r="O24" s="22">
        <v>2032</v>
      </c>
      <c r="P24" s="22">
        <v>2033</v>
      </c>
      <c r="Q24" s="22">
        <v>2034</v>
      </c>
      <c r="R24" s="22">
        <v>2035</v>
      </c>
      <c r="S24" s="22">
        <v>2036</v>
      </c>
      <c r="T24" s="22">
        <v>2037</v>
      </c>
      <c r="U24" s="22">
        <v>2038</v>
      </c>
      <c r="V24" s="22">
        <v>2039</v>
      </c>
      <c r="W24" s="22">
        <v>2040</v>
      </c>
      <c r="X24" s="22">
        <v>2041</v>
      </c>
      <c r="Y24" s="22">
        <v>2042</v>
      </c>
      <c r="Z24" s="22">
        <v>2043</v>
      </c>
      <c r="AA24" s="22">
        <v>2044</v>
      </c>
      <c r="AB24" s="22">
        <v>2045</v>
      </c>
      <c r="AC24" s="22">
        <v>2046</v>
      </c>
      <c r="AD24" s="22">
        <v>2047</v>
      </c>
      <c r="AE24" s="22">
        <v>2048</v>
      </c>
      <c r="AF24" s="22">
        <v>2049</v>
      </c>
      <c r="AG24" s="22">
        <v>2050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>
      <c r="A25" t="s">
        <v>132</v>
      </c>
      <c r="C25">
        <f>SUMIFS(Annualized_Investments!C$2:C$9989,Annualized_Investments!$B$2:$B$9989,$A25)</f>
        <v>0</v>
      </c>
      <c r="D25">
        <f>SUMIFS(Annualized_Investments!D$2:D$9989,Annualized_Investments!$B$2:$B$9989,$A25)</f>
        <v>0</v>
      </c>
      <c r="E25">
        <f>SUMIFS(Annualized_Investments!E$2:E$9989,Annualized_Investments!$B$2:$B$9989,$A25)</f>
        <v>20.480610924099999</v>
      </c>
      <c r="F25">
        <f>SUMIFS(Annualized_Investments!F$2:F$9989,Annualized_Investments!$B$2:$B$9989,$A25)</f>
        <v>21.979192211200001</v>
      </c>
      <c r="G25">
        <f>SUMIFS(Annualized_Investments!G$2:G$9989,Annualized_Investments!$B$2:$B$9989,$A25)</f>
        <v>24.451851334899999</v>
      </c>
      <c r="H25">
        <f>SUMIFS(Annualized_Investments!H$2:H$9989,Annualized_Investments!$B$2:$B$9989,$A25)</f>
        <v>24.451851334899999</v>
      </c>
      <c r="I25">
        <f>SUMIFS(Annualized_Investments!I$2:I$9989,Annualized_Investments!$B$2:$B$9989,$A25)</f>
        <v>24.451851334899999</v>
      </c>
      <c r="J25">
        <f>SUMIFS(Annualized_Investments!J$2:J$9989,Annualized_Investments!$B$2:$B$9989,$A25)</f>
        <v>24.451851334899999</v>
      </c>
      <c r="K25">
        <f>SUMIFS(Annualized_Investments!K$2:K$9989,Annualized_Investments!$B$2:$B$9989,$A25)</f>
        <v>24.451851334899999</v>
      </c>
      <c r="L25">
        <f>SUMIFS(Annualized_Investments!L$2:L$9989,Annualized_Investments!$B$2:$B$9989,$A25)</f>
        <v>24.451851334899999</v>
      </c>
      <c r="M25">
        <f>SUMIFS(Annualized_Investments!M$2:M$9989,Annualized_Investments!$B$2:$B$9989,$A25)</f>
        <v>24.451851334899999</v>
      </c>
      <c r="N25">
        <f>SUMIFS(Annualized_Investments!N$2:N$9989,Annualized_Investments!$B$2:$B$9989,$A25)</f>
        <v>24.451851334899999</v>
      </c>
      <c r="O25">
        <f>SUMIFS(Annualized_Investments!O$2:O$9989,Annualized_Investments!$B$2:$B$9989,$A25)</f>
        <v>24.451851334899999</v>
      </c>
      <c r="P25">
        <f>SUMIFS(Annualized_Investments!P$2:P$9989,Annualized_Investments!$B$2:$B$9989,$A25)</f>
        <v>24.451851334899999</v>
      </c>
      <c r="Q25">
        <f>SUMIFS(Annualized_Investments!Q$2:Q$9989,Annualized_Investments!$B$2:$B$9989,$A25)</f>
        <v>24.451851334899999</v>
      </c>
      <c r="R25">
        <f>SUMIFS(Annualized_Investments!R$2:R$9989,Annualized_Investments!$B$2:$B$9989,$A25)</f>
        <v>24.451851334899999</v>
      </c>
      <c r="S25">
        <f>SUMIFS(Annualized_Investments!S$2:S$9989,Annualized_Investments!$B$2:$B$9989,$A25)</f>
        <v>24.451851334899999</v>
      </c>
      <c r="T25">
        <f>SUMIFS(Annualized_Investments!T$2:T$9989,Annualized_Investments!$B$2:$B$9989,$A25)</f>
        <v>24.451851334899999</v>
      </c>
      <c r="U25">
        <f>SUMIFS(Annualized_Investments!U$2:U$9989,Annualized_Investments!$B$2:$B$9989,$A25)</f>
        <v>24.451851334899999</v>
      </c>
      <c r="V25">
        <f>SUMIFS(Annualized_Investments!V$2:V$9989,Annualized_Investments!$B$2:$B$9989,$A25)</f>
        <v>24.451851334899999</v>
      </c>
      <c r="W25">
        <f>SUMIFS(Annualized_Investments!W$2:W$9989,Annualized_Investments!$B$2:$B$9989,$A25)</f>
        <v>24.451851334899999</v>
      </c>
      <c r="X25">
        <f>SUMIFS(Annualized_Investments!X$2:X$9989,Annualized_Investments!$B$2:$B$9989,$A25)</f>
        <v>24.451851334899999</v>
      </c>
      <c r="Y25">
        <f>SUMIFS(Annualized_Investments!Y$2:Y$9989,Annualized_Investments!$B$2:$B$9989,$A25)</f>
        <v>24.451851334899999</v>
      </c>
      <c r="Z25">
        <f>SUMIFS(Annualized_Investments!Z$2:Z$9989,Annualized_Investments!$B$2:$B$9989,$A25)</f>
        <v>24.451851334899999</v>
      </c>
      <c r="AA25">
        <f>SUMIFS(Annualized_Investments!AA$2:AA$9989,Annualized_Investments!$B$2:$B$9989,$A25)</f>
        <v>24.451851334899999</v>
      </c>
      <c r="AB25">
        <f>SUMIFS(Annualized_Investments!AB$2:AB$9989,Annualized_Investments!$B$2:$B$9989,$A25)</f>
        <v>24.451851334899999</v>
      </c>
      <c r="AC25">
        <f>SUMIFS(Annualized_Investments!AC$2:AC$9989,Annualized_Investments!$B$2:$B$9989,$A25)</f>
        <v>24.451851334899999</v>
      </c>
      <c r="AD25">
        <f>SUMIFS(Annualized_Investments!AD$2:AD$9989,Annualized_Investments!$B$2:$B$9989,$A25)</f>
        <v>24.451851334899999</v>
      </c>
      <c r="AE25">
        <f>SUMIFS(Annualized_Investments!AE$2:AE$9989,Annualized_Investments!$B$2:$B$9989,$A25)</f>
        <v>24.451851334899999</v>
      </c>
      <c r="AF25">
        <f>SUMIFS(Annualized_Investments!AF$2:AF$9989,Annualized_Investments!$B$2:$B$9989,$A25)</f>
        <v>24.451851334899999</v>
      </c>
      <c r="AG25">
        <f>SUMIFS(Annualized_Investments!AG$2:AG$9989,Annualized_Investments!$B$2:$B$9989,$A25)</f>
        <v>24.451851334899999</v>
      </c>
    </row>
    <row r="26" spans="1:58">
      <c r="A26" t="s">
        <v>133</v>
      </c>
      <c r="C26">
        <f>SUMIFS(Annualized_Investments!C$2:C$9989,Annualized_Investments!$B$2:$B$9989,$A26)</f>
        <v>0</v>
      </c>
      <c r="D26">
        <f>SUMIFS(Annualized_Investments!D$2:D$9989,Annualized_Investments!$B$2:$B$9989,$A26)</f>
        <v>0</v>
      </c>
      <c r="E26">
        <f>SUMIFS(Annualized_Investments!E$2:E$9989,Annualized_Investments!$B$2:$B$9989,$A26)</f>
        <v>0</v>
      </c>
      <c r="F26">
        <f>SUMIFS(Annualized_Investments!F$2:F$9989,Annualized_Investments!$B$2:$B$9989,$A26)</f>
        <v>0</v>
      </c>
      <c r="G26">
        <f>SUMIFS(Annualized_Investments!G$2:G$9989,Annualized_Investments!$B$2:$B$9989,$A26)</f>
        <v>0</v>
      </c>
      <c r="H26">
        <f>SUMIFS(Annualized_Investments!H$2:H$9989,Annualized_Investments!$B$2:$B$9989,$A26)</f>
        <v>0</v>
      </c>
      <c r="I26">
        <f>SUMIFS(Annualized_Investments!I$2:I$9989,Annualized_Investments!$B$2:$B$9989,$A26)</f>
        <v>0</v>
      </c>
      <c r="J26">
        <f>SUMIFS(Annualized_Investments!J$2:J$9989,Annualized_Investments!$B$2:$B$9989,$A26)</f>
        <v>0</v>
      </c>
      <c r="K26">
        <f>SUMIFS(Annualized_Investments!K$2:K$9989,Annualized_Investments!$B$2:$B$9989,$A26)</f>
        <v>0</v>
      </c>
      <c r="L26">
        <f>SUMIFS(Annualized_Investments!L$2:L$9989,Annualized_Investments!$B$2:$B$9989,$A26)</f>
        <v>0</v>
      </c>
      <c r="M26">
        <f>SUMIFS(Annualized_Investments!M$2:M$9989,Annualized_Investments!$B$2:$B$9989,$A26)</f>
        <v>0</v>
      </c>
      <c r="N26">
        <f>SUMIFS(Annualized_Investments!N$2:N$9989,Annualized_Investments!$B$2:$B$9989,$A26)</f>
        <v>0</v>
      </c>
      <c r="O26">
        <f>SUMIFS(Annualized_Investments!O$2:O$9989,Annualized_Investments!$B$2:$B$9989,$A26)</f>
        <v>0</v>
      </c>
      <c r="P26">
        <f>SUMIFS(Annualized_Investments!P$2:P$9989,Annualized_Investments!$B$2:$B$9989,$A26)</f>
        <v>0</v>
      </c>
      <c r="Q26">
        <f>SUMIFS(Annualized_Investments!Q$2:Q$9989,Annualized_Investments!$B$2:$B$9989,$A26)</f>
        <v>0</v>
      </c>
      <c r="R26">
        <f>SUMIFS(Annualized_Investments!R$2:R$9989,Annualized_Investments!$B$2:$B$9989,$A26)</f>
        <v>0</v>
      </c>
      <c r="S26">
        <f>SUMIFS(Annualized_Investments!S$2:S$9989,Annualized_Investments!$B$2:$B$9989,$A26)</f>
        <v>0</v>
      </c>
      <c r="T26">
        <f>SUMIFS(Annualized_Investments!T$2:T$9989,Annualized_Investments!$B$2:$B$9989,$A26)</f>
        <v>0</v>
      </c>
      <c r="U26">
        <f>SUMIFS(Annualized_Investments!U$2:U$9989,Annualized_Investments!$B$2:$B$9989,$A26)</f>
        <v>0</v>
      </c>
      <c r="V26">
        <f>SUMIFS(Annualized_Investments!V$2:V$9989,Annualized_Investments!$B$2:$B$9989,$A26)</f>
        <v>0</v>
      </c>
      <c r="W26">
        <f>SUMIFS(Annualized_Investments!W$2:W$9989,Annualized_Investments!$B$2:$B$9989,$A26)</f>
        <v>0</v>
      </c>
      <c r="X26">
        <f>SUMIFS(Annualized_Investments!X$2:X$9989,Annualized_Investments!$B$2:$B$9989,$A26)</f>
        <v>0</v>
      </c>
      <c r="Y26">
        <f>SUMIFS(Annualized_Investments!Y$2:Y$9989,Annualized_Investments!$B$2:$B$9989,$A26)</f>
        <v>0</v>
      </c>
      <c r="Z26">
        <f>SUMIFS(Annualized_Investments!Z$2:Z$9989,Annualized_Investments!$B$2:$B$9989,$A26)</f>
        <v>0</v>
      </c>
      <c r="AA26">
        <f>SUMIFS(Annualized_Investments!AA$2:AA$9989,Annualized_Investments!$B$2:$B$9989,$A26)</f>
        <v>0</v>
      </c>
      <c r="AB26">
        <f>SUMIFS(Annualized_Investments!AB$2:AB$9989,Annualized_Investments!$B$2:$B$9989,$A26)</f>
        <v>0</v>
      </c>
      <c r="AC26">
        <f>SUMIFS(Annualized_Investments!AC$2:AC$9989,Annualized_Investments!$B$2:$B$9989,$A26)</f>
        <v>0</v>
      </c>
      <c r="AD26">
        <f>SUMIFS(Annualized_Investments!AD$2:AD$9989,Annualized_Investments!$B$2:$B$9989,$A26)</f>
        <v>0</v>
      </c>
      <c r="AE26">
        <f>SUMIFS(Annualized_Investments!AE$2:AE$9989,Annualized_Investments!$B$2:$B$9989,$A26)</f>
        <v>0</v>
      </c>
      <c r="AF26">
        <f>SUMIFS(Annualized_Investments!AF$2:AF$9989,Annualized_Investments!$B$2:$B$9989,$A26)</f>
        <v>0</v>
      </c>
      <c r="AG26">
        <f>SUMIFS(Annualized_Investments!AG$2:AG$9989,Annualized_Investments!$B$2:$B$9989,$A26)</f>
        <v>0</v>
      </c>
    </row>
    <row r="27" spans="1:58">
      <c r="A27" t="s">
        <v>138</v>
      </c>
      <c r="C27">
        <f>SUMIFS(Annualized_Investments!C$2:C$9989,Annualized_Investments!$B$2:$B$9989,$A27)</f>
        <v>0</v>
      </c>
      <c r="D27">
        <f>SUMIFS(Annualized_Investments!D$2:D$9989,Annualized_Investments!$B$2:$B$9989,$A27)</f>
        <v>0</v>
      </c>
      <c r="E27">
        <f>SUMIFS(Annualized_Investments!E$2:E$9989,Annualized_Investments!$B$2:$B$9989,$A27)</f>
        <v>0.90358901309999995</v>
      </c>
      <c r="F27">
        <f>SUMIFS(Annualized_Investments!F$2:F$9989,Annualized_Investments!$B$2:$B$9989,$A27)</f>
        <v>69.548413795200005</v>
      </c>
      <c r="G27">
        <f>SUMIFS(Annualized_Investments!G$2:G$9989,Annualized_Investments!$B$2:$B$9989,$A27)</f>
        <v>71.190131796499998</v>
      </c>
      <c r="H27">
        <f>SUMIFS(Annualized_Investments!H$2:H$9989,Annualized_Investments!$B$2:$B$9989,$A27)</f>
        <v>79.908544706900003</v>
      </c>
      <c r="I27">
        <f>SUMIFS(Annualized_Investments!I$2:I$9989,Annualized_Investments!$B$2:$B$9989,$A27)</f>
        <v>283.54049330790002</v>
      </c>
      <c r="J27">
        <f>SUMIFS(Annualized_Investments!J$2:J$9989,Annualized_Investments!$B$2:$B$9989,$A27)</f>
        <v>488.63028953650002</v>
      </c>
      <c r="K27">
        <f>SUMIFS(Annualized_Investments!K$2:K$9989,Annualized_Investments!$B$2:$B$9989,$A27)</f>
        <v>698.77249152130003</v>
      </c>
      <c r="L27">
        <f>SUMIFS(Annualized_Investments!L$2:L$9989,Annualized_Investments!$B$2:$B$9989,$A27)</f>
        <v>746.15278085709997</v>
      </c>
      <c r="M27">
        <f>SUMIFS(Annualized_Investments!M$2:M$9989,Annualized_Investments!$B$2:$B$9989,$A27)</f>
        <v>746.15278085709997</v>
      </c>
      <c r="N27">
        <f>SUMIFS(Annualized_Investments!N$2:N$9989,Annualized_Investments!$B$2:$B$9989,$A27)</f>
        <v>746.15278085709997</v>
      </c>
      <c r="O27">
        <f>SUMIFS(Annualized_Investments!O$2:O$9989,Annualized_Investments!$B$2:$B$9989,$A27)</f>
        <v>746.15278085709997</v>
      </c>
      <c r="P27">
        <f>SUMIFS(Annualized_Investments!P$2:P$9989,Annualized_Investments!$B$2:$B$9989,$A27)</f>
        <v>780.3426354078</v>
      </c>
      <c r="Q27">
        <f>SUMIFS(Annualized_Investments!Q$2:Q$9989,Annualized_Investments!$B$2:$B$9989,$A27)</f>
        <v>780.3426354078</v>
      </c>
      <c r="R27">
        <f>SUMIFS(Annualized_Investments!R$2:R$9989,Annualized_Investments!$B$2:$B$9989,$A27)</f>
        <v>780.3426354078</v>
      </c>
      <c r="S27">
        <f>SUMIFS(Annualized_Investments!S$2:S$9989,Annualized_Investments!$B$2:$B$9989,$A27)</f>
        <v>806.83977268470005</v>
      </c>
      <c r="T27">
        <f>SUMIFS(Annualized_Investments!T$2:T$9989,Annualized_Investments!$B$2:$B$9989,$A27)</f>
        <v>955.85869587649995</v>
      </c>
      <c r="U27">
        <f>SUMIFS(Annualized_Investments!U$2:U$9989,Annualized_Investments!$B$2:$B$9989,$A27)</f>
        <v>955.85869587649995</v>
      </c>
      <c r="V27">
        <f>SUMIFS(Annualized_Investments!V$2:V$9989,Annualized_Investments!$B$2:$B$9989,$A27)</f>
        <v>955.85869587649995</v>
      </c>
      <c r="W27">
        <f>SUMIFS(Annualized_Investments!W$2:W$9989,Annualized_Investments!$B$2:$B$9989,$A27)</f>
        <v>955.85869587649995</v>
      </c>
      <c r="X27">
        <f>SUMIFS(Annualized_Investments!X$2:X$9989,Annualized_Investments!$B$2:$B$9989,$A27)</f>
        <v>955.85869587649995</v>
      </c>
      <c r="Y27">
        <f>SUMIFS(Annualized_Investments!Y$2:Y$9989,Annualized_Investments!$B$2:$B$9989,$A27)</f>
        <v>955.85869587649995</v>
      </c>
      <c r="Z27">
        <f>SUMIFS(Annualized_Investments!Z$2:Z$9989,Annualized_Investments!$B$2:$B$9989,$A27)</f>
        <v>955.85869587649995</v>
      </c>
      <c r="AA27">
        <f>SUMIFS(Annualized_Investments!AA$2:AA$9989,Annualized_Investments!$B$2:$B$9989,$A27)</f>
        <v>955.85869587649995</v>
      </c>
      <c r="AB27">
        <f>SUMIFS(Annualized_Investments!AB$2:AB$9989,Annualized_Investments!$B$2:$B$9989,$A27)</f>
        <v>955.85869587649995</v>
      </c>
      <c r="AC27">
        <f>SUMIFS(Annualized_Investments!AC$2:AC$9989,Annualized_Investments!$B$2:$B$9989,$A27)</f>
        <v>955.85869587649995</v>
      </c>
      <c r="AD27">
        <f>SUMIFS(Annualized_Investments!AD$2:AD$9989,Annualized_Investments!$B$2:$B$9989,$A27)</f>
        <v>955.85869587649995</v>
      </c>
      <c r="AE27">
        <f>SUMIFS(Annualized_Investments!AE$2:AE$9989,Annualized_Investments!$B$2:$B$9989,$A27)</f>
        <v>955.85869587649995</v>
      </c>
      <c r="AF27">
        <f>SUMIFS(Annualized_Investments!AF$2:AF$9989,Annualized_Investments!$B$2:$B$9989,$A27)</f>
        <v>955.85869587649995</v>
      </c>
      <c r="AG27">
        <f>SUMIFS(Annualized_Investments!AG$2:AG$9989,Annualized_Investments!$B$2:$B$9989,$A27)</f>
        <v>956.97401777460004</v>
      </c>
    </row>
    <row r="28" spans="1:58">
      <c r="A28" t="s">
        <v>141</v>
      </c>
      <c r="C28">
        <f>SUMIFS(Annualized_Investments!C$2:C$9989,Annualized_Investments!$B$2:$B$9989,$A28)</f>
        <v>0</v>
      </c>
      <c r="D28">
        <f>SUMIFS(Annualized_Investments!D$2:D$9989,Annualized_Investments!$B$2:$B$9989,$A28)</f>
        <v>0</v>
      </c>
      <c r="E28">
        <f>SUMIFS(Annualized_Investments!E$2:E$9989,Annualized_Investments!$B$2:$B$9989,$A28)</f>
        <v>0</v>
      </c>
      <c r="F28">
        <f>SUMIFS(Annualized_Investments!F$2:F$9989,Annualized_Investments!$B$2:$B$9989,$A28)</f>
        <v>0</v>
      </c>
      <c r="G28">
        <f>SUMIFS(Annualized_Investments!G$2:G$9989,Annualized_Investments!$B$2:$B$9989,$A28)</f>
        <v>0</v>
      </c>
      <c r="H28">
        <f>SUMIFS(Annualized_Investments!H$2:H$9989,Annualized_Investments!$B$2:$B$9989,$A28)</f>
        <v>0</v>
      </c>
      <c r="I28">
        <f>SUMIFS(Annualized_Investments!I$2:I$9989,Annualized_Investments!$B$2:$B$9989,$A28)</f>
        <v>0</v>
      </c>
      <c r="J28">
        <f>SUMIFS(Annualized_Investments!J$2:J$9989,Annualized_Investments!$B$2:$B$9989,$A28)</f>
        <v>0</v>
      </c>
      <c r="K28">
        <f>SUMIFS(Annualized_Investments!K$2:K$9989,Annualized_Investments!$B$2:$B$9989,$A28)</f>
        <v>0</v>
      </c>
      <c r="L28">
        <f>SUMIFS(Annualized_Investments!L$2:L$9989,Annualized_Investments!$B$2:$B$9989,$A28)</f>
        <v>0</v>
      </c>
      <c r="M28">
        <f>SUMIFS(Annualized_Investments!M$2:M$9989,Annualized_Investments!$B$2:$B$9989,$A28)</f>
        <v>0</v>
      </c>
      <c r="N28">
        <f>SUMIFS(Annualized_Investments!N$2:N$9989,Annualized_Investments!$B$2:$B$9989,$A28)</f>
        <v>0</v>
      </c>
      <c r="O28">
        <f>SUMIFS(Annualized_Investments!O$2:O$9989,Annualized_Investments!$B$2:$B$9989,$A28)</f>
        <v>0</v>
      </c>
      <c r="P28">
        <f>SUMIFS(Annualized_Investments!P$2:P$9989,Annualized_Investments!$B$2:$B$9989,$A28)</f>
        <v>0</v>
      </c>
      <c r="Q28">
        <f>SUMIFS(Annualized_Investments!Q$2:Q$9989,Annualized_Investments!$B$2:$B$9989,$A28)</f>
        <v>0</v>
      </c>
      <c r="R28">
        <f>SUMIFS(Annualized_Investments!R$2:R$9989,Annualized_Investments!$B$2:$B$9989,$A28)</f>
        <v>0</v>
      </c>
      <c r="S28">
        <f>SUMIFS(Annualized_Investments!S$2:S$9989,Annualized_Investments!$B$2:$B$9989,$A28)</f>
        <v>0</v>
      </c>
      <c r="T28">
        <f>SUMIFS(Annualized_Investments!T$2:T$9989,Annualized_Investments!$B$2:$B$9989,$A28)</f>
        <v>0</v>
      </c>
      <c r="U28">
        <f>SUMIFS(Annualized_Investments!U$2:U$9989,Annualized_Investments!$B$2:$B$9989,$A28)</f>
        <v>0</v>
      </c>
      <c r="V28">
        <f>SUMIFS(Annualized_Investments!V$2:V$9989,Annualized_Investments!$B$2:$B$9989,$A28)</f>
        <v>0</v>
      </c>
      <c r="W28">
        <f>SUMIFS(Annualized_Investments!W$2:W$9989,Annualized_Investments!$B$2:$B$9989,$A28)</f>
        <v>0</v>
      </c>
      <c r="X28">
        <f>SUMIFS(Annualized_Investments!X$2:X$9989,Annualized_Investments!$B$2:$B$9989,$A28)</f>
        <v>0</v>
      </c>
      <c r="Y28">
        <f>SUMIFS(Annualized_Investments!Y$2:Y$9989,Annualized_Investments!$B$2:$B$9989,$A28)</f>
        <v>0</v>
      </c>
      <c r="Z28">
        <f>SUMIFS(Annualized_Investments!Z$2:Z$9989,Annualized_Investments!$B$2:$B$9989,$A28)</f>
        <v>0</v>
      </c>
      <c r="AA28">
        <f>SUMIFS(Annualized_Investments!AA$2:AA$9989,Annualized_Investments!$B$2:$B$9989,$A28)</f>
        <v>0</v>
      </c>
      <c r="AB28">
        <f>SUMIFS(Annualized_Investments!AB$2:AB$9989,Annualized_Investments!$B$2:$B$9989,$A28)</f>
        <v>0</v>
      </c>
      <c r="AC28">
        <f>SUMIFS(Annualized_Investments!AC$2:AC$9989,Annualized_Investments!$B$2:$B$9989,$A28)</f>
        <v>0</v>
      </c>
      <c r="AD28">
        <f>SUMIFS(Annualized_Investments!AD$2:AD$9989,Annualized_Investments!$B$2:$B$9989,$A28)</f>
        <v>0</v>
      </c>
      <c r="AE28">
        <f>SUMIFS(Annualized_Investments!AE$2:AE$9989,Annualized_Investments!$B$2:$B$9989,$A28)</f>
        <v>0</v>
      </c>
      <c r="AF28">
        <f>SUMIFS(Annualized_Investments!AF$2:AF$9989,Annualized_Investments!$B$2:$B$9989,$A28)</f>
        <v>0</v>
      </c>
      <c r="AG28">
        <f>SUMIFS(Annualized_Investments!AG$2:AG$9989,Annualized_Investments!$B$2:$B$9989,$A28)</f>
        <v>0</v>
      </c>
    </row>
    <row r="29" spans="1:58">
      <c r="A29" t="s">
        <v>142</v>
      </c>
      <c r="C29">
        <f>SUMIFS(Annualized_Investments!C$2:C$9989,Annualized_Investments!$B$2:$B$9989,$A29)</f>
        <v>0</v>
      </c>
      <c r="D29">
        <f>SUMIFS(Annualized_Investments!D$2:D$9989,Annualized_Investments!$B$2:$B$9989,$A29)</f>
        <v>107.780161326</v>
      </c>
      <c r="E29">
        <f>SUMIFS(Annualized_Investments!E$2:E$9989,Annualized_Investments!$B$2:$B$9989,$A29)</f>
        <v>222.16092839379999</v>
      </c>
      <c r="F29">
        <f>SUMIFS(Annualized_Investments!F$2:F$9989,Annualized_Investments!$B$2:$B$9989,$A29)</f>
        <v>222.16092839379999</v>
      </c>
      <c r="G29">
        <f>SUMIFS(Annualized_Investments!G$2:G$9989,Annualized_Investments!$B$2:$B$9989,$A29)</f>
        <v>311.35830328430001</v>
      </c>
      <c r="H29">
        <f>SUMIFS(Annualized_Investments!H$2:H$9989,Annualized_Investments!$B$2:$B$9989,$A29)</f>
        <v>311.35830328430001</v>
      </c>
      <c r="I29">
        <f>SUMIFS(Annualized_Investments!I$2:I$9989,Annualized_Investments!$B$2:$B$9989,$A29)</f>
        <v>311.35830328430001</v>
      </c>
      <c r="J29">
        <f>SUMIFS(Annualized_Investments!J$2:J$9989,Annualized_Investments!$B$2:$B$9989,$A29)</f>
        <v>311.35830328430001</v>
      </c>
      <c r="K29">
        <f>SUMIFS(Annualized_Investments!K$2:K$9989,Annualized_Investments!$B$2:$B$9989,$A29)</f>
        <v>311.35830328430001</v>
      </c>
      <c r="L29">
        <f>SUMIFS(Annualized_Investments!L$2:L$9989,Annualized_Investments!$B$2:$B$9989,$A29)</f>
        <v>311.35830328430001</v>
      </c>
      <c r="M29">
        <f>SUMIFS(Annualized_Investments!M$2:M$9989,Annualized_Investments!$B$2:$B$9989,$A29)</f>
        <v>311.35830328430001</v>
      </c>
      <c r="N29">
        <f>SUMIFS(Annualized_Investments!N$2:N$9989,Annualized_Investments!$B$2:$B$9989,$A29)</f>
        <v>439.7715270388</v>
      </c>
      <c r="O29">
        <f>SUMIFS(Annualized_Investments!O$2:O$9989,Annualized_Investments!$B$2:$B$9989,$A29)</f>
        <v>903.90693861579996</v>
      </c>
      <c r="P29">
        <f>SUMIFS(Annualized_Investments!P$2:P$9989,Annualized_Investments!$B$2:$B$9989,$A29)</f>
        <v>1067.2985345205</v>
      </c>
      <c r="Q29">
        <f>SUMIFS(Annualized_Investments!Q$2:Q$9989,Annualized_Investments!$B$2:$B$9989,$A29)</f>
        <v>1230.6901304252001</v>
      </c>
      <c r="R29">
        <f>SUMIFS(Annualized_Investments!R$2:R$9989,Annualized_Investments!$B$2:$B$9989,$A29)</f>
        <v>1394.0817263297999</v>
      </c>
      <c r="S29">
        <f>SUMIFS(Annualized_Investments!S$2:S$9989,Annualized_Investments!$B$2:$B$9989,$A29)</f>
        <v>1706.0797234544</v>
      </c>
      <c r="T29">
        <f>SUMIFS(Annualized_Investments!T$2:T$9989,Annualized_Investments!$B$2:$B$9989,$A29)</f>
        <v>1904.4997298850999</v>
      </c>
      <c r="U29">
        <f>SUMIFS(Annualized_Investments!U$2:U$9989,Annualized_Investments!$B$2:$B$9989,$A29)</f>
        <v>2202.6844796291998</v>
      </c>
      <c r="V29">
        <f>SUMIFS(Annualized_Investments!V$2:V$9989,Annualized_Investments!$B$2:$B$9989,$A29)</f>
        <v>2491.7926396520002</v>
      </c>
      <c r="W29">
        <f>SUMIFS(Annualized_Investments!W$2:W$9989,Annualized_Investments!$B$2:$B$9989,$A29)</f>
        <v>2491.7926396520002</v>
      </c>
      <c r="X29">
        <f>SUMIFS(Annualized_Investments!X$2:X$9989,Annualized_Investments!$B$2:$B$9989,$A29)</f>
        <v>2580.0065796974</v>
      </c>
      <c r="Y29">
        <f>SUMIFS(Annualized_Investments!Y$2:Y$9989,Annualized_Investments!$B$2:$B$9989,$A29)</f>
        <v>2760.2473637549001</v>
      </c>
      <c r="Z29">
        <f>SUMIFS(Annualized_Investments!Z$2:Z$9989,Annualized_Investments!$B$2:$B$9989,$A29)</f>
        <v>2940.8878939568999</v>
      </c>
      <c r="AA29">
        <f>SUMIFS(Annualized_Investments!AA$2:AA$9989,Annualized_Investments!$B$2:$B$9989,$A29)</f>
        <v>3121.9037896875002</v>
      </c>
      <c r="AB29">
        <f>SUMIFS(Annualized_Investments!AB$2:AB$9989,Annualized_Investments!$B$2:$B$9989,$A29)</f>
        <v>3308.467039097</v>
      </c>
      <c r="AC29">
        <f>SUMIFS(Annualized_Investments!AC$2:AC$9989,Annualized_Investments!$B$2:$B$9989,$A29)</f>
        <v>3542.9885139884</v>
      </c>
      <c r="AD29">
        <f>SUMIFS(Annualized_Investments!AD$2:AD$9989,Annualized_Investments!$B$2:$B$9989,$A29)</f>
        <v>3731.6843442413001</v>
      </c>
      <c r="AE29">
        <f>SUMIFS(Annualized_Investments!AE$2:AE$9989,Annualized_Investments!$B$2:$B$9989,$A29)</f>
        <v>3902.9326746771999</v>
      </c>
      <c r="AF29">
        <f>SUMIFS(Annualized_Investments!AF$2:AF$9989,Annualized_Investments!$B$2:$B$9989,$A29)</f>
        <v>3898.5043966695998</v>
      </c>
      <c r="AG29">
        <f>SUMIFS(Annualized_Investments!AG$2:AG$9989,Annualized_Investments!$B$2:$B$9989,$A29)</f>
        <v>3898.5043966695998</v>
      </c>
    </row>
    <row r="30" spans="1:58">
      <c r="A30" t="s">
        <v>143</v>
      </c>
      <c r="C30">
        <f>SUMIFS(Annualized_Investments!C$2:C$9989,Annualized_Investments!$B$2:$B$9989,$A30)</f>
        <v>0</v>
      </c>
      <c r="D30">
        <f>SUMIFS(Annualized_Investments!D$2:D$9989,Annualized_Investments!$B$2:$B$9989,$A30)</f>
        <v>0</v>
      </c>
      <c r="E30">
        <f>SUMIFS(Annualized_Investments!E$2:E$9989,Annualized_Investments!$B$2:$B$9989,$A30)</f>
        <v>0</v>
      </c>
      <c r="F30">
        <f>SUMIFS(Annualized_Investments!F$2:F$9989,Annualized_Investments!$B$2:$B$9989,$A30)</f>
        <v>0</v>
      </c>
      <c r="G30">
        <f>SUMIFS(Annualized_Investments!G$2:G$9989,Annualized_Investments!$B$2:$B$9989,$A30)</f>
        <v>0</v>
      </c>
      <c r="H30">
        <f>SUMIFS(Annualized_Investments!H$2:H$9989,Annualized_Investments!$B$2:$B$9989,$A30)</f>
        <v>0</v>
      </c>
      <c r="I30">
        <f>SUMIFS(Annualized_Investments!I$2:I$9989,Annualized_Investments!$B$2:$B$9989,$A30)</f>
        <v>0</v>
      </c>
      <c r="J30">
        <f>SUMIFS(Annualized_Investments!J$2:J$9989,Annualized_Investments!$B$2:$B$9989,$A30)</f>
        <v>0</v>
      </c>
      <c r="K30">
        <f>SUMIFS(Annualized_Investments!K$2:K$9989,Annualized_Investments!$B$2:$B$9989,$A30)</f>
        <v>0</v>
      </c>
      <c r="L30">
        <f>SUMIFS(Annualized_Investments!L$2:L$9989,Annualized_Investments!$B$2:$B$9989,$A30)</f>
        <v>0</v>
      </c>
      <c r="M30">
        <f>SUMIFS(Annualized_Investments!M$2:M$9989,Annualized_Investments!$B$2:$B$9989,$A30)</f>
        <v>0</v>
      </c>
      <c r="N30">
        <f>SUMIFS(Annualized_Investments!N$2:N$9989,Annualized_Investments!$B$2:$B$9989,$A30)</f>
        <v>0</v>
      </c>
      <c r="O30">
        <f>SUMIFS(Annualized_Investments!O$2:O$9989,Annualized_Investments!$B$2:$B$9989,$A30)</f>
        <v>0</v>
      </c>
      <c r="P30">
        <f>SUMIFS(Annualized_Investments!P$2:P$9989,Annualized_Investments!$B$2:$B$9989,$A30)</f>
        <v>0</v>
      </c>
      <c r="Q30">
        <f>SUMIFS(Annualized_Investments!Q$2:Q$9989,Annualized_Investments!$B$2:$B$9989,$A30)</f>
        <v>0</v>
      </c>
      <c r="R30">
        <f>SUMIFS(Annualized_Investments!R$2:R$9989,Annualized_Investments!$B$2:$B$9989,$A30)</f>
        <v>0</v>
      </c>
      <c r="S30">
        <f>SUMIFS(Annualized_Investments!S$2:S$9989,Annualized_Investments!$B$2:$B$9989,$A30)</f>
        <v>0</v>
      </c>
      <c r="T30">
        <f>SUMIFS(Annualized_Investments!T$2:T$9989,Annualized_Investments!$B$2:$B$9989,$A30)</f>
        <v>0</v>
      </c>
      <c r="U30">
        <f>SUMIFS(Annualized_Investments!U$2:U$9989,Annualized_Investments!$B$2:$B$9989,$A30)</f>
        <v>0</v>
      </c>
      <c r="V30">
        <f>SUMIFS(Annualized_Investments!V$2:V$9989,Annualized_Investments!$B$2:$B$9989,$A30)</f>
        <v>0</v>
      </c>
      <c r="W30">
        <f>SUMIFS(Annualized_Investments!W$2:W$9989,Annualized_Investments!$B$2:$B$9989,$A30)</f>
        <v>0</v>
      </c>
      <c r="X30">
        <f>SUMIFS(Annualized_Investments!X$2:X$9989,Annualized_Investments!$B$2:$B$9989,$A30)</f>
        <v>0</v>
      </c>
      <c r="Y30">
        <f>SUMIFS(Annualized_Investments!Y$2:Y$9989,Annualized_Investments!$B$2:$B$9989,$A30)</f>
        <v>0</v>
      </c>
      <c r="Z30">
        <f>SUMIFS(Annualized_Investments!Z$2:Z$9989,Annualized_Investments!$B$2:$B$9989,$A30)</f>
        <v>0</v>
      </c>
      <c r="AA30">
        <f>SUMIFS(Annualized_Investments!AA$2:AA$9989,Annualized_Investments!$B$2:$B$9989,$A30)</f>
        <v>0</v>
      </c>
      <c r="AB30">
        <f>SUMIFS(Annualized_Investments!AB$2:AB$9989,Annualized_Investments!$B$2:$B$9989,$A30)</f>
        <v>0</v>
      </c>
      <c r="AC30">
        <f>SUMIFS(Annualized_Investments!AC$2:AC$9989,Annualized_Investments!$B$2:$B$9989,$A30)</f>
        <v>0</v>
      </c>
      <c r="AD30">
        <f>SUMIFS(Annualized_Investments!AD$2:AD$9989,Annualized_Investments!$B$2:$B$9989,$A30)</f>
        <v>0</v>
      </c>
      <c r="AE30">
        <f>SUMIFS(Annualized_Investments!AE$2:AE$9989,Annualized_Investments!$B$2:$B$9989,$A30)</f>
        <v>0</v>
      </c>
      <c r="AF30">
        <f>SUMIFS(Annualized_Investments!AF$2:AF$9989,Annualized_Investments!$B$2:$B$9989,$A30)</f>
        <v>0</v>
      </c>
      <c r="AG30">
        <f>SUMIFS(Annualized_Investments!AG$2:AG$9989,Annualized_Investments!$B$2:$B$9989,$A30)</f>
        <v>0</v>
      </c>
    </row>
    <row r="31" spans="1:58">
      <c r="A31" t="s">
        <v>144</v>
      </c>
      <c r="C31">
        <f>SUMIFS(Annualized_Investments!C$2:C$9989,Annualized_Investments!$B$2:$B$9989,$A31)</f>
        <v>0</v>
      </c>
      <c r="D31">
        <f>SUMIFS(Annualized_Investments!D$2:D$9989,Annualized_Investments!$B$2:$B$9989,$A31)</f>
        <v>0</v>
      </c>
      <c r="E31">
        <f>SUMIFS(Annualized_Investments!E$2:E$9989,Annualized_Investments!$B$2:$B$9989,$A31)</f>
        <v>0</v>
      </c>
      <c r="F31">
        <f>SUMIFS(Annualized_Investments!F$2:F$9989,Annualized_Investments!$B$2:$B$9989,$A31)</f>
        <v>0</v>
      </c>
      <c r="G31">
        <f>SUMIFS(Annualized_Investments!G$2:G$9989,Annualized_Investments!$B$2:$B$9989,$A31)</f>
        <v>0</v>
      </c>
      <c r="H31">
        <f>SUMIFS(Annualized_Investments!H$2:H$9989,Annualized_Investments!$B$2:$B$9989,$A31)</f>
        <v>0</v>
      </c>
      <c r="I31">
        <f>SUMIFS(Annualized_Investments!I$2:I$9989,Annualized_Investments!$B$2:$B$9989,$A31)</f>
        <v>0</v>
      </c>
      <c r="J31">
        <f>SUMIFS(Annualized_Investments!J$2:J$9989,Annualized_Investments!$B$2:$B$9989,$A31)</f>
        <v>0</v>
      </c>
      <c r="K31">
        <f>SUMIFS(Annualized_Investments!K$2:K$9989,Annualized_Investments!$B$2:$B$9989,$A31)</f>
        <v>0</v>
      </c>
      <c r="L31">
        <f>SUMIFS(Annualized_Investments!L$2:L$9989,Annualized_Investments!$B$2:$B$9989,$A31)</f>
        <v>0</v>
      </c>
      <c r="M31">
        <f>SUMIFS(Annualized_Investments!M$2:M$9989,Annualized_Investments!$B$2:$B$9989,$A31)</f>
        <v>0</v>
      </c>
      <c r="N31">
        <f>SUMIFS(Annualized_Investments!N$2:N$9989,Annualized_Investments!$B$2:$B$9989,$A31)</f>
        <v>0</v>
      </c>
      <c r="O31">
        <f>SUMIFS(Annualized_Investments!O$2:O$9989,Annualized_Investments!$B$2:$B$9989,$A31)</f>
        <v>0</v>
      </c>
      <c r="P31">
        <f>SUMIFS(Annualized_Investments!P$2:P$9989,Annualized_Investments!$B$2:$B$9989,$A31)</f>
        <v>0</v>
      </c>
      <c r="Q31">
        <f>SUMIFS(Annualized_Investments!Q$2:Q$9989,Annualized_Investments!$B$2:$B$9989,$A31)</f>
        <v>0</v>
      </c>
      <c r="R31">
        <f>SUMIFS(Annualized_Investments!R$2:R$9989,Annualized_Investments!$B$2:$B$9989,$A31)</f>
        <v>0</v>
      </c>
      <c r="S31">
        <f>SUMIFS(Annualized_Investments!S$2:S$9989,Annualized_Investments!$B$2:$B$9989,$A31)</f>
        <v>0</v>
      </c>
      <c r="T31">
        <f>SUMIFS(Annualized_Investments!T$2:T$9989,Annualized_Investments!$B$2:$B$9989,$A31)</f>
        <v>0</v>
      </c>
      <c r="U31">
        <f>SUMIFS(Annualized_Investments!U$2:U$9989,Annualized_Investments!$B$2:$B$9989,$A31)</f>
        <v>0</v>
      </c>
      <c r="V31">
        <f>SUMIFS(Annualized_Investments!V$2:V$9989,Annualized_Investments!$B$2:$B$9989,$A31)</f>
        <v>0</v>
      </c>
      <c r="W31">
        <f>SUMIFS(Annualized_Investments!W$2:W$9989,Annualized_Investments!$B$2:$B$9989,$A31)</f>
        <v>0</v>
      </c>
      <c r="X31">
        <f>SUMIFS(Annualized_Investments!X$2:X$9989,Annualized_Investments!$B$2:$B$9989,$A31)</f>
        <v>0</v>
      </c>
      <c r="Y31">
        <f>SUMIFS(Annualized_Investments!Y$2:Y$9989,Annualized_Investments!$B$2:$B$9989,$A31)</f>
        <v>0</v>
      </c>
      <c r="Z31">
        <f>SUMIFS(Annualized_Investments!Z$2:Z$9989,Annualized_Investments!$B$2:$B$9989,$A31)</f>
        <v>0</v>
      </c>
      <c r="AA31">
        <f>SUMIFS(Annualized_Investments!AA$2:AA$9989,Annualized_Investments!$B$2:$B$9989,$A31)</f>
        <v>0</v>
      </c>
      <c r="AB31">
        <f>SUMIFS(Annualized_Investments!AB$2:AB$9989,Annualized_Investments!$B$2:$B$9989,$A31)</f>
        <v>0</v>
      </c>
      <c r="AC31">
        <f>SUMIFS(Annualized_Investments!AC$2:AC$9989,Annualized_Investments!$B$2:$B$9989,$A31)</f>
        <v>0</v>
      </c>
      <c r="AD31">
        <f>SUMIFS(Annualized_Investments!AD$2:AD$9989,Annualized_Investments!$B$2:$B$9989,$A31)</f>
        <v>0</v>
      </c>
      <c r="AE31">
        <f>SUMIFS(Annualized_Investments!AE$2:AE$9989,Annualized_Investments!$B$2:$B$9989,$A31)</f>
        <v>0</v>
      </c>
      <c r="AF31">
        <f>SUMIFS(Annualized_Investments!AF$2:AF$9989,Annualized_Investments!$B$2:$B$9989,$A31)</f>
        <v>0</v>
      </c>
      <c r="AG31">
        <f>SUMIFS(Annualized_Investments!AG$2:AG$9989,Annualized_Investments!$B$2:$B$9989,$A31)</f>
        <v>0</v>
      </c>
    </row>
    <row r="32" spans="1:58">
      <c r="A32" t="s">
        <v>145</v>
      </c>
      <c r="C32">
        <f>SUMIFS(Annualized_Investments!C$2:C$9989,Annualized_Investments!$B$2:$B$9989,$A32)</f>
        <v>210.6473130039</v>
      </c>
      <c r="D32">
        <f>SUMIFS(Annualized_Investments!D$2:D$9989,Annualized_Investments!$B$2:$B$9989,$A32)</f>
        <v>578.38260473260004</v>
      </c>
      <c r="E32">
        <f>SUMIFS(Annualized_Investments!E$2:E$9989,Annualized_Investments!$B$2:$B$9989,$A32)</f>
        <v>580.67143871919995</v>
      </c>
      <c r="F32">
        <f>SUMIFS(Annualized_Investments!F$2:F$9989,Annualized_Investments!$B$2:$B$9989,$A32)</f>
        <v>587.40838403819998</v>
      </c>
      <c r="G32">
        <f>SUMIFS(Annualized_Investments!G$2:G$9989,Annualized_Investments!$B$2:$B$9989,$A32)</f>
        <v>592.47548820980001</v>
      </c>
      <c r="H32">
        <f>SUMIFS(Annualized_Investments!H$2:H$9989,Annualized_Investments!$B$2:$B$9989,$A32)</f>
        <v>592.47548820980001</v>
      </c>
      <c r="I32">
        <f>SUMIFS(Annualized_Investments!I$2:I$9989,Annualized_Investments!$B$2:$B$9989,$A32)</f>
        <v>592.47548820980001</v>
      </c>
      <c r="J32">
        <f>SUMIFS(Annualized_Investments!J$2:J$9989,Annualized_Investments!$B$2:$B$9989,$A32)</f>
        <v>592.47548820980001</v>
      </c>
      <c r="K32">
        <f>SUMIFS(Annualized_Investments!K$2:K$9989,Annualized_Investments!$B$2:$B$9989,$A32)</f>
        <v>592.47548820980001</v>
      </c>
      <c r="L32">
        <f>SUMIFS(Annualized_Investments!L$2:L$9989,Annualized_Investments!$B$2:$B$9989,$A32)</f>
        <v>592.47548820980001</v>
      </c>
      <c r="M32">
        <f>SUMIFS(Annualized_Investments!M$2:M$9989,Annualized_Investments!$B$2:$B$9989,$A32)</f>
        <v>592.47548820980001</v>
      </c>
      <c r="N32">
        <f>SUMIFS(Annualized_Investments!N$2:N$9989,Annualized_Investments!$B$2:$B$9989,$A32)</f>
        <v>592.47548820980001</v>
      </c>
      <c r="O32">
        <f>SUMIFS(Annualized_Investments!O$2:O$9989,Annualized_Investments!$B$2:$B$9989,$A32)</f>
        <v>592.47548820980001</v>
      </c>
      <c r="P32">
        <f>SUMIFS(Annualized_Investments!P$2:P$9989,Annualized_Investments!$B$2:$B$9989,$A32)</f>
        <v>592.47548820980001</v>
      </c>
      <c r="Q32">
        <f>SUMIFS(Annualized_Investments!Q$2:Q$9989,Annualized_Investments!$B$2:$B$9989,$A32)</f>
        <v>592.47548820980001</v>
      </c>
      <c r="R32">
        <f>SUMIFS(Annualized_Investments!R$2:R$9989,Annualized_Investments!$B$2:$B$9989,$A32)</f>
        <v>592.47548820980001</v>
      </c>
      <c r="S32">
        <f>SUMIFS(Annualized_Investments!S$2:S$9989,Annualized_Investments!$B$2:$B$9989,$A32)</f>
        <v>592.47548820980001</v>
      </c>
      <c r="T32">
        <f>SUMIFS(Annualized_Investments!T$2:T$9989,Annualized_Investments!$B$2:$B$9989,$A32)</f>
        <v>592.47548820980001</v>
      </c>
      <c r="U32">
        <f>SUMIFS(Annualized_Investments!U$2:U$9989,Annualized_Investments!$B$2:$B$9989,$A32)</f>
        <v>592.47548820980001</v>
      </c>
      <c r="V32">
        <f>SUMIFS(Annualized_Investments!V$2:V$9989,Annualized_Investments!$B$2:$B$9989,$A32)</f>
        <v>592.47548820980001</v>
      </c>
      <c r="W32">
        <f>SUMIFS(Annualized_Investments!W$2:W$9989,Annualized_Investments!$B$2:$B$9989,$A32)</f>
        <v>592.47548820980001</v>
      </c>
      <c r="X32">
        <f>SUMIFS(Annualized_Investments!X$2:X$9989,Annualized_Investments!$B$2:$B$9989,$A32)</f>
        <v>592.47548820980001</v>
      </c>
      <c r="Y32">
        <f>SUMIFS(Annualized_Investments!Y$2:Y$9989,Annualized_Investments!$B$2:$B$9989,$A32)</f>
        <v>592.47548820980001</v>
      </c>
      <c r="Z32">
        <f>SUMIFS(Annualized_Investments!Z$2:Z$9989,Annualized_Investments!$B$2:$B$9989,$A32)</f>
        <v>592.47548820980001</v>
      </c>
      <c r="AA32">
        <f>SUMIFS(Annualized_Investments!AA$2:AA$9989,Annualized_Investments!$B$2:$B$9989,$A32)</f>
        <v>592.47548820980001</v>
      </c>
      <c r="AB32">
        <f>SUMIFS(Annualized_Investments!AB$2:AB$9989,Annualized_Investments!$B$2:$B$9989,$A32)</f>
        <v>592.47548820980001</v>
      </c>
      <c r="AC32">
        <f>SUMIFS(Annualized_Investments!AC$2:AC$9989,Annualized_Investments!$B$2:$B$9989,$A32)</f>
        <v>592.47548820980001</v>
      </c>
      <c r="AD32">
        <f>SUMIFS(Annualized_Investments!AD$2:AD$9989,Annualized_Investments!$B$2:$B$9989,$A32)</f>
        <v>592.47548820980001</v>
      </c>
      <c r="AE32">
        <f>SUMIFS(Annualized_Investments!AE$2:AE$9989,Annualized_Investments!$B$2:$B$9989,$A32)</f>
        <v>592.47548820980001</v>
      </c>
      <c r="AF32">
        <f>SUMIFS(Annualized_Investments!AF$2:AF$9989,Annualized_Investments!$B$2:$B$9989,$A32)</f>
        <v>592.47548820980001</v>
      </c>
      <c r="AG32">
        <f>SUMIFS(Annualized_Investments!AG$2:AG$9989,Annualized_Investments!$B$2:$B$9989,$A32)</f>
        <v>592.47548820980001</v>
      </c>
    </row>
    <row r="33" spans="1:33">
      <c r="A33" t="s">
        <v>146</v>
      </c>
      <c r="C33">
        <f>SUMIFS(Annualized_Investments!C$2:C$9989,Annualized_Investments!$B$2:$B$9989,$A33)</f>
        <v>0</v>
      </c>
      <c r="D33">
        <f>SUMIFS(Annualized_Investments!D$2:D$9989,Annualized_Investments!$B$2:$B$9989,$A33)</f>
        <v>0</v>
      </c>
      <c r="E33">
        <f>SUMIFS(Annualized_Investments!E$2:E$9989,Annualized_Investments!$B$2:$B$9989,$A33)</f>
        <v>0</v>
      </c>
      <c r="F33">
        <f>SUMIFS(Annualized_Investments!F$2:F$9989,Annualized_Investments!$B$2:$B$9989,$A33)</f>
        <v>0</v>
      </c>
      <c r="G33">
        <f>SUMIFS(Annualized_Investments!G$2:G$9989,Annualized_Investments!$B$2:$B$9989,$A33)</f>
        <v>0</v>
      </c>
      <c r="H33">
        <f>SUMIFS(Annualized_Investments!H$2:H$9989,Annualized_Investments!$B$2:$B$9989,$A33)</f>
        <v>71.357899912400001</v>
      </c>
      <c r="I33">
        <f>SUMIFS(Annualized_Investments!I$2:I$9989,Annualized_Investments!$B$2:$B$9989,$A33)</f>
        <v>71.357899912400001</v>
      </c>
      <c r="J33">
        <f>SUMIFS(Annualized_Investments!J$2:J$9989,Annualized_Investments!$B$2:$B$9989,$A33)</f>
        <v>71.357899912400001</v>
      </c>
      <c r="K33">
        <f>SUMIFS(Annualized_Investments!K$2:K$9989,Annualized_Investments!$B$2:$B$9989,$A33)</f>
        <v>71.357899912400001</v>
      </c>
      <c r="L33">
        <f>SUMIFS(Annualized_Investments!L$2:L$9989,Annualized_Investments!$B$2:$B$9989,$A33)</f>
        <v>71.357899912400001</v>
      </c>
      <c r="M33">
        <f>SUMIFS(Annualized_Investments!M$2:M$9989,Annualized_Investments!$B$2:$B$9989,$A33)</f>
        <v>71.357899912400001</v>
      </c>
      <c r="N33">
        <f>SUMIFS(Annualized_Investments!N$2:N$9989,Annualized_Investments!$B$2:$B$9989,$A33)</f>
        <v>71.357899912400001</v>
      </c>
      <c r="O33">
        <f>SUMIFS(Annualized_Investments!O$2:O$9989,Annualized_Investments!$B$2:$B$9989,$A33)</f>
        <v>71.357899912400001</v>
      </c>
      <c r="P33">
        <f>SUMIFS(Annualized_Investments!P$2:P$9989,Annualized_Investments!$B$2:$B$9989,$A33)</f>
        <v>71.357899912400001</v>
      </c>
      <c r="Q33">
        <f>SUMIFS(Annualized_Investments!Q$2:Q$9989,Annualized_Investments!$B$2:$B$9989,$A33)</f>
        <v>71.357899912400001</v>
      </c>
      <c r="R33">
        <f>SUMIFS(Annualized_Investments!R$2:R$9989,Annualized_Investments!$B$2:$B$9989,$A33)</f>
        <v>71.357899912400001</v>
      </c>
      <c r="S33">
        <f>SUMIFS(Annualized_Investments!S$2:S$9989,Annualized_Investments!$B$2:$B$9989,$A33)</f>
        <v>71.357899912400001</v>
      </c>
      <c r="T33">
        <f>SUMIFS(Annualized_Investments!T$2:T$9989,Annualized_Investments!$B$2:$B$9989,$A33)</f>
        <v>71.357899912400001</v>
      </c>
      <c r="U33">
        <f>SUMIFS(Annualized_Investments!U$2:U$9989,Annualized_Investments!$B$2:$B$9989,$A33)</f>
        <v>74.035199664000004</v>
      </c>
      <c r="V33">
        <f>SUMIFS(Annualized_Investments!V$2:V$9989,Annualized_Investments!$B$2:$B$9989,$A33)</f>
        <v>134.48043595190001</v>
      </c>
      <c r="W33">
        <f>SUMIFS(Annualized_Investments!W$2:W$9989,Annualized_Investments!$B$2:$B$9989,$A33)</f>
        <v>252.4343147104</v>
      </c>
      <c r="X33">
        <f>SUMIFS(Annualized_Investments!X$2:X$9989,Annualized_Investments!$B$2:$B$9989,$A33)</f>
        <v>309.546305915</v>
      </c>
      <c r="Y33">
        <f>SUMIFS(Annualized_Investments!Y$2:Y$9989,Annualized_Investments!$B$2:$B$9989,$A33)</f>
        <v>324.8717866687</v>
      </c>
      <c r="Z33">
        <f>SUMIFS(Annualized_Investments!Z$2:Z$9989,Annualized_Investments!$B$2:$B$9989,$A33)</f>
        <v>338.90417578159997</v>
      </c>
      <c r="AA33">
        <f>SUMIFS(Annualized_Investments!AA$2:AA$9989,Annualized_Investments!$B$2:$B$9989,$A33)</f>
        <v>358.2310237433</v>
      </c>
      <c r="AB33">
        <f>SUMIFS(Annualized_Investments!AB$2:AB$9989,Annualized_Investments!$B$2:$B$9989,$A33)</f>
        <v>378.68358312049997</v>
      </c>
      <c r="AC33">
        <f>SUMIFS(Annualized_Investments!AC$2:AC$9989,Annualized_Investments!$B$2:$B$9989,$A33)</f>
        <v>445.38710995209999</v>
      </c>
      <c r="AD33">
        <f>SUMIFS(Annualized_Investments!AD$2:AD$9989,Annualized_Investments!$B$2:$B$9989,$A33)</f>
        <v>465.4709260299</v>
      </c>
      <c r="AE33">
        <f>SUMIFS(Annualized_Investments!AE$2:AE$9989,Annualized_Investments!$B$2:$B$9989,$A33)</f>
        <v>495.35106004120001</v>
      </c>
      <c r="AF33">
        <f>SUMIFS(Annualized_Investments!AF$2:AF$9989,Annualized_Investments!$B$2:$B$9989,$A33)</f>
        <v>623.77278457579996</v>
      </c>
      <c r="AG33">
        <f>SUMIFS(Annualized_Investments!AG$2:AG$9989,Annualized_Investments!$B$2:$B$9989,$A33)</f>
        <v>832.45589502040002</v>
      </c>
    </row>
    <row r="34" spans="1:33">
      <c r="A34" t="s">
        <v>147</v>
      </c>
      <c r="C34">
        <f>SUMIFS(Annualized_Investments!C$2:C$9989,Annualized_Investments!$B$2:$B$9989,$A34)</f>
        <v>0</v>
      </c>
      <c r="D34">
        <f>SUMIFS(Annualized_Investments!D$2:D$9989,Annualized_Investments!$B$2:$B$9989,$A34)</f>
        <v>0</v>
      </c>
      <c r="E34">
        <f>SUMIFS(Annualized_Investments!E$2:E$9989,Annualized_Investments!$B$2:$B$9989,$A34)</f>
        <v>0</v>
      </c>
      <c r="F34">
        <f>SUMIFS(Annualized_Investments!F$2:F$9989,Annualized_Investments!$B$2:$B$9989,$A34)</f>
        <v>0</v>
      </c>
      <c r="G34">
        <f>SUMIFS(Annualized_Investments!G$2:G$9989,Annualized_Investments!$B$2:$B$9989,$A34)</f>
        <v>0</v>
      </c>
      <c r="H34">
        <f>SUMIFS(Annualized_Investments!H$2:H$9989,Annualized_Investments!$B$2:$B$9989,$A34)</f>
        <v>0</v>
      </c>
      <c r="I34">
        <f>SUMIFS(Annualized_Investments!I$2:I$9989,Annualized_Investments!$B$2:$B$9989,$A34)</f>
        <v>0</v>
      </c>
      <c r="J34">
        <f>SUMIFS(Annualized_Investments!J$2:J$9989,Annualized_Investments!$B$2:$B$9989,$A34)</f>
        <v>0</v>
      </c>
      <c r="K34">
        <f>SUMIFS(Annualized_Investments!K$2:K$9989,Annualized_Investments!$B$2:$B$9989,$A34)</f>
        <v>0</v>
      </c>
      <c r="L34">
        <f>SUMIFS(Annualized_Investments!L$2:L$9989,Annualized_Investments!$B$2:$B$9989,$A34)</f>
        <v>0</v>
      </c>
      <c r="M34">
        <f>SUMIFS(Annualized_Investments!M$2:M$9989,Annualized_Investments!$B$2:$B$9989,$A34)</f>
        <v>0</v>
      </c>
      <c r="N34">
        <f>SUMIFS(Annualized_Investments!N$2:N$9989,Annualized_Investments!$B$2:$B$9989,$A34)</f>
        <v>0</v>
      </c>
      <c r="O34">
        <f>SUMIFS(Annualized_Investments!O$2:O$9989,Annualized_Investments!$B$2:$B$9989,$A34)</f>
        <v>0</v>
      </c>
      <c r="P34">
        <f>SUMIFS(Annualized_Investments!P$2:P$9989,Annualized_Investments!$B$2:$B$9989,$A34)</f>
        <v>0</v>
      </c>
      <c r="Q34">
        <f>SUMIFS(Annualized_Investments!Q$2:Q$9989,Annualized_Investments!$B$2:$B$9989,$A34)</f>
        <v>0</v>
      </c>
      <c r="R34">
        <f>SUMIFS(Annualized_Investments!R$2:R$9989,Annualized_Investments!$B$2:$B$9989,$A34)</f>
        <v>0</v>
      </c>
      <c r="S34">
        <f>SUMIFS(Annualized_Investments!S$2:S$9989,Annualized_Investments!$B$2:$B$9989,$A34)</f>
        <v>0</v>
      </c>
      <c r="T34">
        <f>SUMIFS(Annualized_Investments!T$2:T$9989,Annualized_Investments!$B$2:$B$9989,$A34)</f>
        <v>0</v>
      </c>
      <c r="U34">
        <f>SUMIFS(Annualized_Investments!U$2:U$9989,Annualized_Investments!$B$2:$B$9989,$A34)</f>
        <v>0</v>
      </c>
      <c r="V34">
        <f>SUMIFS(Annualized_Investments!V$2:V$9989,Annualized_Investments!$B$2:$B$9989,$A34)</f>
        <v>0</v>
      </c>
      <c r="W34">
        <f>SUMIFS(Annualized_Investments!W$2:W$9989,Annualized_Investments!$B$2:$B$9989,$A34)</f>
        <v>0</v>
      </c>
      <c r="X34">
        <f>SUMIFS(Annualized_Investments!X$2:X$9989,Annualized_Investments!$B$2:$B$9989,$A34)</f>
        <v>0</v>
      </c>
      <c r="Y34">
        <f>SUMIFS(Annualized_Investments!Y$2:Y$9989,Annualized_Investments!$B$2:$B$9989,$A34)</f>
        <v>0</v>
      </c>
      <c r="Z34">
        <f>SUMIFS(Annualized_Investments!Z$2:Z$9989,Annualized_Investments!$B$2:$B$9989,$A34)</f>
        <v>0</v>
      </c>
      <c r="AA34">
        <f>SUMIFS(Annualized_Investments!AA$2:AA$9989,Annualized_Investments!$B$2:$B$9989,$A34)</f>
        <v>0</v>
      </c>
      <c r="AB34">
        <f>SUMIFS(Annualized_Investments!AB$2:AB$9989,Annualized_Investments!$B$2:$B$9989,$A34)</f>
        <v>0</v>
      </c>
      <c r="AC34">
        <f>SUMIFS(Annualized_Investments!AC$2:AC$9989,Annualized_Investments!$B$2:$B$9989,$A34)</f>
        <v>0</v>
      </c>
      <c r="AD34">
        <f>SUMIFS(Annualized_Investments!AD$2:AD$9989,Annualized_Investments!$B$2:$B$9989,$A34)</f>
        <v>0</v>
      </c>
      <c r="AE34">
        <f>SUMIFS(Annualized_Investments!AE$2:AE$9989,Annualized_Investments!$B$2:$B$9989,$A34)</f>
        <v>0</v>
      </c>
      <c r="AF34">
        <f>SUMIFS(Annualized_Investments!AF$2:AF$9989,Annualized_Investments!$B$2:$B$9989,$A34)</f>
        <v>0</v>
      </c>
      <c r="AG34">
        <f>SUMIFS(Annualized_Investments!AG$2:AG$9989,Annualized_Investments!$B$2:$B$9989,$A34)</f>
        <v>0</v>
      </c>
    </row>
    <row r="35" spans="1:33">
      <c r="A35" t="s">
        <v>148</v>
      </c>
      <c r="C35">
        <f>SUMIFS(Annualized_Investments!C$2:C$9989,Annualized_Investments!$B$2:$B$9989,$A35)</f>
        <v>0</v>
      </c>
      <c r="D35">
        <f>SUMIFS(Annualized_Investments!D$2:D$9989,Annualized_Investments!$B$2:$B$9989,$A35)</f>
        <v>0</v>
      </c>
      <c r="E35">
        <f>SUMIFS(Annualized_Investments!E$2:E$9989,Annualized_Investments!$B$2:$B$9989,$A35)</f>
        <v>0</v>
      </c>
      <c r="F35">
        <f>SUMIFS(Annualized_Investments!F$2:F$9989,Annualized_Investments!$B$2:$B$9989,$A35)</f>
        <v>0</v>
      </c>
      <c r="G35">
        <f>SUMIFS(Annualized_Investments!G$2:G$9989,Annualized_Investments!$B$2:$B$9989,$A35)</f>
        <v>0</v>
      </c>
      <c r="H35">
        <f>SUMIFS(Annualized_Investments!H$2:H$9989,Annualized_Investments!$B$2:$B$9989,$A35)</f>
        <v>0</v>
      </c>
      <c r="I35">
        <f>SUMIFS(Annualized_Investments!I$2:I$9989,Annualized_Investments!$B$2:$B$9989,$A35)</f>
        <v>0</v>
      </c>
      <c r="J35">
        <f>SUMIFS(Annualized_Investments!J$2:J$9989,Annualized_Investments!$B$2:$B$9989,$A35)</f>
        <v>0</v>
      </c>
      <c r="K35">
        <f>SUMIFS(Annualized_Investments!K$2:K$9989,Annualized_Investments!$B$2:$B$9989,$A35)</f>
        <v>0</v>
      </c>
      <c r="L35">
        <f>SUMIFS(Annualized_Investments!L$2:L$9989,Annualized_Investments!$B$2:$B$9989,$A35)</f>
        <v>0</v>
      </c>
      <c r="M35">
        <f>SUMIFS(Annualized_Investments!M$2:M$9989,Annualized_Investments!$B$2:$B$9989,$A35)</f>
        <v>0</v>
      </c>
      <c r="N35">
        <f>SUMIFS(Annualized_Investments!N$2:N$9989,Annualized_Investments!$B$2:$B$9989,$A35)</f>
        <v>0</v>
      </c>
      <c r="O35">
        <f>SUMIFS(Annualized_Investments!O$2:O$9989,Annualized_Investments!$B$2:$B$9989,$A35)</f>
        <v>0</v>
      </c>
      <c r="P35">
        <f>SUMIFS(Annualized_Investments!P$2:P$9989,Annualized_Investments!$B$2:$B$9989,$A35)</f>
        <v>0</v>
      </c>
      <c r="Q35">
        <f>SUMIFS(Annualized_Investments!Q$2:Q$9989,Annualized_Investments!$B$2:$B$9989,$A35)</f>
        <v>0</v>
      </c>
      <c r="R35">
        <f>SUMIFS(Annualized_Investments!R$2:R$9989,Annualized_Investments!$B$2:$B$9989,$A35)</f>
        <v>0</v>
      </c>
      <c r="S35">
        <f>SUMIFS(Annualized_Investments!S$2:S$9989,Annualized_Investments!$B$2:$B$9989,$A35)</f>
        <v>0</v>
      </c>
      <c r="T35">
        <f>SUMIFS(Annualized_Investments!T$2:T$9989,Annualized_Investments!$B$2:$B$9989,$A35)</f>
        <v>0</v>
      </c>
      <c r="U35">
        <f>SUMIFS(Annualized_Investments!U$2:U$9989,Annualized_Investments!$B$2:$B$9989,$A35)</f>
        <v>0</v>
      </c>
      <c r="V35">
        <f>SUMIFS(Annualized_Investments!V$2:V$9989,Annualized_Investments!$B$2:$B$9989,$A35)</f>
        <v>0</v>
      </c>
      <c r="W35">
        <f>SUMIFS(Annualized_Investments!W$2:W$9989,Annualized_Investments!$B$2:$B$9989,$A35)</f>
        <v>0</v>
      </c>
      <c r="X35">
        <f>SUMIFS(Annualized_Investments!X$2:X$9989,Annualized_Investments!$B$2:$B$9989,$A35)</f>
        <v>0</v>
      </c>
      <c r="Y35">
        <f>SUMIFS(Annualized_Investments!Y$2:Y$9989,Annualized_Investments!$B$2:$B$9989,$A35)</f>
        <v>0</v>
      </c>
      <c r="Z35">
        <f>SUMIFS(Annualized_Investments!Z$2:Z$9989,Annualized_Investments!$B$2:$B$9989,$A35)</f>
        <v>0</v>
      </c>
      <c r="AA35">
        <f>SUMIFS(Annualized_Investments!AA$2:AA$9989,Annualized_Investments!$B$2:$B$9989,$A35)</f>
        <v>0</v>
      </c>
      <c r="AB35">
        <f>SUMIFS(Annualized_Investments!AB$2:AB$9989,Annualized_Investments!$B$2:$B$9989,$A35)</f>
        <v>0</v>
      </c>
      <c r="AC35">
        <f>SUMIFS(Annualized_Investments!AC$2:AC$9989,Annualized_Investments!$B$2:$B$9989,$A35)</f>
        <v>0</v>
      </c>
      <c r="AD35">
        <f>SUMIFS(Annualized_Investments!AD$2:AD$9989,Annualized_Investments!$B$2:$B$9989,$A35)</f>
        <v>0</v>
      </c>
      <c r="AE35">
        <f>SUMIFS(Annualized_Investments!AE$2:AE$9989,Annualized_Investments!$B$2:$B$9989,$A35)</f>
        <v>0</v>
      </c>
      <c r="AF35">
        <f>SUMIFS(Annualized_Investments!AF$2:AF$9989,Annualized_Investments!$B$2:$B$9989,$A35)</f>
        <v>0</v>
      </c>
      <c r="AG35">
        <f>SUMIFS(Annualized_Investments!AG$2:AG$9989,Annualized_Investments!$B$2:$B$9989,$A35)</f>
        <v>0</v>
      </c>
    </row>
    <row r="36" spans="1:33">
      <c r="A36" t="s">
        <v>149</v>
      </c>
      <c r="C36">
        <f>SUMIFS(Annualized_Investments!C$2:C$9989,Annualized_Investments!$B$2:$B$9989,$A36)</f>
        <v>0</v>
      </c>
      <c r="D36">
        <f>SUMIFS(Annualized_Investments!D$2:D$9989,Annualized_Investments!$B$2:$B$9989,$A36)</f>
        <v>0</v>
      </c>
      <c r="E36">
        <f>SUMIFS(Annualized_Investments!E$2:E$9989,Annualized_Investments!$B$2:$B$9989,$A36)</f>
        <v>0</v>
      </c>
      <c r="F36">
        <f>SUMIFS(Annualized_Investments!F$2:F$9989,Annualized_Investments!$B$2:$B$9989,$A36)</f>
        <v>0</v>
      </c>
      <c r="G36">
        <f>SUMIFS(Annualized_Investments!G$2:G$9989,Annualized_Investments!$B$2:$B$9989,$A36)</f>
        <v>0</v>
      </c>
      <c r="H36">
        <f>SUMIFS(Annualized_Investments!H$2:H$9989,Annualized_Investments!$B$2:$B$9989,$A36)</f>
        <v>0</v>
      </c>
      <c r="I36">
        <f>SUMIFS(Annualized_Investments!I$2:I$9989,Annualized_Investments!$B$2:$B$9989,$A36)</f>
        <v>0</v>
      </c>
      <c r="J36">
        <f>SUMIFS(Annualized_Investments!J$2:J$9989,Annualized_Investments!$B$2:$B$9989,$A36)</f>
        <v>0</v>
      </c>
      <c r="K36">
        <f>SUMIFS(Annualized_Investments!K$2:K$9989,Annualized_Investments!$B$2:$B$9989,$A36)</f>
        <v>0</v>
      </c>
      <c r="L36">
        <f>SUMIFS(Annualized_Investments!L$2:L$9989,Annualized_Investments!$B$2:$B$9989,$A36)</f>
        <v>0</v>
      </c>
      <c r="M36">
        <f>SUMIFS(Annualized_Investments!M$2:M$9989,Annualized_Investments!$B$2:$B$9989,$A36)</f>
        <v>0</v>
      </c>
      <c r="N36">
        <f>SUMIFS(Annualized_Investments!N$2:N$9989,Annualized_Investments!$B$2:$B$9989,$A36)</f>
        <v>0</v>
      </c>
      <c r="O36">
        <f>SUMIFS(Annualized_Investments!O$2:O$9989,Annualized_Investments!$B$2:$B$9989,$A36)</f>
        <v>0</v>
      </c>
      <c r="P36">
        <f>SUMIFS(Annualized_Investments!P$2:P$9989,Annualized_Investments!$B$2:$B$9989,$A36)</f>
        <v>0</v>
      </c>
      <c r="Q36">
        <f>SUMIFS(Annualized_Investments!Q$2:Q$9989,Annualized_Investments!$B$2:$B$9989,$A36)</f>
        <v>0</v>
      </c>
      <c r="R36">
        <f>SUMIFS(Annualized_Investments!R$2:R$9989,Annualized_Investments!$B$2:$B$9989,$A36)</f>
        <v>0</v>
      </c>
      <c r="S36">
        <f>SUMIFS(Annualized_Investments!S$2:S$9989,Annualized_Investments!$B$2:$B$9989,$A36)</f>
        <v>0</v>
      </c>
      <c r="T36">
        <f>SUMIFS(Annualized_Investments!T$2:T$9989,Annualized_Investments!$B$2:$B$9989,$A36)</f>
        <v>0</v>
      </c>
      <c r="U36">
        <f>SUMIFS(Annualized_Investments!U$2:U$9989,Annualized_Investments!$B$2:$B$9989,$A36)</f>
        <v>0</v>
      </c>
      <c r="V36">
        <f>SUMIFS(Annualized_Investments!V$2:V$9989,Annualized_Investments!$B$2:$B$9989,$A36)</f>
        <v>0</v>
      </c>
      <c r="W36">
        <f>SUMIFS(Annualized_Investments!W$2:W$9989,Annualized_Investments!$B$2:$B$9989,$A36)</f>
        <v>0</v>
      </c>
      <c r="X36">
        <f>SUMIFS(Annualized_Investments!X$2:X$9989,Annualized_Investments!$B$2:$B$9989,$A36)</f>
        <v>0</v>
      </c>
      <c r="Y36">
        <f>SUMIFS(Annualized_Investments!Y$2:Y$9989,Annualized_Investments!$B$2:$B$9989,$A36)</f>
        <v>0</v>
      </c>
      <c r="Z36">
        <f>SUMIFS(Annualized_Investments!Z$2:Z$9989,Annualized_Investments!$B$2:$B$9989,$A36)</f>
        <v>0</v>
      </c>
      <c r="AA36">
        <f>SUMIFS(Annualized_Investments!AA$2:AA$9989,Annualized_Investments!$B$2:$B$9989,$A36)</f>
        <v>0</v>
      </c>
      <c r="AB36">
        <f>SUMIFS(Annualized_Investments!AB$2:AB$9989,Annualized_Investments!$B$2:$B$9989,$A36)</f>
        <v>0</v>
      </c>
      <c r="AC36">
        <f>SUMIFS(Annualized_Investments!AC$2:AC$9989,Annualized_Investments!$B$2:$B$9989,$A36)</f>
        <v>0</v>
      </c>
      <c r="AD36">
        <f>SUMIFS(Annualized_Investments!AD$2:AD$9989,Annualized_Investments!$B$2:$B$9989,$A36)</f>
        <v>0</v>
      </c>
      <c r="AE36">
        <f>SUMIFS(Annualized_Investments!AE$2:AE$9989,Annualized_Investments!$B$2:$B$9989,$A36)</f>
        <v>0</v>
      </c>
      <c r="AF36">
        <f>SUMIFS(Annualized_Investments!AF$2:AF$9989,Annualized_Investments!$B$2:$B$9989,$A36)</f>
        <v>0</v>
      </c>
      <c r="AG36">
        <f>SUMIFS(Annualized_Investments!AG$2:AG$9989,Annualized_Investments!$B$2:$B$9989,$A36)</f>
        <v>0</v>
      </c>
    </row>
    <row r="37" spans="1:33">
      <c r="A37" t="s">
        <v>150</v>
      </c>
      <c r="C37">
        <f>SUMIFS(Annualized_Investments!C$2:C$9989,Annualized_Investments!$B$2:$B$9989,$A37)</f>
        <v>0</v>
      </c>
      <c r="D37">
        <f>SUMIFS(Annualized_Investments!D$2:D$9989,Annualized_Investments!$B$2:$B$9989,$A37)</f>
        <v>17.8767600929</v>
      </c>
      <c r="E37">
        <f>SUMIFS(Annualized_Investments!E$2:E$9989,Annualized_Investments!$B$2:$B$9989,$A37)</f>
        <v>35.182746503700002</v>
      </c>
      <c r="F37">
        <f>SUMIFS(Annualized_Investments!F$2:F$9989,Annualized_Investments!$B$2:$B$9989,$A37)</f>
        <v>43.737239445599997</v>
      </c>
      <c r="G37">
        <f>SUMIFS(Annualized_Investments!G$2:G$9989,Annualized_Investments!$B$2:$B$9989,$A37)</f>
        <v>96.293446186699995</v>
      </c>
      <c r="H37">
        <f>SUMIFS(Annualized_Investments!H$2:H$9989,Annualized_Investments!$B$2:$B$9989,$A37)</f>
        <v>110.19144367200001</v>
      </c>
      <c r="I37">
        <f>SUMIFS(Annualized_Investments!I$2:I$9989,Annualized_Investments!$B$2:$B$9989,$A37)</f>
        <v>110.19144367200001</v>
      </c>
      <c r="J37">
        <f>SUMIFS(Annualized_Investments!J$2:J$9989,Annualized_Investments!$B$2:$B$9989,$A37)</f>
        <v>110.19144367200001</v>
      </c>
      <c r="K37">
        <f>SUMIFS(Annualized_Investments!K$2:K$9989,Annualized_Investments!$B$2:$B$9989,$A37)</f>
        <v>110.19144367200001</v>
      </c>
      <c r="L37">
        <f>SUMIFS(Annualized_Investments!L$2:L$9989,Annualized_Investments!$B$2:$B$9989,$A37)</f>
        <v>110.19144367200001</v>
      </c>
      <c r="M37">
        <f>SUMIFS(Annualized_Investments!M$2:M$9989,Annualized_Investments!$B$2:$B$9989,$A37)</f>
        <v>455.58903280880003</v>
      </c>
      <c r="N37">
        <f>SUMIFS(Annualized_Investments!N$2:N$9989,Annualized_Investments!$B$2:$B$9989,$A37)</f>
        <v>455.58903280880003</v>
      </c>
      <c r="O37">
        <f>SUMIFS(Annualized_Investments!O$2:O$9989,Annualized_Investments!$B$2:$B$9989,$A37)</f>
        <v>455.58903280880003</v>
      </c>
      <c r="P37">
        <f>SUMIFS(Annualized_Investments!P$2:P$9989,Annualized_Investments!$B$2:$B$9989,$A37)</f>
        <v>455.58903280880003</v>
      </c>
      <c r="Q37">
        <f>SUMIFS(Annualized_Investments!Q$2:Q$9989,Annualized_Investments!$B$2:$B$9989,$A37)</f>
        <v>456.74671292900001</v>
      </c>
      <c r="R37">
        <f>SUMIFS(Annualized_Investments!R$2:R$9989,Annualized_Investments!$B$2:$B$9989,$A37)</f>
        <v>456.74671292900001</v>
      </c>
      <c r="S37">
        <f>SUMIFS(Annualized_Investments!S$2:S$9989,Annualized_Investments!$B$2:$B$9989,$A37)</f>
        <v>456.74671292900001</v>
      </c>
      <c r="T37">
        <f>SUMIFS(Annualized_Investments!T$2:T$9989,Annualized_Investments!$B$2:$B$9989,$A37)</f>
        <v>456.74671292900001</v>
      </c>
      <c r="U37">
        <f>SUMIFS(Annualized_Investments!U$2:U$9989,Annualized_Investments!$B$2:$B$9989,$A37)</f>
        <v>456.74671292900001</v>
      </c>
      <c r="V37">
        <f>SUMIFS(Annualized_Investments!V$2:V$9989,Annualized_Investments!$B$2:$B$9989,$A37)</f>
        <v>456.74671292900001</v>
      </c>
      <c r="W37">
        <f>SUMIFS(Annualized_Investments!W$2:W$9989,Annualized_Investments!$B$2:$B$9989,$A37)</f>
        <v>960.52234226309997</v>
      </c>
      <c r="X37">
        <f>SUMIFS(Annualized_Investments!X$2:X$9989,Annualized_Investments!$B$2:$B$9989,$A37)</f>
        <v>1003.6008832679</v>
      </c>
      <c r="Y37">
        <f>SUMIFS(Annualized_Investments!Y$2:Y$9989,Annualized_Investments!$B$2:$B$9989,$A37)</f>
        <v>1048.6242453433999</v>
      </c>
      <c r="Z37">
        <f>SUMIFS(Annualized_Investments!Z$2:Z$9989,Annualized_Investments!$B$2:$B$9989,$A37)</f>
        <v>1092.6186547957</v>
      </c>
      <c r="AA37">
        <f>SUMIFS(Annualized_Investments!AA$2:AA$9989,Annualized_Investments!$B$2:$B$9989,$A37)</f>
        <v>1136.2447987809001</v>
      </c>
      <c r="AB37">
        <f>SUMIFS(Annualized_Investments!AB$2:AB$9989,Annualized_Investments!$B$2:$B$9989,$A37)</f>
        <v>1181.9639943735999</v>
      </c>
      <c r="AC37">
        <f>SUMIFS(Annualized_Investments!AC$2:AC$9989,Annualized_Investments!$B$2:$B$9989,$A37)</f>
        <v>1241.5086705900001</v>
      </c>
      <c r="AD37">
        <f>SUMIFS(Annualized_Investments!AD$2:AD$9989,Annualized_Investments!$B$2:$B$9989,$A37)</f>
        <v>1286.2506263527</v>
      </c>
      <c r="AE37">
        <f>SUMIFS(Annualized_Investments!AE$2:AE$9989,Annualized_Investments!$B$2:$B$9989,$A37)</f>
        <v>1371.3036120383999</v>
      </c>
      <c r="AF37">
        <f>SUMIFS(Annualized_Investments!AF$2:AF$9989,Annualized_Investments!$B$2:$B$9989,$A37)</f>
        <v>1371.3036120383999</v>
      </c>
      <c r="AG37">
        <f>SUMIFS(Annualized_Investments!AG$2:AG$9989,Annualized_Investments!$B$2:$B$9989,$A37)</f>
        <v>1589.5034289794</v>
      </c>
    </row>
    <row r="38" spans="1:33">
      <c r="A38" t="s">
        <v>151</v>
      </c>
      <c r="C38">
        <f>SUMIFS(Annualized_Investments!C$2:C$9989,Annualized_Investments!$B$2:$B$9989,$A38)</f>
        <v>0</v>
      </c>
      <c r="D38">
        <f>SUMIFS(Annualized_Investments!D$2:D$9989,Annualized_Investments!$B$2:$B$9989,$A38)</f>
        <v>0</v>
      </c>
      <c r="E38">
        <f>SUMIFS(Annualized_Investments!E$2:E$9989,Annualized_Investments!$B$2:$B$9989,$A38)</f>
        <v>0</v>
      </c>
      <c r="F38">
        <f>SUMIFS(Annualized_Investments!F$2:F$9989,Annualized_Investments!$B$2:$B$9989,$A38)</f>
        <v>0</v>
      </c>
      <c r="G38">
        <f>SUMIFS(Annualized_Investments!G$2:G$9989,Annualized_Investments!$B$2:$B$9989,$A38)</f>
        <v>0</v>
      </c>
      <c r="H38">
        <f>SUMIFS(Annualized_Investments!H$2:H$9989,Annualized_Investments!$B$2:$B$9989,$A38)</f>
        <v>0</v>
      </c>
      <c r="I38">
        <f>SUMIFS(Annualized_Investments!I$2:I$9989,Annualized_Investments!$B$2:$B$9989,$A38)</f>
        <v>0</v>
      </c>
      <c r="J38">
        <f>SUMIFS(Annualized_Investments!J$2:J$9989,Annualized_Investments!$B$2:$B$9989,$A38)</f>
        <v>0</v>
      </c>
      <c r="K38">
        <f>SUMIFS(Annualized_Investments!K$2:K$9989,Annualized_Investments!$B$2:$B$9989,$A38)</f>
        <v>0</v>
      </c>
      <c r="L38">
        <f>SUMIFS(Annualized_Investments!L$2:L$9989,Annualized_Investments!$B$2:$B$9989,$A38)</f>
        <v>0</v>
      </c>
      <c r="M38">
        <f>SUMIFS(Annualized_Investments!M$2:M$9989,Annualized_Investments!$B$2:$B$9989,$A38)</f>
        <v>0</v>
      </c>
      <c r="N38">
        <f>SUMIFS(Annualized_Investments!N$2:N$9989,Annualized_Investments!$B$2:$B$9989,$A38)</f>
        <v>0</v>
      </c>
      <c r="O38">
        <f>SUMIFS(Annualized_Investments!O$2:O$9989,Annualized_Investments!$B$2:$B$9989,$A38)</f>
        <v>0</v>
      </c>
      <c r="P38">
        <f>SUMIFS(Annualized_Investments!P$2:P$9989,Annualized_Investments!$B$2:$B$9989,$A38)</f>
        <v>0</v>
      </c>
      <c r="Q38">
        <f>SUMIFS(Annualized_Investments!Q$2:Q$9989,Annualized_Investments!$B$2:$B$9989,$A38)</f>
        <v>0</v>
      </c>
      <c r="R38">
        <f>SUMIFS(Annualized_Investments!R$2:R$9989,Annualized_Investments!$B$2:$B$9989,$A38)</f>
        <v>0</v>
      </c>
      <c r="S38">
        <f>SUMIFS(Annualized_Investments!S$2:S$9989,Annualized_Investments!$B$2:$B$9989,$A38)</f>
        <v>0</v>
      </c>
      <c r="T38">
        <f>SUMIFS(Annualized_Investments!T$2:T$9989,Annualized_Investments!$B$2:$B$9989,$A38)</f>
        <v>0</v>
      </c>
      <c r="U38">
        <f>SUMIFS(Annualized_Investments!U$2:U$9989,Annualized_Investments!$B$2:$B$9989,$A38)</f>
        <v>0</v>
      </c>
      <c r="V38">
        <f>SUMIFS(Annualized_Investments!V$2:V$9989,Annualized_Investments!$B$2:$B$9989,$A38)</f>
        <v>0</v>
      </c>
      <c r="W38">
        <f>SUMIFS(Annualized_Investments!W$2:W$9989,Annualized_Investments!$B$2:$B$9989,$A38)</f>
        <v>0</v>
      </c>
      <c r="X38">
        <f>SUMIFS(Annualized_Investments!X$2:X$9989,Annualized_Investments!$B$2:$B$9989,$A38)</f>
        <v>0</v>
      </c>
      <c r="Y38">
        <f>SUMIFS(Annualized_Investments!Y$2:Y$9989,Annualized_Investments!$B$2:$B$9989,$A38)</f>
        <v>0</v>
      </c>
      <c r="Z38">
        <f>SUMIFS(Annualized_Investments!Z$2:Z$9989,Annualized_Investments!$B$2:$B$9989,$A38)</f>
        <v>0</v>
      </c>
      <c r="AA38">
        <f>SUMIFS(Annualized_Investments!AA$2:AA$9989,Annualized_Investments!$B$2:$B$9989,$A38)</f>
        <v>0</v>
      </c>
      <c r="AB38">
        <f>SUMIFS(Annualized_Investments!AB$2:AB$9989,Annualized_Investments!$B$2:$B$9989,$A38)</f>
        <v>0</v>
      </c>
      <c r="AC38">
        <f>SUMIFS(Annualized_Investments!AC$2:AC$9989,Annualized_Investments!$B$2:$B$9989,$A38)</f>
        <v>0</v>
      </c>
      <c r="AD38">
        <f>SUMIFS(Annualized_Investments!AD$2:AD$9989,Annualized_Investments!$B$2:$B$9989,$A38)</f>
        <v>0</v>
      </c>
      <c r="AE38">
        <f>SUMIFS(Annualized_Investments!AE$2:AE$9989,Annualized_Investments!$B$2:$B$9989,$A38)</f>
        <v>0</v>
      </c>
      <c r="AF38">
        <f>SUMIFS(Annualized_Investments!AF$2:AF$9989,Annualized_Investments!$B$2:$B$9989,$A38)</f>
        <v>0</v>
      </c>
      <c r="AG38">
        <f>SUMIFS(Annualized_Investments!AG$2:AG$9989,Annualized_Investments!$B$2:$B$9989,$A38)</f>
        <v>0</v>
      </c>
    </row>
    <row r="39" spans="1:33">
      <c r="A39" t="s">
        <v>152</v>
      </c>
      <c r="C39">
        <f>SUMIFS(Annualized_Investments!C$2:C$9989,Annualized_Investments!$B$2:$B$9989,$A39)</f>
        <v>24.191247073500001</v>
      </c>
      <c r="D39">
        <f>SUMIFS(Annualized_Investments!D$2:D$9989,Annualized_Investments!$B$2:$B$9989,$A39)</f>
        <v>39.447849884599997</v>
      </c>
      <c r="E39">
        <f>SUMIFS(Annualized_Investments!E$2:E$9989,Annualized_Investments!$B$2:$B$9989,$A39)</f>
        <v>39.447849884599997</v>
      </c>
      <c r="F39">
        <f>SUMIFS(Annualized_Investments!F$2:F$9989,Annualized_Investments!$B$2:$B$9989,$A39)</f>
        <v>41.740986002900001</v>
      </c>
      <c r="G39">
        <f>SUMIFS(Annualized_Investments!G$2:G$9989,Annualized_Investments!$B$2:$B$9989,$A39)</f>
        <v>41.740986002900001</v>
      </c>
      <c r="H39">
        <f>SUMIFS(Annualized_Investments!H$2:H$9989,Annualized_Investments!$B$2:$B$9989,$A39)</f>
        <v>41.740986002900001</v>
      </c>
      <c r="I39">
        <f>SUMIFS(Annualized_Investments!I$2:I$9989,Annualized_Investments!$B$2:$B$9989,$A39)</f>
        <v>41.740986002900001</v>
      </c>
      <c r="J39">
        <f>SUMIFS(Annualized_Investments!J$2:J$9989,Annualized_Investments!$B$2:$B$9989,$A39)</f>
        <v>41.740986002900001</v>
      </c>
      <c r="K39">
        <f>SUMIFS(Annualized_Investments!K$2:K$9989,Annualized_Investments!$B$2:$B$9989,$A39)</f>
        <v>41.740986002900001</v>
      </c>
      <c r="L39">
        <f>SUMIFS(Annualized_Investments!L$2:L$9989,Annualized_Investments!$B$2:$B$9989,$A39)</f>
        <v>41.740986002900001</v>
      </c>
      <c r="M39">
        <f>SUMIFS(Annualized_Investments!M$2:M$9989,Annualized_Investments!$B$2:$B$9989,$A39)</f>
        <v>41.740986002900001</v>
      </c>
      <c r="N39">
        <f>SUMIFS(Annualized_Investments!N$2:N$9989,Annualized_Investments!$B$2:$B$9989,$A39)</f>
        <v>41.740986002900001</v>
      </c>
      <c r="O39">
        <f>SUMIFS(Annualized_Investments!O$2:O$9989,Annualized_Investments!$B$2:$B$9989,$A39)</f>
        <v>41.740986002900001</v>
      </c>
      <c r="P39">
        <f>SUMIFS(Annualized_Investments!P$2:P$9989,Annualized_Investments!$B$2:$B$9989,$A39)</f>
        <v>41.740986002900001</v>
      </c>
      <c r="Q39">
        <f>SUMIFS(Annualized_Investments!Q$2:Q$9989,Annualized_Investments!$B$2:$B$9989,$A39)</f>
        <v>41.740986002900001</v>
      </c>
      <c r="R39">
        <f>SUMIFS(Annualized_Investments!R$2:R$9989,Annualized_Investments!$B$2:$B$9989,$A39)</f>
        <v>41.740986002900001</v>
      </c>
      <c r="S39">
        <f>SUMIFS(Annualized_Investments!S$2:S$9989,Annualized_Investments!$B$2:$B$9989,$A39)</f>
        <v>41.740986002900001</v>
      </c>
      <c r="T39">
        <f>SUMIFS(Annualized_Investments!T$2:T$9989,Annualized_Investments!$B$2:$B$9989,$A39)</f>
        <v>41.740986002900001</v>
      </c>
      <c r="U39">
        <f>SUMIFS(Annualized_Investments!U$2:U$9989,Annualized_Investments!$B$2:$B$9989,$A39)</f>
        <v>41.740986002900001</v>
      </c>
      <c r="V39">
        <f>SUMIFS(Annualized_Investments!V$2:V$9989,Annualized_Investments!$B$2:$B$9989,$A39)</f>
        <v>41.740986002900001</v>
      </c>
      <c r="W39">
        <f>SUMIFS(Annualized_Investments!W$2:W$9989,Annualized_Investments!$B$2:$B$9989,$A39)</f>
        <v>41.740986002900001</v>
      </c>
      <c r="X39">
        <f>SUMIFS(Annualized_Investments!X$2:X$9989,Annualized_Investments!$B$2:$B$9989,$A39)</f>
        <v>41.740986002900001</v>
      </c>
      <c r="Y39">
        <f>SUMIFS(Annualized_Investments!Y$2:Y$9989,Annualized_Investments!$B$2:$B$9989,$A39)</f>
        <v>41.740986002900001</v>
      </c>
      <c r="Z39">
        <f>SUMIFS(Annualized_Investments!Z$2:Z$9989,Annualized_Investments!$B$2:$B$9989,$A39)</f>
        <v>41.740986002900001</v>
      </c>
      <c r="AA39">
        <f>SUMIFS(Annualized_Investments!AA$2:AA$9989,Annualized_Investments!$B$2:$B$9989,$A39)</f>
        <v>41.740986002900001</v>
      </c>
      <c r="AB39">
        <f>SUMIFS(Annualized_Investments!AB$2:AB$9989,Annualized_Investments!$B$2:$B$9989,$A39)</f>
        <v>17.5497389294</v>
      </c>
      <c r="AC39">
        <f>SUMIFS(Annualized_Investments!AC$2:AC$9989,Annualized_Investments!$B$2:$B$9989,$A39)</f>
        <v>2.2931361183000001</v>
      </c>
      <c r="AD39">
        <f>SUMIFS(Annualized_Investments!AD$2:AD$9989,Annualized_Investments!$B$2:$B$9989,$A39)</f>
        <v>2.2931361183000001</v>
      </c>
      <c r="AE39">
        <f>SUMIFS(Annualized_Investments!AE$2:AE$9989,Annualized_Investments!$B$2:$B$9989,$A39)</f>
        <v>0</v>
      </c>
      <c r="AF39">
        <f>SUMIFS(Annualized_Investments!AF$2:AF$9989,Annualized_Investments!$B$2:$B$9989,$A39)</f>
        <v>0</v>
      </c>
      <c r="AG39">
        <f>SUMIFS(Annualized_Investments!AG$2:AG$9989,Annualized_Investments!$B$2:$B$9989,$A39)</f>
        <v>0</v>
      </c>
    </row>
    <row r="40" spans="1:33">
      <c r="A40" t="s">
        <v>135</v>
      </c>
      <c r="C40">
        <f>SUMIFS(Annualized_Investments!C$2:C$9989,Annualized_Investments!$B$2:$B$9989,$A40)</f>
        <v>0</v>
      </c>
      <c r="D40">
        <f>SUMIFS(Annualized_Investments!D$2:D$9989,Annualized_Investments!$B$2:$B$9989,$A40)</f>
        <v>12.9732737057</v>
      </c>
      <c r="E40">
        <f>SUMIFS(Annualized_Investments!E$2:E$9989,Annualized_Investments!$B$2:$B$9989,$A40)</f>
        <v>19.993849520800001</v>
      </c>
      <c r="F40">
        <f>SUMIFS(Annualized_Investments!F$2:F$9989,Annualized_Investments!$B$2:$B$9989,$A40)</f>
        <v>19.993849520800001</v>
      </c>
      <c r="G40">
        <f>SUMIFS(Annualized_Investments!G$2:G$9989,Annualized_Investments!$B$2:$B$9989,$A40)</f>
        <v>20.801973355600001</v>
      </c>
      <c r="H40">
        <f>SUMIFS(Annualized_Investments!H$2:H$9989,Annualized_Investments!$B$2:$B$9989,$A40)</f>
        <v>20.801973355600001</v>
      </c>
      <c r="I40">
        <f>SUMIFS(Annualized_Investments!I$2:I$9989,Annualized_Investments!$B$2:$B$9989,$A40)</f>
        <v>20.801973355600001</v>
      </c>
      <c r="J40">
        <f>SUMIFS(Annualized_Investments!J$2:J$9989,Annualized_Investments!$B$2:$B$9989,$A40)</f>
        <v>20.801973355600001</v>
      </c>
      <c r="K40">
        <f>SUMIFS(Annualized_Investments!K$2:K$9989,Annualized_Investments!$B$2:$B$9989,$A40)</f>
        <v>20.801973355600001</v>
      </c>
      <c r="L40">
        <f>SUMIFS(Annualized_Investments!L$2:L$9989,Annualized_Investments!$B$2:$B$9989,$A40)</f>
        <v>20.801973355600001</v>
      </c>
      <c r="M40">
        <f>SUMIFS(Annualized_Investments!M$2:M$9989,Annualized_Investments!$B$2:$B$9989,$A40)</f>
        <v>20.801973355600001</v>
      </c>
      <c r="N40">
        <f>SUMIFS(Annualized_Investments!N$2:N$9989,Annualized_Investments!$B$2:$B$9989,$A40)</f>
        <v>20.801973355600001</v>
      </c>
      <c r="O40">
        <f>SUMIFS(Annualized_Investments!O$2:O$9989,Annualized_Investments!$B$2:$B$9989,$A40)</f>
        <v>20.801973355600001</v>
      </c>
      <c r="P40">
        <f>SUMIFS(Annualized_Investments!P$2:P$9989,Annualized_Investments!$B$2:$B$9989,$A40)</f>
        <v>20.801973355600001</v>
      </c>
      <c r="Q40">
        <f>SUMIFS(Annualized_Investments!Q$2:Q$9989,Annualized_Investments!$B$2:$B$9989,$A40)</f>
        <v>20.801973355600001</v>
      </c>
      <c r="R40">
        <f>SUMIFS(Annualized_Investments!R$2:R$9989,Annualized_Investments!$B$2:$B$9989,$A40)</f>
        <v>20.801973355600001</v>
      </c>
      <c r="S40">
        <f>SUMIFS(Annualized_Investments!S$2:S$9989,Annualized_Investments!$B$2:$B$9989,$A40)</f>
        <v>20.801973355600001</v>
      </c>
      <c r="T40">
        <f>SUMIFS(Annualized_Investments!T$2:T$9989,Annualized_Investments!$B$2:$B$9989,$A40)</f>
        <v>20.801973355600001</v>
      </c>
      <c r="U40">
        <f>SUMIFS(Annualized_Investments!U$2:U$9989,Annualized_Investments!$B$2:$B$9989,$A40)</f>
        <v>20.801973355600001</v>
      </c>
      <c r="V40">
        <f>SUMIFS(Annualized_Investments!V$2:V$9989,Annualized_Investments!$B$2:$B$9989,$A40)</f>
        <v>20.801973355600001</v>
      </c>
      <c r="W40">
        <f>SUMIFS(Annualized_Investments!W$2:W$9989,Annualized_Investments!$B$2:$B$9989,$A40)</f>
        <v>20.801973355600001</v>
      </c>
      <c r="X40">
        <f>SUMIFS(Annualized_Investments!X$2:X$9989,Annualized_Investments!$B$2:$B$9989,$A40)</f>
        <v>20.801973355600001</v>
      </c>
      <c r="Y40">
        <f>SUMIFS(Annualized_Investments!Y$2:Y$9989,Annualized_Investments!$B$2:$B$9989,$A40)</f>
        <v>20.801973355600001</v>
      </c>
      <c r="Z40">
        <f>SUMIFS(Annualized_Investments!Z$2:Z$9989,Annualized_Investments!$B$2:$B$9989,$A40)</f>
        <v>20.801973355600001</v>
      </c>
      <c r="AA40">
        <f>SUMIFS(Annualized_Investments!AA$2:AA$9989,Annualized_Investments!$B$2:$B$9989,$A40)</f>
        <v>20.801973355600001</v>
      </c>
      <c r="AB40">
        <f>SUMIFS(Annualized_Investments!AB$2:AB$9989,Annualized_Investments!$B$2:$B$9989,$A40)</f>
        <v>20.801973355600001</v>
      </c>
      <c r="AC40">
        <f>SUMIFS(Annualized_Investments!AC$2:AC$9989,Annualized_Investments!$B$2:$B$9989,$A40)</f>
        <v>20.801973355600001</v>
      </c>
      <c r="AD40">
        <f>SUMIFS(Annualized_Investments!AD$2:AD$9989,Annualized_Investments!$B$2:$B$9989,$A40)</f>
        <v>20.801973355600001</v>
      </c>
      <c r="AE40">
        <f>SUMIFS(Annualized_Investments!AE$2:AE$9989,Annualized_Investments!$B$2:$B$9989,$A40)</f>
        <v>20.801973355600001</v>
      </c>
      <c r="AF40">
        <f>SUMIFS(Annualized_Investments!AF$2:AF$9989,Annualized_Investments!$B$2:$B$9989,$A40)</f>
        <v>20.801973355600001</v>
      </c>
      <c r="AG40">
        <f>SUMIFS(Annualized_Investments!AG$2:AG$9989,Annualized_Investments!$B$2:$B$9989,$A40)</f>
        <v>20.801973355600001</v>
      </c>
    </row>
    <row r="41" spans="1:33">
      <c r="A41" t="s">
        <v>134</v>
      </c>
      <c r="C41">
        <f>SUMIFS(Annualized_Investments!C$2:C$9989,Annualized_Investments!$B$2:$B$9989,$A41)</f>
        <v>0</v>
      </c>
      <c r="D41">
        <f>SUMIFS(Annualized_Investments!D$2:D$9989,Annualized_Investments!$B$2:$B$9989,$A41)</f>
        <v>0</v>
      </c>
      <c r="E41">
        <f>SUMIFS(Annualized_Investments!E$2:E$9989,Annualized_Investments!$B$2:$B$9989,$A41)</f>
        <v>0</v>
      </c>
      <c r="F41">
        <f>SUMIFS(Annualized_Investments!F$2:F$9989,Annualized_Investments!$B$2:$B$9989,$A41)</f>
        <v>0</v>
      </c>
      <c r="G41">
        <f>SUMIFS(Annualized_Investments!G$2:G$9989,Annualized_Investments!$B$2:$B$9989,$A41)</f>
        <v>0</v>
      </c>
      <c r="H41">
        <f>SUMIFS(Annualized_Investments!H$2:H$9989,Annualized_Investments!$B$2:$B$9989,$A41)</f>
        <v>0</v>
      </c>
      <c r="I41">
        <f>SUMIFS(Annualized_Investments!I$2:I$9989,Annualized_Investments!$B$2:$B$9989,$A41)</f>
        <v>0</v>
      </c>
      <c r="J41">
        <f>SUMIFS(Annualized_Investments!J$2:J$9989,Annualized_Investments!$B$2:$B$9989,$A41)</f>
        <v>0</v>
      </c>
      <c r="K41">
        <f>SUMIFS(Annualized_Investments!K$2:K$9989,Annualized_Investments!$B$2:$B$9989,$A41)</f>
        <v>0</v>
      </c>
      <c r="L41">
        <f>SUMIFS(Annualized_Investments!L$2:L$9989,Annualized_Investments!$B$2:$B$9989,$A41)</f>
        <v>0</v>
      </c>
      <c r="M41">
        <f>SUMIFS(Annualized_Investments!M$2:M$9989,Annualized_Investments!$B$2:$B$9989,$A41)</f>
        <v>0</v>
      </c>
      <c r="N41">
        <f>SUMIFS(Annualized_Investments!N$2:N$9989,Annualized_Investments!$B$2:$B$9989,$A41)</f>
        <v>0</v>
      </c>
      <c r="O41">
        <f>SUMIFS(Annualized_Investments!O$2:O$9989,Annualized_Investments!$B$2:$B$9989,$A41)</f>
        <v>0</v>
      </c>
      <c r="P41">
        <f>SUMIFS(Annualized_Investments!P$2:P$9989,Annualized_Investments!$B$2:$B$9989,$A41)</f>
        <v>0</v>
      </c>
      <c r="Q41">
        <f>SUMIFS(Annualized_Investments!Q$2:Q$9989,Annualized_Investments!$B$2:$B$9989,$A41)</f>
        <v>0</v>
      </c>
      <c r="R41">
        <f>SUMIFS(Annualized_Investments!R$2:R$9989,Annualized_Investments!$B$2:$B$9989,$A41)</f>
        <v>0</v>
      </c>
      <c r="S41">
        <f>SUMIFS(Annualized_Investments!S$2:S$9989,Annualized_Investments!$B$2:$B$9989,$A41)</f>
        <v>0</v>
      </c>
      <c r="T41">
        <f>SUMIFS(Annualized_Investments!T$2:T$9989,Annualized_Investments!$B$2:$B$9989,$A41)</f>
        <v>0</v>
      </c>
      <c r="U41">
        <f>SUMIFS(Annualized_Investments!U$2:U$9989,Annualized_Investments!$B$2:$B$9989,$A41)</f>
        <v>0</v>
      </c>
      <c r="V41">
        <f>SUMIFS(Annualized_Investments!V$2:V$9989,Annualized_Investments!$B$2:$B$9989,$A41)</f>
        <v>0</v>
      </c>
      <c r="W41">
        <f>SUMIFS(Annualized_Investments!W$2:W$9989,Annualized_Investments!$B$2:$B$9989,$A41)</f>
        <v>0</v>
      </c>
      <c r="X41">
        <f>SUMIFS(Annualized_Investments!X$2:X$9989,Annualized_Investments!$B$2:$B$9989,$A41)</f>
        <v>0</v>
      </c>
      <c r="Y41">
        <f>SUMIFS(Annualized_Investments!Y$2:Y$9989,Annualized_Investments!$B$2:$B$9989,$A41)</f>
        <v>0</v>
      </c>
      <c r="Z41">
        <f>SUMIFS(Annualized_Investments!Z$2:Z$9989,Annualized_Investments!$B$2:$B$9989,$A41)</f>
        <v>0</v>
      </c>
      <c r="AA41">
        <f>SUMIFS(Annualized_Investments!AA$2:AA$9989,Annualized_Investments!$B$2:$B$9989,$A41)</f>
        <v>0</v>
      </c>
      <c r="AB41">
        <f>SUMIFS(Annualized_Investments!AB$2:AB$9989,Annualized_Investments!$B$2:$B$9989,$A41)</f>
        <v>0</v>
      </c>
      <c r="AC41">
        <f>SUMIFS(Annualized_Investments!AC$2:AC$9989,Annualized_Investments!$B$2:$B$9989,$A41)</f>
        <v>0</v>
      </c>
      <c r="AD41">
        <f>SUMIFS(Annualized_Investments!AD$2:AD$9989,Annualized_Investments!$B$2:$B$9989,$A41)</f>
        <v>0</v>
      </c>
      <c r="AE41">
        <f>SUMIFS(Annualized_Investments!AE$2:AE$9989,Annualized_Investments!$B$2:$B$9989,$A41)</f>
        <v>0</v>
      </c>
      <c r="AF41">
        <f>SUMIFS(Annualized_Investments!AF$2:AF$9989,Annualized_Investments!$B$2:$B$9989,$A41)</f>
        <v>0</v>
      </c>
      <c r="AG41">
        <f>SUMIFS(Annualized_Investments!AG$2:AG$9989,Annualized_Investments!$B$2:$B$9989,$A41)</f>
        <v>0</v>
      </c>
    </row>
    <row r="42" spans="1:33">
      <c r="A42" s="43" t="s">
        <v>154</v>
      </c>
      <c r="C42">
        <f>SUMIFS(Annualized_Investments!C$2:C$9989,Annualized_Investments!$B$2:$B$9989,$A42)</f>
        <v>0</v>
      </c>
      <c r="D42">
        <f>SUMIFS(Annualized_Investments!D$2:D$9989,Annualized_Investments!$B$2:$B$9989,$A42)</f>
        <v>0</v>
      </c>
      <c r="E42">
        <f>SUMIFS(Annualized_Investments!E$2:E$9989,Annualized_Investments!$B$2:$B$9989,$A42)</f>
        <v>0</v>
      </c>
      <c r="F42">
        <f>SUMIFS(Annualized_Investments!F$2:F$9989,Annualized_Investments!$B$2:$B$9989,$A42)</f>
        <v>0</v>
      </c>
      <c r="G42">
        <f>SUMIFS(Annualized_Investments!G$2:G$9989,Annualized_Investments!$B$2:$B$9989,$A42)</f>
        <v>0</v>
      </c>
      <c r="H42">
        <f>SUMIFS(Annualized_Investments!H$2:H$9989,Annualized_Investments!$B$2:$B$9989,$A42)</f>
        <v>23.981630407600001</v>
      </c>
      <c r="I42">
        <f>SUMIFS(Annualized_Investments!I$2:I$9989,Annualized_Investments!$B$2:$B$9989,$A42)</f>
        <v>92.675423259300004</v>
      </c>
      <c r="J42">
        <f>SUMIFS(Annualized_Investments!J$2:J$9989,Annualized_Investments!$B$2:$B$9989,$A42)</f>
        <v>161.3692161111</v>
      </c>
      <c r="K42">
        <f>SUMIFS(Annualized_Investments!K$2:K$9989,Annualized_Investments!$B$2:$B$9989,$A42)</f>
        <v>230.0630089629</v>
      </c>
      <c r="L42">
        <f>SUMIFS(Annualized_Investments!L$2:L$9989,Annualized_Investments!$B$2:$B$9989,$A42)</f>
        <v>298.7568018147</v>
      </c>
      <c r="M42">
        <f>SUMIFS(Annualized_Investments!M$2:M$9989,Annualized_Investments!$B$2:$B$9989,$A42)</f>
        <v>367.45059466650002</v>
      </c>
      <c r="N42">
        <f>SUMIFS(Annualized_Investments!N$2:N$9989,Annualized_Investments!$B$2:$B$9989,$A42)</f>
        <v>449.53950606439997</v>
      </c>
      <c r="O42">
        <f>SUMIFS(Annualized_Investments!O$2:O$9989,Annualized_Investments!$B$2:$B$9989,$A42)</f>
        <v>531.62841746239997</v>
      </c>
      <c r="P42">
        <f>SUMIFS(Annualized_Investments!P$2:P$9989,Annualized_Investments!$B$2:$B$9989,$A42)</f>
        <v>613.71732886029997</v>
      </c>
      <c r="Q42">
        <f>SUMIFS(Annualized_Investments!Q$2:Q$9989,Annualized_Investments!$B$2:$B$9989,$A42)</f>
        <v>695.80624025830002</v>
      </c>
      <c r="R42">
        <f>SUMIFS(Annualized_Investments!R$2:R$9989,Annualized_Investments!$B$2:$B$9989,$A42)</f>
        <v>777.89515165629996</v>
      </c>
      <c r="S42">
        <f>SUMIFS(Annualized_Investments!S$2:S$9989,Annualized_Investments!$B$2:$B$9989,$A42)</f>
        <v>877.58254482509994</v>
      </c>
      <c r="T42">
        <f>SUMIFS(Annualized_Investments!T$2:T$9989,Annualized_Investments!$B$2:$B$9989,$A42)</f>
        <v>977.26993799399997</v>
      </c>
      <c r="U42">
        <f>SUMIFS(Annualized_Investments!U$2:U$9989,Annualized_Investments!$B$2:$B$9989,$A42)</f>
        <v>1076.9573311628999</v>
      </c>
      <c r="V42">
        <f>SUMIFS(Annualized_Investments!V$2:V$9989,Annualized_Investments!$B$2:$B$9989,$A42)</f>
        <v>1176.6447243317</v>
      </c>
      <c r="W42">
        <f>SUMIFS(Annualized_Investments!W$2:W$9989,Annualized_Investments!$B$2:$B$9989,$A42)</f>
        <v>1276.3321175005999</v>
      </c>
      <c r="X42">
        <f>SUMIFS(Annualized_Investments!X$2:X$9989,Annualized_Investments!$B$2:$B$9989,$A42)</f>
        <v>1376.5677318887001</v>
      </c>
      <c r="Y42">
        <f>SUMIFS(Annualized_Investments!Y$2:Y$9989,Annualized_Investments!$B$2:$B$9989,$A42)</f>
        <v>1484.8452805352999</v>
      </c>
      <c r="Z42">
        <f>SUMIFS(Annualized_Investments!Z$2:Z$9989,Annualized_Investments!$B$2:$B$9989,$A42)</f>
        <v>1593.3638989863</v>
      </c>
      <c r="AA42">
        <f>SUMIFS(Annualized_Investments!AA$2:AA$9989,Annualized_Investments!$B$2:$B$9989,$A42)</f>
        <v>1702.1088862093</v>
      </c>
      <c r="AB42">
        <f>SUMIFS(Annualized_Investments!AB$2:AB$9989,Annualized_Investments!$B$2:$B$9989,$A42)</f>
        <v>1811.0660732888</v>
      </c>
      <c r="AC42">
        <f>SUMIFS(Annualized_Investments!AC$2:AC$9989,Annualized_Investments!$B$2:$B$9989,$A42)</f>
        <v>1923.9257375934001</v>
      </c>
      <c r="AD42">
        <f>SUMIFS(Annualized_Investments!AD$2:AD$9989,Annualized_Investments!$B$2:$B$9989,$A42)</f>
        <v>2036.9536864629999</v>
      </c>
      <c r="AE42">
        <f>SUMIFS(Annualized_Investments!AE$2:AE$9989,Annualized_Investments!$B$2:$B$9989,$A42)</f>
        <v>2150.1401383379002</v>
      </c>
      <c r="AF42">
        <f>SUMIFS(Annualized_Investments!AF$2:AF$9989,Annualized_Investments!$B$2:$B$9989,$A42)</f>
        <v>2263.4755724995998</v>
      </c>
      <c r="AG42">
        <f>SUMIFS(Annualized_Investments!AG$2:AG$9989,Annualized_Investments!$B$2:$B$9989,$A42)</f>
        <v>2425.2208700259998</v>
      </c>
    </row>
    <row r="43" spans="1:33">
      <c r="A43" t="s">
        <v>268</v>
      </c>
      <c r="C43" s="27">
        <f>SUM(C25:C42)</f>
        <v>234.83856007739999</v>
      </c>
      <c r="D43" s="27">
        <f t="shared" ref="D43" si="1">SUM(D25:D42)</f>
        <v>756.46064974180001</v>
      </c>
      <c r="E43" s="27">
        <f t="shared" ref="E43" si="2">SUM(E25:E42)</f>
        <v>918.84101295929997</v>
      </c>
      <c r="F43" s="27">
        <f t="shared" ref="F43" si="3">SUM(F25:F42)</f>
        <v>1006.5689934077002</v>
      </c>
      <c r="G43" s="27">
        <f t="shared" ref="G43" si="4">SUM(G25:G42)</f>
        <v>1158.3121801707</v>
      </c>
      <c r="H43" s="27">
        <f t="shared" ref="H43" si="5">SUM(H25:H42)</f>
        <v>1276.2681208864001</v>
      </c>
      <c r="I43" s="27">
        <f t="shared" ref="I43" si="6">SUM(I25:I42)</f>
        <v>1548.5938623391</v>
      </c>
      <c r="J43" s="27">
        <f t="shared" ref="J43" si="7">SUM(J25:J42)</f>
        <v>1822.3774514195002</v>
      </c>
      <c r="K43" s="27">
        <f t="shared" ref="K43" si="8">SUM(K25:K42)</f>
        <v>2101.2134462560998</v>
      </c>
      <c r="L43" s="27">
        <f t="shared" ref="L43" si="9">SUM(L25:L42)</f>
        <v>2217.2875284437</v>
      </c>
      <c r="M43" s="27">
        <f t="shared" ref="M43" si="10">SUM(M25:M42)</f>
        <v>2631.3789104322996</v>
      </c>
      <c r="N43" s="27">
        <f t="shared" ref="N43" si="11">SUM(N25:N42)</f>
        <v>2841.8810455846997</v>
      </c>
      <c r="O43" s="27">
        <f t="shared" ref="O43" si="12">SUM(O25:O42)</f>
        <v>3388.1053685596999</v>
      </c>
      <c r="P43" s="27">
        <f t="shared" ref="P43" si="13">SUM(P25:P42)</f>
        <v>3667.7757304129996</v>
      </c>
      <c r="Q43" s="27">
        <f t="shared" ref="Q43" si="14">SUM(Q25:Q42)</f>
        <v>3914.4139178359001</v>
      </c>
      <c r="R43" s="27">
        <f t="shared" ref="R43" si="15">SUM(R25:R42)</f>
        <v>4159.8944251385001</v>
      </c>
      <c r="S43" s="27">
        <f t="shared" ref="S43" si="16">SUM(S25:S42)</f>
        <v>4598.0769527087996</v>
      </c>
      <c r="T43" s="27">
        <f t="shared" ref="T43" si="17">SUM(T25:T42)</f>
        <v>5045.2032755002001</v>
      </c>
      <c r="U43" s="27">
        <f t="shared" ref="U43" si="18">SUM(U25:U42)</f>
        <v>5445.7527181648002</v>
      </c>
      <c r="V43" s="27">
        <f t="shared" ref="V43" si="19">SUM(V25:V42)</f>
        <v>5894.9935076442998</v>
      </c>
      <c r="W43" s="27">
        <f t="shared" ref="W43" si="20">SUM(W25:W42)</f>
        <v>6616.4104089058001</v>
      </c>
      <c r="X43" s="27">
        <f t="shared" ref="X43" si="21">SUM(X25:X42)</f>
        <v>6905.0504955487004</v>
      </c>
      <c r="Y43" s="27">
        <f t="shared" ref="Y43" si="22">SUM(Y25:Y42)</f>
        <v>7253.9176710820002</v>
      </c>
      <c r="Z43" s="27">
        <f t="shared" ref="Z43" si="23">SUM(Z25:Z42)</f>
        <v>7601.1036183001997</v>
      </c>
      <c r="AA43" s="27">
        <f t="shared" ref="AA43" si="24">SUM(AA25:AA42)</f>
        <v>7953.8174932007014</v>
      </c>
      <c r="AB43" s="27">
        <f t="shared" ref="AB43" si="25">SUM(AB25:AB42)</f>
        <v>8291.3184375860983</v>
      </c>
      <c r="AC43" s="27">
        <f t="shared" ref="AC43" si="26">SUM(AC25:AC42)</f>
        <v>8749.691177019</v>
      </c>
      <c r="AD43" s="27">
        <f t="shared" ref="AD43" si="27">SUM(AD25:AD42)</f>
        <v>9116.240727982</v>
      </c>
      <c r="AE43" s="27">
        <f t="shared" ref="AE43" si="28">SUM(AE25:AE42)</f>
        <v>9513.3154938714997</v>
      </c>
      <c r="AF43" s="27">
        <f t="shared" ref="AF43" si="29">SUM(AF25:AF42)</f>
        <v>9750.644374560201</v>
      </c>
      <c r="AG43" s="27">
        <f t="shared" ref="AG43" si="30">SUM(AG25:AG42)</f>
        <v>10340.3879213703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7284-ACBE-4C20-8DDB-D19F3C3B98FC}">
  <dimension ref="A1:AI30"/>
  <sheetViews>
    <sheetView workbookViewId="0">
      <selection activeCell="A15" sqref="A15"/>
    </sheetView>
  </sheetViews>
  <sheetFormatPr defaultRowHeight="14.4"/>
  <cols>
    <col min="1" max="1" width="41.109375" bestFit="1" customWidth="1"/>
  </cols>
  <sheetData>
    <row r="1" spans="1:35">
      <c r="A1" s="33" t="s">
        <v>270</v>
      </c>
    </row>
    <row r="2" spans="1:35">
      <c r="A2" s="50" t="s">
        <v>271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</row>
    <row r="3" spans="1:35">
      <c r="A3" s="51" t="s">
        <v>274</v>
      </c>
      <c r="B3" s="51">
        <v>2020</v>
      </c>
      <c r="C3" s="51">
        <v>2021</v>
      </c>
      <c r="D3" s="51">
        <v>2022</v>
      </c>
      <c r="E3" s="51">
        <v>2023</v>
      </c>
      <c r="F3" s="51">
        <v>2024</v>
      </c>
      <c r="G3" s="51">
        <v>2025</v>
      </c>
      <c r="H3" s="51">
        <v>2026</v>
      </c>
      <c r="I3" s="51">
        <v>2027</v>
      </c>
      <c r="J3" s="51">
        <v>2028</v>
      </c>
      <c r="K3" s="51">
        <v>2029</v>
      </c>
      <c r="L3" s="51">
        <v>2030</v>
      </c>
      <c r="M3" s="51">
        <v>2031</v>
      </c>
      <c r="N3" s="51">
        <v>2032</v>
      </c>
      <c r="O3" s="51">
        <v>2033</v>
      </c>
      <c r="P3" s="51">
        <v>2034</v>
      </c>
      <c r="Q3" s="51">
        <v>2035</v>
      </c>
      <c r="R3" s="51">
        <v>2036</v>
      </c>
      <c r="S3" s="51">
        <v>2037</v>
      </c>
      <c r="T3" s="51">
        <v>2038</v>
      </c>
      <c r="U3" s="51">
        <v>2039</v>
      </c>
      <c r="V3" s="51">
        <v>2040</v>
      </c>
      <c r="W3" s="51">
        <v>2041</v>
      </c>
      <c r="X3" s="51">
        <v>2042</v>
      </c>
      <c r="Y3" s="51">
        <v>2043</v>
      </c>
      <c r="Z3" s="51">
        <v>2044</v>
      </c>
      <c r="AA3" s="51">
        <v>2045</v>
      </c>
      <c r="AB3" s="51">
        <v>2046</v>
      </c>
      <c r="AC3" s="51">
        <v>2047</v>
      </c>
      <c r="AD3" s="51">
        <v>2048</v>
      </c>
      <c r="AE3" s="51">
        <v>2049</v>
      </c>
      <c r="AF3" s="51">
        <v>2050</v>
      </c>
      <c r="AG3" s="51">
        <v>2051</v>
      </c>
      <c r="AH3" s="51">
        <v>2052</v>
      </c>
      <c r="AI3" s="51">
        <v>2053</v>
      </c>
    </row>
    <row r="4" spans="1:35">
      <c r="A4" s="52" t="s">
        <v>272</v>
      </c>
      <c r="B4" s="53">
        <v>97.236800000000002</v>
      </c>
      <c r="C4" s="53">
        <v>131.5557</v>
      </c>
      <c r="D4" s="53">
        <v>137.96609999999998</v>
      </c>
      <c r="E4" s="53">
        <v>144.61900000000003</v>
      </c>
      <c r="F4" s="53">
        <v>150.34909999999999</v>
      </c>
      <c r="G4" s="53">
        <v>151.1062</v>
      </c>
      <c r="H4" s="53">
        <v>150.8597</v>
      </c>
      <c r="I4" s="53">
        <v>150.56709999999998</v>
      </c>
      <c r="J4" s="53">
        <v>150.11640000000003</v>
      </c>
      <c r="K4" s="53">
        <v>154.77549999999999</v>
      </c>
      <c r="L4" s="53">
        <v>145.09629999999999</v>
      </c>
      <c r="M4" s="53">
        <v>151.6215</v>
      </c>
      <c r="N4" s="53">
        <v>156.9237</v>
      </c>
      <c r="O4" s="53">
        <v>163.41550000000001</v>
      </c>
      <c r="P4" s="53">
        <v>169.8313</v>
      </c>
      <c r="Q4" s="53">
        <v>174.0025</v>
      </c>
      <c r="R4" s="53">
        <v>180.58009999999999</v>
      </c>
      <c r="S4" s="53">
        <v>188.6045</v>
      </c>
      <c r="T4" s="53">
        <v>195.41380000000001</v>
      </c>
      <c r="U4" s="53">
        <v>201.8656</v>
      </c>
      <c r="V4" s="53">
        <v>186.78880000000001</v>
      </c>
      <c r="W4" s="53">
        <v>193.35929999999999</v>
      </c>
      <c r="X4" s="53">
        <v>200.28020000000001</v>
      </c>
      <c r="Y4" s="53">
        <v>207.21259999999998</v>
      </c>
      <c r="Z4" s="53">
        <v>214.17060000000001</v>
      </c>
      <c r="AA4" s="53">
        <v>221.34309999999999</v>
      </c>
      <c r="AB4" s="53">
        <v>228.44280000000001</v>
      </c>
      <c r="AC4" s="53">
        <v>235.84700000000001</v>
      </c>
      <c r="AD4" s="53">
        <v>241.58609999999999</v>
      </c>
      <c r="AE4" s="53">
        <v>250.149</v>
      </c>
      <c r="AF4" s="53">
        <v>250.84289999999999</v>
      </c>
      <c r="AG4" s="53">
        <v>257.54129999999998</v>
      </c>
      <c r="AH4" s="53">
        <v>264.6515</v>
      </c>
      <c r="AI4" s="53">
        <v>270.80160000000001</v>
      </c>
    </row>
    <row r="5" spans="1:35">
      <c r="A5" s="54" t="s">
        <v>131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>
      <c r="A6" s="54" t="s">
        <v>136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s="54" t="s">
        <v>141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>
      <c r="A8" s="54" t="s">
        <v>143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 s="54" t="s">
        <v>147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 s="54" t="s">
        <v>172</v>
      </c>
      <c r="B10">
        <v>70.546700000000001</v>
      </c>
      <c r="C10">
        <v>112.38760000000001</v>
      </c>
      <c r="D10">
        <v>117.9528</v>
      </c>
      <c r="E10">
        <v>126.68810000000001</v>
      </c>
      <c r="F10">
        <v>133.5806</v>
      </c>
      <c r="G10">
        <v>142.17230000000001</v>
      </c>
      <c r="H10">
        <v>141.8203</v>
      </c>
      <c r="I10">
        <v>141.4247</v>
      </c>
      <c r="J10">
        <v>140.88300000000001</v>
      </c>
      <c r="K10">
        <v>144.8708</v>
      </c>
      <c r="L10">
        <v>134.71119999999999</v>
      </c>
      <c r="M10">
        <v>140.9753</v>
      </c>
      <c r="N10">
        <v>147.7748</v>
      </c>
      <c r="O10">
        <v>154.20320000000001</v>
      </c>
      <c r="P10">
        <v>160.59889999999999</v>
      </c>
      <c r="Q10">
        <v>164.88249999999999</v>
      </c>
      <c r="R10">
        <v>171.2105</v>
      </c>
      <c r="S10">
        <v>178.98580000000001</v>
      </c>
      <c r="T10">
        <v>185.5265</v>
      </c>
      <c r="U10">
        <v>191.28020000000001</v>
      </c>
      <c r="V10">
        <v>175.06780000000001</v>
      </c>
      <c r="W10">
        <v>180.78489999999999</v>
      </c>
      <c r="X10">
        <v>187.16380000000001</v>
      </c>
      <c r="Y10">
        <v>193.55619999999999</v>
      </c>
      <c r="Z10">
        <v>199.9614</v>
      </c>
      <c r="AA10">
        <v>206.5778</v>
      </c>
      <c r="AB10">
        <v>213.01920000000001</v>
      </c>
      <c r="AC10">
        <v>219.751</v>
      </c>
      <c r="AD10">
        <v>224.75839999999999</v>
      </c>
      <c r="AE10">
        <v>231.55699999999999</v>
      </c>
      <c r="AF10">
        <v>230.06219999999999</v>
      </c>
      <c r="AG10">
        <v>235.89580000000001</v>
      </c>
      <c r="AH10">
        <v>242.13720000000001</v>
      </c>
      <c r="AI10">
        <v>247.4222</v>
      </c>
    </row>
    <row r="11" spans="1:35">
      <c r="A11" s="54" t="s">
        <v>173</v>
      </c>
      <c r="B11">
        <v>7.3094000000000001</v>
      </c>
      <c r="C11">
        <v>8.4440000000000008</v>
      </c>
      <c r="D11">
        <v>8.1301000000000005</v>
      </c>
      <c r="E11">
        <v>7.8003999999999998</v>
      </c>
      <c r="F11">
        <v>14.107100000000001</v>
      </c>
      <c r="G11">
        <v>8.1136999999999997</v>
      </c>
      <c r="H11">
        <v>8.2128999999999994</v>
      </c>
      <c r="I11">
        <v>8.3095999999999997</v>
      </c>
      <c r="J11">
        <v>8.3940999999999999</v>
      </c>
      <c r="K11">
        <v>9.0587</v>
      </c>
      <c r="L11">
        <v>9.5480999999999998</v>
      </c>
      <c r="M11">
        <v>9.8013999999999992</v>
      </c>
      <c r="N11">
        <v>8.2963000000000005</v>
      </c>
      <c r="O11">
        <v>8.3519000000000005</v>
      </c>
      <c r="P11">
        <v>8.5359999999999996</v>
      </c>
      <c r="Q11">
        <v>9.1199999999999992</v>
      </c>
      <c r="R11">
        <v>9.3696000000000002</v>
      </c>
      <c r="S11">
        <v>9.6187000000000005</v>
      </c>
      <c r="T11">
        <v>9.8872999999999998</v>
      </c>
      <c r="U11">
        <v>10.5854</v>
      </c>
      <c r="V11">
        <v>11.721</v>
      </c>
      <c r="W11">
        <v>12.574400000000001</v>
      </c>
      <c r="X11">
        <v>13.116400000000001</v>
      </c>
      <c r="Y11">
        <v>13.6564</v>
      </c>
      <c r="Z11">
        <v>14.209199999999999</v>
      </c>
      <c r="AA11">
        <v>14.7653</v>
      </c>
      <c r="AB11">
        <v>15.4236</v>
      </c>
      <c r="AC11">
        <v>16.096</v>
      </c>
      <c r="AD11">
        <v>16.8277</v>
      </c>
      <c r="AE11">
        <v>18.591999999999999</v>
      </c>
      <c r="AF11">
        <v>20.7807</v>
      </c>
      <c r="AG11">
        <v>21.645499999999998</v>
      </c>
      <c r="AH11">
        <v>22.514299999999999</v>
      </c>
      <c r="AI11">
        <v>23.3794</v>
      </c>
    </row>
    <row r="12" spans="1:35">
      <c r="A12" s="54" t="s">
        <v>174</v>
      </c>
      <c r="B12">
        <v>19.380700000000001</v>
      </c>
      <c r="C12">
        <v>10.7241</v>
      </c>
      <c r="D12">
        <v>11.8832</v>
      </c>
      <c r="E12">
        <v>10.1305</v>
      </c>
      <c r="F12">
        <v>2.6614</v>
      </c>
      <c r="G12">
        <v>0.82020000000000004</v>
      </c>
      <c r="H12">
        <v>0.82650000000000001</v>
      </c>
      <c r="I12">
        <v>0.83279999999999998</v>
      </c>
      <c r="J12">
        <v>0.83930000000000005</v>
      </c>
      <c r="K12">
        <v>0.84599999999999997</v>
      </c>
      <c r="L12">
        <v>0.83699999999999997</v>
      </c>
      <c r="M12">
        <v>0.8448</v>
      </c>
      <c r="N12">
        <v>0.85260000000000002</v>
      </c>
      <c r="O12">
        <v>0.86040000000000005</v>
      </c>
      <c r="P12">
        <v>0.69640000000000002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>
      <c r="A13" s="52" t="s">
        <v>273</v>
      </c>
      <c r="B13" s="53">
        <v>64.836500000000001</v>
      </c>
      <c r="C13" s="53">
        <v>67.094499999999996</v>
      </c>
      <c r="D13" s="53">
        <v>69.328199999999995</v>
      </c>
      <c r="E13" s="53">
        <v>71.561000000000007</v>
      </c>
      <c r="F13" s="53">
        <v>73.7941</v>
      </c>
      <c r="G13" s="53">
        <v>76.027300000000011</v>
      </c>
      <c r="H13" s="53">
        <v>78.627499999999998</v>
      </c>
      <c r="I13" s="53">
        <v>81.226399999999998</v>
      </c>
      <c r="J13" s="53">
        <v>83.827400000000011</v>
      </c>
      <c r="K13" s="53">
        <v>86.426700000000011</v>
      </c>
      <c r="L13" s="53">
        <v>89.025800000000004</v>
      </c>
      <c r="M13" s="53">
        <v>92.001000000000005</v>
      </c>
      <c r="N13" s="53">
        <v>94.976400000000012</v>
      </c>
      <c r="O13" s="53">
        <v>97.951700000000002</v>
      </c>
      <c r="P13" s="53">
        <v>100.9271</v>
      </c>
      <c r="Q13" s="53">
        <v>103.90349999999998</v>
      </c>
      <c r="R13" s="53">
        <v>107.38759999999999</v>
      </c>
      <c r="S13" s="53">
        <v>110.87020000000001</v>
      </c>
      <c r="T13" s="53">
        <v>114.3552</v>
      </c>
      <c r="U13" s="53">
        <v>117.83840000000001</v>
      </c>
      <c r="V13" s="53">
        <v>121.3227</v>
      </c>
      <c r="W13" s="53">
        <v>125.25879999999999</v>
      </c>
      <c r="X13" s="53">
        <v>129.1936</v>
      </c>
      <c r="Y13" s="53">
        <v>133.12989999999999</v>
      </c>
      <c r="Z13" s="53">
        <v>137.06690000000003</v>
      </c>
      <c r="AA13" s="53">
        <v>141.00299999999999</v>
      </c>
      <c r="AB13" s="53">
        <v>145.1994</v>
      </c>
      <c r="AC13" s="53">
        <v>149.39599999999999</v>
      </c>
      <c r="AD13" s="53">
        <v>153.59480000000002</v>
      </c>
      <c r="AE13" s="53">
        <v>157.7921</v>
      </c>
      <c r="AF13" s="53">
        <v>161.98850000000002</v>
      </c>
      <c r="AG13" s="53">
        <v>166.17830000000001</v>
      </c>
      <c r="AH13" s="53">
        <v>170.36660000000001</v>
      </c>
      <c r="AI13" s="53">
        <v>174.55499999999998</v>
      </c>
    </row>
    <row r="14" spans="1:35">
      <c r="A14" s="54" t="s">
        <v>102</v>
      </c>
      <c r="B14">
        <v>2.5999999999999999E-3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>
      <c r="A15" s="54" t="s">
        <v>103</v>
      </c>
      <c r="B15">
        <v>0</v>
      </c>
      <c r="C15">
        <v>2.8400000000000002E-2</v>
      </c>
      <c r="D15">
        <v>2.8799999999999999E-2</v>
      </c>
      <c r="E15">
        <v>2.92E-2</v>
      </c>
      <c r="F15">
        <v>2.9700000000000001E-2</v>
      </c>
      <c r="G15">
        <v>3.0499999999999999E-2</v>
      </c>
      <c r="H15">
        <v>3.09E-2</v>
      </c>
      <c r="I15">
        <v>3.1300000000000001E-2</v>
      </c>
      <c r="J15">
        <v>3.1699999999999999E-2</v>
      </c>
      <c r="K15">
        <v>3.2199999999999999E-2</v>
      </c>
      <c r="L15">
        <v>3.2599999999999997E-2</v>
      </c>
      <c r="M15">
        <v>3.2899999999999999E-2</v>
      </c>
      <c r="N15">
        <v>3.32E-2</v>
      </c>
      <c r="O15">
        <v>3.3599999999999998E-2</v>
      </c>
      <c r="P15">
        <v>3.4000000000000002E-2</v>
      </c>
      <c r="Q15">
        <v>3.5400000000000001E-2</v>
      </c>
      <c r="R15">
        <v>3.5700000000000003E-2</v>
      </c>
      <c r="S15">
        <v>3.61E-2</v>
      </c>
      <c r="T15">
        <v>3.6400000000000002E-2</v>
      </c>
      <c r="U15">
        <v>3.6700000000000003E-2</v>
      </c>
      <c r="V15">
        <v>3.7100000000000001E-2</v>
      </c>
      <c r="W15">
        <v>3.7400000000000003E-2</v>
      </c>
      <c r="X15">
        <v>3.7699999999999997E-2</v>
      </c>
      <c r="Y15">
        <v>3.7999999999999999E-2</v>
      </c>
      <c r="Z15">
        <v>3.8300000000000001E-2</v>
      </c>
      <c r="AA15">
        <v>3.8600000000000002E-2</v>
      </c>
      <c r="AB15">
        <v>3.8800000000000001E-2</v>
      </c>
      <c r="AC15">
        <v>3.9100000000000003E-2</v>
      </c>
      <c r="AD15">
        <v>3.9399999999999998E-2</v>
      </c>
      <c r="AE15">
        <v>3.9600000000000003E-2</v>
      </c>
      <c r="AF15">
        <v>3.9899999999999998E-2</v>
      </c>
      <c r="AG15">
        <v>4.0099999999999997E-2</v>
      </c>
      <c r="AH15">
        <v>4.0300000000000002E-2</v>
      </c>
      <c r="AI15">
        <v>4.0500000000000001E-2</v>
      </c>
    </row>
    <row r="16" spans="1:35">
      <c r="A16" s="54" t="s">
        <v>106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>
      <c r="A17" s="54" t="s">
        <v>132</v>
      </c>
      <c r="B17">
        <v>4.0000000000000002E-4</v>
      </c>
      <c r="C17">
        <v>5.0000000000000001E-4</v>
      </c>
      <c r="D17">
        <v>5.0000000000000001E-4</v>
      </c>
      <c r="E17">
        <v>5.0000000000000001E-4</v>
      </c>
      <c r="F17">
        <v>5.0000000000000001E-4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1E-4</v>
      </c>
      <c r="W17">
        <v>1E-4</v>
      </c>
      <c r="X17">
        <v>1E-4</v>
      </c>
      <c r="Y17">
        <v>1E-4</v>
      </c>
      <c r="Z17">
        <v>1E-4</v>
      </c>
      <c r="AA17">
        <v>1E-4</v>
      </c>
      <c r="AB17">
        <v>1E-4</v>
      </c>
      <c r="AC17">
        <v>1E-4</v>
      </c>
      <c r="AD17">
        <v>1E-4</v>
      </c>
      <c r="AE17">
        <v>1E-4</v>
      </c>
      <c r="AF17">
        <v>1E-4</v>
      </c>
      <c r="AG17">
        <v>1E-4</v>
      </c>
      <c r="AH17">
        <v>1E-4</v>
      </c>
      <c r="AI17">
        <v>1E-4</v>
      </c>
    </row>
    <row r="18" spans="1:35">
      <c r="A18" s="54" t="s">
        <v>133</v>
      </c>
      <c r="B18">
        <v>2.3E-3</v>
      </c>
      <c r="C18">
        <v>2.5000000000000001E-3</v>
      </c>
      <c r="D18">
        <v>2.5999999999999999E-3</v>
      </c>
      <c r="E18">
        <v>2.8999999999999998E-3</v>
      </c>
      <c r="F18">
        <v>3.0999999999999999E-3</v>
      </c>
      <c r="G18">
        <v>2.8999999999999998E-3</v>
      </c>
      <c r="H18">
        <v>2.8E-3</v>
      </c>
      <c r="I18">
        <v>2.8E-3</v>
      </c>
      <c r="J18">
        <v>2.7000000000000001E-3</v>
      </c>
      <c r="K18">
        <v>2.8999999999999998E-3</v>
      </c>
      <c r="L18">
        <v>2.5000000000000001E-3</v>
      </c>
      <c r="M18">
        <v>2.3999999999999998E-3</v>
      </c>
      <c r="N18">
        <v>2E-3</v>
      </c>
      <c r="O18">
        <v>1.9E-3</v>
      </c>
      <c r="P18">
        <v>1.8E-3</v>
      </c>
      <c r="Q18">
        <v>1.6999999999999999E-3</v>
      </c>
      <c r="R18">
        <v>1.5E-3</v>
      </c>
      <c r="S18">
        <v>1.4E-3</v>
      </c>
      <c r="T18">
        <v>1.1999999999999999E-3</v>
      </c>
      <c r="U18">
        <v>8.9999999999999998E-4</v>
      </c>
      <c r="V18">
        <v>1E-3</v>
      </c>
      <c r="W18">
        <v>1E-3</v>
      </c>
      <c r="X18">
        <v>1E-3</v>
      </c>
      <c r="Y18">
        <v>1E-3</v>
      </c>
      <c r="Z18">
        <v>1E-3</v>
      </c>
      <c r="AA18">
        <v>1E-3</v>
      </c>
      <c r="AB18">
        <v>8.9999999999999998E-4</v>
      </c>
      <c r="AC18">
        <v>8.9999999999999998E-4</v>
      </c>
      <c r="AD18">
        <v>8.9999999999999998E-4</v>
      </c>
      <c r="AE18">
        <v>1E-3</v>
      </c>
      <c r="AF18">
        <v>1.1000000000000001E-3</v>
      </c>
      <c r="AG18">
        <v>1E-3</v>
      </c>
      <c r="AH18">
        <v>1E-3</v>
      </c>
      <c r="AI18">
        <v>8.9999999999999998E-4</v>
      </c>
    </row>
    <row r="19" spans="1:35">
      <c r="A19" s="54" t="s">
        <v>134</v>
      </c>
      <c r="B19">
        <v>1E-4</v>
      </c>
      <c r="C19">
        <v>1E-4</v>
      </c>
      <c r="D19">
        <v>1E-4</v>
      </c>
      <c r="E19">
        <v>1E-4</v>
      </c>
      <c r="F19">
        <v>1E-4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>
      <c r="A20" s="54" t="s">
        <v>135</v>
      </c>
      <c r="B20">
        <v>5.0000000000000001E-4</v>
      </c>
      <c r="C20">
        <v>2.9999999999999997E-4</v>
      </c>
      <c r="D20">
        <v>5.0000000000000001E-4</v>
      </c>
      <c r="E20">
        <v>2.0000000000000001E-4</v>
      </c>
      <c r="F20">
        <v>2.9999999999999997E-4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>
      <c r="A21" s="54" t="s">
        <v>142</v>
      </c>
      <c r="B21">
        <v>0</v>
      </c>
      <c r="C21">
        <v>0</v>
      </c>
      <c r="D21">
        <v>0</v>
      </c>
      <c r="E21">
        <v>0</v>
      </c>
      <c r="F21">
        <v>0</v>
      </c>
      <c r="G21">
        <v>5.0000000000000001E-4</v>
      </c>
      <c r="H21">
        <v>5.0000000000000001E-4</v>
      </c>
      <c r="I21">
        <v>5.0000000000000001E-4</v>
      </c>
      <c r="J21">
        <v>5.0000000000000001E-4</v>
      </c>
      <c r="K21">
        <v>5.0000000000000001E-4</v>
      </c>
      <c r="L21">
        <v>5.0000000000000001E-4</v>
      </c>
      <c r="M21">
        <v>6.9999999999999999E-4</v>
      </c>
      <c r="N21">
        <v>1.4E-3</v>
      </c>
      <c r="O21">
        <v>1.6999999999999999E-3</v>
      </c>
      <c r="P21">
        <v>2E-3</v>
      </c>
      <c r="Q21">
        <v>2.2000000000000001E-3</v>
      </c>
      <c r="R21">
        <v>2.5999999999999999E-3</v>
      </c>
      <c r="S21">
        <v>2.8999999999999998E-3</v>
      </c>
      <c r="T21">
        <v>3.3999999999999998E-3</v>
      </c>
      <c r="U21">
        <v>3.8E-3</v>
      </c>
      <c r="V21">
        <v>3.0999999999999999E-3</v>
      </c>
      <c r="W21">
        <v>3.2000000000000002E-3</v>
      </c>
      <c r="X21">
        <v>3.3999999999999998E-3</v>
      </c>
      <c r="Y21">
        <v>3.7000000000000002E-3</v>
      </c>
      <c r="Z21">
        <v>3.8999999999999998E-3</v>
      </c>
      <c r="AA21">
        <v>4.1000000000000003E-3</v>
      </c>
      <c r="AB21">
        <v>4.4000000000000003E-3</v>
      </c>
      <c r="AC21">
        <v>4.5999999999999999E-3</v>
      </c>
      <c r="AD21">
        <v>4.7000000000000002E-3</v>
      </c>
      <c r="AE21">
        <v>4.7999999999999996E-3</v>
      </c>
      <c r="AF21">
        <v>4.5999999999999999E-3</v>
      </c>
      <c r="AG21">
        <v>4.7999999999999996E-3</v>
      </c>
      <c r="AH21">
        <v>5.0000000000000001E-3</v>
      </c>
      <c r="AI21">
        <v>5.3E-3</v>
      </c>
    </row>
    <row r="22" spans="1:35">
      <c r="A22" s="54" t="s">
        <v>146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1E-4</v>
      </c>
      <c r="AG22">
        <v>1E-4</v>
      </c>
      <c r="AH22">
        <v>1E-4</v>
      </c>
      <c r="AI22">
        <v>1E-4</v>
      </c>
    </row>
    <row r="23" spans="1:35">
      <c r="A23" s="54" t="s">
        <v>184</v>
      </c>
      <c r="B23">
        <v>32.250100000000003</v>
      </c>
      <c r="C23">
        <v>32.716200000000001</v>
      </c>
      <c r="D23">
        <v>33.182499999999997</v>
      </c>
      <c r="E23">
        <v>33.648600000000002</v>
      </c>
      <c r="F23">
        <v>34.114899999999999</v>
      </c>
      <c r="G23">
        <v>34.581099999999999</v>
      </c>
      <c r="H23">
        <v>35.0242</v>
      </c>
      <c r="I23">
        <v>35.467500000000001</v>
      </c>
      <c r="J23">
        <v>35.910600000000002</v>
      </c>
      <c r="K23">
        <v>36.353900000000003</v>
      </c>
      <c r="L23">
        <v>36.796999999999997</v>
      </c>
      <c r="M23">
        <v>37.206000000000003</v>
      </c>
      <c r="N23">
        <v>37.615000000000002</v>
      </c>
      <c r="O23">
        <v>38.023899999999998</v>
      </c>
      <c r="P23">
        <v>38.432899999999997</v>
      </c>
      <c r="Q23">
        <v>38.841900000000003</v>
      </c>
      <c r="R23">
        <v>39.212000000000003</v>
      </c>
      <c r="S23">
        <v>39.582000000000001</v>
      </c>
      <c r="T23">
        <v>39.952100000000002</v>
      </c>
      <c r="U23">
        <v>40.322200000000002</v>
      </c>
      <c r="V23">
        <v>40.692399999999999</v>
      </c>
      <c r="W23">
        <v>41.0212</v>
      </c>
      <c r="X23">
        <v>41.35</v>
      </c>
      <c r="Y23">
        <v>41.678800000000003</v>
      </c>
      <c r="Z23">
        <v>42.0075</v>
      </c>
      <c r="AA23">
        <v>42.336399999999998</v>
      </c>
      <c r="AB23">
        <v>42.620899999999999</v>
      </c>
      <c r="AC23">
        <v>42.9054</v>
      </c>
      <c r="AD23">
        <v>43.189900000000002</v>
      </c>
      <c r="AE23">
        <v>43.474400000000003</v>
      </c>
      <c r="AF23">
        <v>43.758899999999997</v>
      </c>
      <c r="AG23">
        <v>44.004399999999997</v>
      </c>
      <c r="AH23">
        <v>44.249899999999997</v>
      </c>
      <c r="AI23">
        <v>44.495399999999997</v>
      </c>
    </row>
    <row r="24" spans="1:35">
      <c r="A24" s="54" t="s">
        <v>189</v>
      </c>
      <c r="B24">
        <v>2.9573999999999998</v>
      </c>
      <c r="C24">
        <v>3</v>
      </c>
      <c r="D24">
        <v>3.0426000000000002</v>
      </c>
      <c r="E24">
        <v>3.0853000000000002</v>
      </c>
      <c r="F24">
        <v>3.1278999999999999</v>
      </c>
      <c r="G24">
        <v>3.1713</v>
      </c>
      <c r="H24">
        <v>3.2115999999999998</v>
      </c>
      <c r="I24">
        <v>3.2519</v>
      </c>
      <c r="J24">
        <v>3.2930000000000001</v>
      </c>
      <c r="K24">
        <v>3.3332999999999999</v>
      </c>
      <c r="L24">
        <v>3.3744000000000001</v>
      </c>
      <c r="M24">
        <v>3.4116</v>
      </c>
      <c r="N24">
        <v>3.4495</v>
      </c>
      <c r="O24">
        <v>3.4866999999999999</v>
      </c>
      <c r="P24">
        <v>3.5238999999999998</v>
      </c>
      <c r="Q24">
        <v>3.5619000000000001</v>
      </c>
      <c r="R24">
        <v>3.5952000000000002</v>
      </c>
      <c r="S24">
        <v>3.6293000000000002</v>
      </c>
      <c r="T24">
        <v>3.6634000000000002</v>
      </c>
      <c r="U24">
        <v>3.6974999999999998</v>
      </c>
      <c r="V24">
        <v>3.7315999999999998</v>
      </c>
      <c r="W24">
        <v>3.7618</v>
      </c>
      <c r="X24">
        <v>3.7913000000000001</v>
      </c>
      <c r="Y24">
        <v>3.8214999999999999</v>
      </c>
      <c r="Z24">
        <v>3.8517999999999999</v>
      </c>
      <c r="AA24">
        <v>3.8820000000000001</v>
      </c>
      <c r="AB24">
        <v>3.9083000000000001</v>
      </c>
      <c r="AC24">
        <v>3.9339</v>
      </c>
      <c r="AD24">
        <v>3.9601999999999999</v>
      </c>
      <c r="AE24">
        <v>3.9866000000000001</v>
      </c>
      <c r="AF24">
        <v>4.0122</v>
      </c>
      <c r="AG24">
        <v>4.0354000000000001</v>
      </c>
      <c r="AH24">
        <v>4.0579000000000001</v>
      </c>
      <c r="AI24">
        <v>4.0804</v>
      </c>
    </row>
    <row r="25" spans="1:35">
      <c r="A25" s="54" t="s">
        <v>194</v>
      </c>
      <c r="B25">
        <v>0.65280000000000005</v>
      </c>
      <c r="C25">
        <v>0.68440000000000001</v>
      </c>
      <c r="D25">
        <v>0.71599999999999997</v>
      </c>
      <c r="E25">
        <v>0.74760000000000004</v>
      </c>
      <c r="F25">
        <v>0.7792</v>
      </c>
      <c r="G25">
        <v>0.81079999999999997</v>
      </c>
      <c r="H25">
        <v>0.84409999999999996</v>
      </c>
      <c r="I25">
        <v>0.87739999999999996</v>
      </c>
      <c r="J25">
        <v>0.91069999999999995</v>
      </c>
      <c r="K25">
        <v>0.94399999999999995</v>
      </c>
      <c r="L25">
        <v>0.97729999999999995</v>
      </c>
      <c r="M25">
        <v>1.0104</v>
      </c>
      <c r="N25">
        <v>1.0435000000000001</v>
      </c>
      <c r="O25">
        <v>1.0767</v>
      </c>
      <c r="P25">
        <v>1.1097999999999999</v>
      </c>
      <c r="Q25">
        <v>1.1429</v>
      </c>
      <c r="R25">
        <v>1.175</v>
      </c>
      <c r="S25">
        <v>1.2072000000000001</v>
      </c>
      <c r="T25">
        <v>1.2393000000000001</v>
      </c>
      <c r="U25">
        <v>1.2714000000000001</v>
      </c>
      <c r="V25">
        <v>1.3035000000000001</v>
      </c>
      <c r="W25">
        <v>1.3322000000000001</v>
      </c>
      <c r="X25">
        <v>1.3609</v>
      </c>
      <c r="Y25">
        <v>1.3895999999999999</v>
      </c>
      <c r="Z25">
        <v>1.4182999999999999</v>
      </c>
      <c r="AA25">
        <v>1.4469000000000001</v>
      </c>
      <c r="AB25">
        <v>1.4702999999999999</v>
      </c>
      <c r="AC25">
        <v>1.4937</v>
      </c>
      <c r="AD25">
        <v>1.5170999999999999</v>
      </c>
      <c r="AE25">
        <v>1.5405</v>
      </c>
      <c r="AF25">
        <v>1.5639000000000001</v>
      </c>
      <c r="AG25">
        <v>1.5818000000000001</v>
      </c>
      <c r="AH25">
        <v>1.5995999999999999</v>
      </c>
      <c r="AI25">
        <v>1.6173999999999999</v>
      </c>
    </row>
    <row r="26" spans="1:35">
      <c r="A26" s="54" t="s">
        <v>199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1E-4</v>
      </c>
      <c r="Y26">
        <v>1E-4</v>
      </c>
      <c r="Z26">
        <v>1E-4</v>
      </c>
      <c r="AA26">
        <v>1E-4</v>
      </c>
      <c r="AB26">
        <v>1E-4</v>
      </c>
      <c r="AC26">
        <v>1E-4</v>
      </c>
      <c r="AD26">
        <v>1E-4</v>
      </c>
      <c r="AE26">
        <v>1E-4</v>
      </c>
      <c r="AF26">
        <v>1E-4</v>
      </c>
      <c r="AG26">
        <v>1E-4</v>
      </c>
      <c r="AH26">
        <v>1E-4</v>
      </c>
      <c r="AI26">
        <v>1E-4</v>
      </c>
    </row>
    <row r="27" spans="1:35">
      <c r="A27" s="54" t="s">
        <v>202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1E-4</v>
      </c>
      <c r="AA27">
        <v>1E-4</v>
      </c>
      <c r="AB27">
        <v>1E-4</v>
      </c>
      <c r="AC27">
        <v>1E-4</v>
      </c>
      <c r="AD27">
        <v>1E-4</v>
      </c>
      <c r="AE27">
        <v>1E-4</v>
      </c>
      <c r="AF27">
        <v>1E-4</v>
      </c>
      <c r="AG27">
        <v>1E-4</v>
      </c>
      <c r="AH27">
        <v>1E-4</v>
      </c>
      <c r="AI27">
        <v>1E-4</v>
      </c>
    </row>
    <row r="28" spans="1:35">
      <c r="A28" s="54" t="s">
        <v>207</v>
      </c>
      <c r="B28">
        <v>5.8784000000000001</v>
      </c>
      <c r="C28">
        <v>6.2217000000000002</v>
      </c>
      <c r="D28">
        <v>6.5650000000000004</v>
      </c>
      <c r="E28">
        <v>6.9084000000000003</v>
      </c>
      <c r="F28">
        <v>7.2516999999999996</v>
      </c>
      <c r="G28">
        <v>7.5949999999999998</v>
      </c>
      <c r="H28">
        <v>8.0182000000000002</v>
      </c>
      <c r="I28">
        <v>8.4405000000000001</v>
      </c>
      <c r="J28">
        <v>8.8628999999999998</v>
      </c>
      <c r="K28">
        <v>9.2852999999999994</v>
      </c>
      <c r="L28">
        <v>9.7075999999999993</v>
      </c>
      <c r="M28">
        <v>10.214499999999999</v>
      </c>
      <c r="N28">
        <v>10.720599999999999</v>
      </c>
      <c r="O28">
        <v>11.226599999999999</v>
      </c>
      <c r="P28">
        <v>11.732699999999999</v>
      </c>
      <c r="Q28">
        <v>12.239599999999999</v>
      </c>
      <c r="R28">
        <v>12.858000000000001</v>
      </c>
      <c r="S28">
        <v>13.4757</v>
      </c>
      <c r="T28">
        <v>14.094200000000001</v>
      </c>
      <c r="U28">
        <v>14.7126</v>
      </c>
      <c r="V28">
        <v>15.331</v>
      </c>
      <c r="W28">
        <v>16.050999999999998</v>
      </c>
      <c r="X28">
        <v>16.771000000000001</v>
      </c>
      <c r="Y28">
        <v>17.491</v>
      </c>
      <c r="Z28">
        <v>18.210999999999999</v>
      </c>
      <c r="AA28">
        <v>18.930900000000001</v>
      </c>
      <c r="AB28">
        <v>19.714400000000001</v>
      </c>
      <c r="AC28">
        <v>20.498000000000001</v>
      </c>
      <c r="AD28">
        <v>21.282299999999999</v>
      </c>
      <c r="AE28">
        <v>22.065799999999999</v>
      </c>
      <c r="AF28">
        <v>22.850100000000001</v>
      </c>
      <c r="AG28">
        <v>23.641400000000001</v>
      </c>
      <c r="AH28">
        <v>24.433399999999999</v>
      </c>
      <c r="AI28">
        <v>25.2255</v>
      </c>
    </row>
    <row r="29" spans="1:35">
      <c r="A29" s="54" t="s">
        <v>212</v>
      </c>
      <c r="B29">
        <v>17.318899999999999</v>
      </c>
      <c r="C29">
        <v>18.330300000000001</v>
      </c>
      <c r="D29">
        <v>19.342400000000001</v>
      </c>
      <c r="E29">
        <v>20.3538</v>
      </c>
      <c r="F29">
        <v>21.365200000000002</v>
      </c>
      <c r="G29">
        <v>22.3766</v>
      </c>
      <c r="H29">
        <v>23.621200000000002</v>
      </c>
      <c r="I29">
        <v>24.8659</v>
      </c>
      <c r="J29">
        <v>26.1113</v>
      </c>
      <c r="K29">
        <v>27.356000000000002</v>
      </c>
      <c r="L29">
        <v>28.6006</v>
      </c>
      <c r="M29">
        <v>30.091699999999999</v>
      </c>
      <c r="N29">
        <v>31.583600000000001</v>
      </c>
      <c r="O29">
        <v>33.075400000000002</v>
      </c>
      <c r="P29">
        <v>34.567300000000003</v>
      </c>
      <c r="Q29">
        <v>36.058399999999999</v>
      </c>
      <c r="R29">
        <v>37.880499999999998</v>
      </c>
      <c r="S29">
        <v>39.701700000000002</v>
      </c>
      <c r="T29">
        <v>41.523699999999998</v>
      </c>
      <c r="U29">
        <v>43.344999999999999</v>
      </c>
      <c r="V29">
        <v>45.167000000000002</v>
      </c>
      <c r="W29">
        <v>47.288200000000003</v>
      </c>
      <c r="X29">
        <v>49.4086</v>
      </c>
      <c r="Y29">
        <v>51.529800000000002</v>
      </c>
      <c r="Z29">
        <v>53.6509</v>
      </c>
      <c r="AA29">
        <v>55.772100000000002</v>
      </c>
      <c r="AB29">
        <v>58.080800000000004</v>
      </c>
      <c r="AC29">
        <v>60.390300000000003</v>
      </c>
      <c r="AD29">
        <v>62.699800000000003</v>
      </c>
      <c r="AE29">
        <v>65.009299999999996</v>
      </c>
      <c r="AF29">
        <v>67.317999999999998</v>
      </c>
      <c r="AG29">
        <v>69.651600000000002</v>
      </c>
      <c r="AH29">
        <v>71.984300000000005</v>
      </c>
      <c r="AI29">
        <v>74.317099999999996</v>
      </c>
    </row>
    <row r="30" spans="1:35">
      <c r="A30" s="54" t="s">
        <v>217</v>
      </c>
      <c r="B30">
        <v>5.7729999999999997</v>
      </c>
      <c r="C30">
        <v>6.1101000000000001</v>
      </c>
      <c r="D30">
        <v>6.4471999999999996</v>
      </c>
      <c r="E30">
        <v>6.7843999999999998</v>
      </c>
      <c r="F30">
        <v>7.1215000000000002</v>
      </c>
      <c r="G30">
        <v>7.4585999999999997</v>
      </c>
      <c r="H30">
        <v>7.8739999999999997</v>
      </c>
      <c r="I30">
        <v>8.2886000000000006</v>
      </c>
      <c r="J30">
        <v>8.7040000000000006</v>
      </c>
      <c r="K30">
        <v>9.1186000000000007</v>
      </c>
      <c r="L30">
        <v>9.5333000000000006</v>
      </c>
      <c r="M30">
        <v>10.030799999999999</v>
      </c>
      <c r="N30">
        <v>10.5276</v>
      </c>
      <c r="O30">
        <v>11.0252</v>
      </c>
      <c r="P30">
        <v>11.5227</v>
      </c>
      <c r="Q30">
        <v>12.019500000000001</v>
      </c>
      <c r="R30">
        <v>12.6271</v>
      </c>
      <c r="S30">
        <v>13.2339</v>
      </c>
      <c r="T30">
        <v>13.8415</v>
      </c>
      <c r="U30">
        <v>14.4483</v>
      </c>
      <c r="V30">
        <v>15.055899999999999</v>
      </c>
      <c r="W30">
        <v>15.762700000000001</v>
      </c>
      <c r="X30">
        <v>16.4695</v>
      </c>
      <c r="Y30">
        <v>17.176300000000001</v>
      </c>
      <c r="Z30">
        <v>17.883900000000001</v>
      </c>
      <c r="AA30">
        <v>18.590699999999998</v>
      </c>
      <c r="AB30">
        <v>19.360299999999999</v>
      </c>
      <c r="AC30">
        <v>20.129799999999999</v>
      </c>
      <c r="AD30">
        <v>20.900200000000002</v>
      </c>
      <c r="AE30">
        <v>21.669799999999999</v>
      </c>
      <c r="AF30">
        <v>22.439399999999999</v>
      </c>
      <c r="AG30">
        <v>23.217400000000001</v>
      </c>
      <c r="AH30">
        <v>23.994800000000001</v>
      </c>
      <c r="AI30">
        <v>24.772099999999998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9037"/>
  <sheetViews>
    <sheetView topLeftCell="A142" zoomScale="65" zoomScaleNormal="125" workbookViewId="0">
      <pane xSplit="1" topLeftCell="B1" activePane="topRight" state="frozen"/>
      <selection activeCell="B2" sqref="B2:AJ134"/>
      <selection pane="topRight" activeCell="C167" sqref="C167"/>
    </sheetView>
  </sheetViews>
  <sheetFormatPr defaultColWidth="8.77734375" defaultRowHeight="14.4"/>
  <cols>
    <col min="1" max="1" width="48.44140625" customWidth="1"/>
    <col min="2" max="2" width="9" bestFit="1" customWidth="1"/>
    <col min="3" max="3" width="20.77734375" bestFit="1" customWidth="1"/>
    <col min="4" max="7" width="15.109375" bestFit="1" customWidth="1"/>
    <col min="8" max="8" width="15.44140625" bestFit="1" customWidth="1"/>
    <col min="9" max="14" width="15.109375" bestFit="1" customWidth="1"/>
    <col min="15" max="22" width="15.44140625" bestFit="1" customWidth="1"/>
    <col min="23" max="23" width="15.44140625" style="5" bestFit="1" customWidth="1"/>
    <col min="24" max="25" width="14.44140625" bestFit="1" customWidth="1"/>
    <col min="26" max="26" width="14.44140625" customWidth="1"/>
    <col min="27" max="27" width="15.109375" customWidth="1"/>
    <col min="28" max="34" width="14.44140625" bestFit="1" customWidth="1"/>
    <col min="35" max="43" width="14.109375" bestFit="1" customWidth="1"/>
    <col min="44" max="45" width="12" bestFit="1" customWidth="1"/>
    <col min="46" max="47" width="11.44140625" bestFit="1" customWidth="1"/>
    <col min="48" max="49" width="12.44140625" bestFit="1" customWidth="1"/>
    <col min="50" max="50" width="11.44140625" bestFit="1" customWidth="1"/>
    <col min="51" max="52" width="12" bestFit="1" customWidth="1"/>
    <col min="53" max="57" width="12.44140625" bestFit="1" customWidth="1"/>
    <col min="58" max="58" width="11.44140625" bestFit="1" customWidth="1"/>
  </cols>
  <sheetData>
    <row r="1" spans="1:58" ht="18.600000000000001" thickBot="1">
      <c r="A1" s="6" t="s">
        <v>220</v>
      </c>
      <c r="W1"/>
    </row>
    <row r="2" spans="1:58" ht="15" thickBot="1">
      <c r="W2"/>
    </row>
    <row r="3" spans="1:58" ht="29.4" thickBot="1">
      <c r="A3" s="20" t="s">
        <v>11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s="39" t="s">
        <v>23</v>
      </c>
      <c r="B4" s="39"/>
      <c r="C4" s="39">
        <f t="shared" ref="C4:AG4" si="0">SUM(C6:C9)+SUM(C38:C54)</f>
        <v>12310.831699999999</v>
      </c>
      <c r="D4" s="39">
        <f t="shared" si="0"/>
        <v>6254.3036000000002</v>
      </c>
      <c r="E4" s="39">
        <f t="shared" si="0"/>
        <v>6397.9269000000004</v>
      </c>
      <c r="F4" s="39">
        <f t="shared" si="0"/>
        <v>6631.6215999999995</v>
      </c>
      <c r="G4" s="39">
        <f t="shared" si="0"/>
        <v>7950.2843000000003</v>
      </c>
      <c r="H4" s="39">
        <f t="shared" si="0"/>
        <v>6861.097999999999</v>
      </c>
      <c r="I4" s="39">
        <f t="shared" si="0"/>
        <v>6982.7317000000003</v>
      </c>
      <c r="J4" s="39">
        <f t="shared" si="0"/>
        <v>7103.3257000000003</v>
      </c>
      <c r="K4" s="39">
        <f t="shared" si="0"/>
        <v>7220.1100000000006</v>
      </c>
      <c r="L4" s="39">
        <f t="shared" si="0"/>
        <v>7497.3667000000005</v>
      </c>
      <c r="M4" s="39">
        <f t="shared" si="0"/>
        <v>7376.1438000000007</v>
      </c>
      <c r="N4" s="39">
        <f t="shared" si="0"/>
        <v>7679.0950000000003</v>
      </c>
      <c r="O4" s="39">
        <f t="shared" si="0"/>
        <v>7768.6002000000008</v>
      </c>
      <c r="P4" s="39">
        <f t="shared" si="0"/>
        <v>8085.1235000000006</v>
      </c>
      <c r="Q4" s="39">
        <f t="shared" si="0"/>
        <v>6551.7451000000001</v>
      </c>
      <c r="R4" s="39">
        <f t="shared" si="0"/>
        <v>3548.1338999999998</v>
      </c>
      <c r="S4" s="39">
        <f t="shared" si="0"/>
        <v>3657.8472999999999</v>
      </c>
      <c r="T4" s="39">
        <f t="shared" si="0"/>
        <v>3763.37</v>
      </c>
      <c r="U4" s="39">
        <f t="shared" si="0"/>
        <v>3874.1531</v>
      </c>
      <c r="V4" s="39">
        <f t="shared" si="0"/>
        <v>4042.7003999999997</v>
      </c>
      <c r="W4" s="39">
        <f t="shared" si="0"/>
        <v>4449.1404999999995</v>
      </c>
      <c r="X4" s="39">
        <f t="shared" si="0"/>
        <v>4663.4705999999987</v>
      </c>
      <c r="Y4" s="39">
        <f t="shared" si="0"/>
        <v>4838.4799999999996</v>
      </c>
      <c r="Z4" s="39">
        <f t="shared" si="0"/>
        <v>5015.4560999999994</v>
      </c>
      <c r="AA4" s="39">
        <f t="shared" si="0"/>
        <v>5187.0569999999989</v>
      </c>
      <c r="AB4" s="39">
        <f t="shared" si="0"/>
        <v>5351.5846000000001</v>
      </c>
      <c r="AC4" s="39">
        <f t="shared" si="0"/>
        <v>5541.9454999999998</v>
      </c>
      <c r="AD4" s="39">
        <f t="shared" si="0"/>
        <v>5738.3664000000008</v>
      </c>
      <c r="AE4" s="39">
        <f t="shared" si="0"/>
        <v>5954.1561999999994</v>
      </c>
      <c r="AF4" s="39">
        <f t="shared" si="0"/>
        <v>6304.4790000000003</v>
      </c>
      <c r="AG4" s="39">
        <f t="shared" si="0"/>
        <v>6782.1795999999995</v>
      </c>
    </row>
    <row r="5" spans="1:58">
      <c r="A5" s="40" t="s">
        <v>12</v>
      </c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8" s="37" customFormat="1">
      <c r="A6" s="41" t="s">
        <v>165</v>
      </c>
      <c r="B6" s="41"/>
      <c r="C6" s="41">
        <f>SUMIFS(Variable!C$2:C$9992,Variable!$B$2:$B$9992,$A6)</f>
        <v>1261.3244999999999</v>
      </c>
      <c r="D6" s="41">
        <f>SUMIFS(Variable!D$2:D$9992,Variable!$B$2:$B$9992,$A6)</f>
        <v>1462.7943</v>
      </c>
      <c r="E6" s="41">
        <f>SUMIFS(Variable!E$2:E$9992,Variable!$B$2:$B$9992,$A6)</f>
        <v>1414.0287000000001</v>
      </c>
      <c r="F6" s="41">
        <f>SUMIFS(Variable!F$2:F$9992,Variable!$B$2:$B$9992,$A6)</f>
        <v>1362.0853999999999</v>
      </c>
      <c r="G6" s="41">
        <f>SUMIFS(Variable!G$2:G$9992,Variable!$B$2:$B$9992,$A6)</f>
        <v>2473.1051000000002</v>
      </c>
      <c r="H6" s="41">
        <f>SUMIFS(Variable!H$2:H$9992,Variable!$B$2:$B$9992,$A6)</f>
        <v>1428.0187000000001</v>
      </c>
      <c r="I6" s="41">
        <f>SUMIFS(Variable!I$2:I$9992,Variable!$B$2:$B$9992,$A6)</f>
        <v>1451.1501000000001</v>
      </c>
      <c r="J6" s="41">
        <f>SUMIFS(Variable!J$2:J$9992,Variable!$B$2:$B$9992,$A6)</f>
        <v>1473.8243</v>
      </c>
      <c r="K6" s="41">
        <f>SUMIFS(Variable!K$2:K$9992,Variable!$B$2:$B$9992,$A6)</f>
        <v>1494.6229000000001</v>
      </c>
      <c r="L6" s="41">
        <f>SUMIFS(Variable!L$2:L$9992,Variable!$B$2:$B$9992,$A6)</f>
        <v>1619.2288000000001</v>
      </c>
      <c r="M6" s="41">
        <f>SUMIFS(Variable!M$2:M$9992,Variable!$B$2:$B$9992,$A6)</f>
        <v>1713.3089</v>
      </c>
      <c r="N6" s="41">
        <f>SUMIFS(Variable!N$2:N$9992,Variable!$B$2:$B$9992,$A6)</f>
        <v>1764.6043999999999</v>
      </c>
      <c r="O6" s="41">
        <f>SUMIFS(Variable!O$2:O$9992,Variable!$B$2:$B$9992,$A6)</f>
        <v>1498.5773999999999</v>
      </c>
      <c r="P6" s="41">
        <f>SUMIFS(Variable!P$2:P$9992,Variable!$B$2:$B$9992,$A6)</f>
        <v>1513.5803000000001</v>
      </c>
      <c r="Q6" s="41">
        <f>SUMIFS(Variable!Q$2:Q$9992,Variable!$B$2:$B$9992,$A6)</f>
        <v>1552.0385000000001</v>
      </c>
      <c r="R6" s="41">
        <f>SUMIFS(Variable!R$2:R$9992,Variable!$B$2:$B$9992,$A6)</f>
        <v>1663.6478999999999</v>
      </c>
      <c r="S6" s="41">
        <f>SUMIFS(Variable!S$2:S$9992,Variable!$B$2:$B$9992,$A6)</f>
        <v>1714.7561000000001</v>
      </c>
      <c r="T6" s="41">
        <f>SUMIFS(Variable!T$2:T$9992,Variable!$B$2:$B$9992,$A6)</f>
        <v>1766.0740000000001</v>
      </c>
      <c r="U6" s="41">
        <f>SUMIFS(Variable!U$2:U$9992,Variable!$B$2:$B$9992,$A6)</f>
        <v>1821.2826</v>
      </c>
      <c r="V6" s="41">
        <f>SUMIFS(Variable!V$2:V$9992,Variable!$B$2:$B$9992,$A6)</f>
        <v>1956.1922999999999</v>
      </c>
      <c r="W6" s="41">
        <f>SUMIFS(Variable!W$2:W$9992,Variable!$B$2:$B$9992,$A6)</f>
        <v>2173.0369000000001</v>
      </c>
      <c r="X6" s="41">
        <f>SUMIFS(Variable!X$2:X$9992,Variable!$B$2:$B$9992,$A6)</f>
        <v>2331.9787999999999</v>
      </c>
      <c r="Y6" s="41">
        <f>SUMIFS(Variable!Y$2:Y$9992,Variable!$B$2:$B$9992,$A6)</f>
        <v>2432.9928</v>
      </c>
      <c r="Z6" s="41">
        <f>SUMIFS(Variable!Z$2:Z$9992,Variable!$B$2:$B$9992,$A6)</f>
        <v>2533.9456</v>
      </c>
      <c r="AA6" s="41">
        <f>SUMIFS(Variable!AA$2:AA$9992,Variable!$B$2:$B$9992,$A6)</f>
        <v>2637.0704999999998</v>
      </c>
      <c r="AB6" s="41">
        <f>SUMIFS(Variable!AB$2:AB$9992,Variable!$B$2:$B$9992,$A6)</f>
        <v>2740.8353000000002</v>
      </c>
      <c r="AC6" s="41">
        <f>SUMIFS(Variable!AC$2:AC$9992,Variable!$B$2:$B$9992,$A6)</f>
        <v>2863.9301999999998</v>
      </c>
      <c r="AD6" s="41">
        <f>SUMIFS(Variable!AD$2:AD$9992,Variable!$B$2:$B$9992,$A6)</f>
        <v>2989.3955999999998</v>
      </c>
      <c r="AE6" s="41">
        <f>SUMIFS(Variable!AE$2:AE$9992,Variable!$B$2:$B$9992,$A6)</f>
        <v>3125.9274999999998</v>
      </c>
      <c r="AF6" s="41">
        <f>SUMIFS(Variable!AF$2:AF$9992,Variable!$B$2:$B$9992,$A6)</f>
        <v>3454.7456999999999</v>
      </c>
      <c r="AG6" s="41">
        <f>SUMIFS(Variable!AG$2:AG$9992,Variable!$B$2:$B$9992,$A6)</f>
        <v>3862.2492999999999</v>
      </c>
    </row>
    <row r="7" spans="1:58" s="37" customFormat="1">
      <c r="A7" s="41" t="s">
        <v>166</v>
      </c>
      <c r="B7" s="41"/>
      <c r="C7" s="41">
        <f>SUMIFS(Variable!C$2:C$9992,Variable!$B$2:$B$9992,$A7)</f>
        <v>3103.7145</v>
      </c>
      <c r="D7" s="41">
        <f>SUMIFS(Variable!D$2:D$9992,Variable!$B$2:$B$9992,$A7)</f>
        <v>0</v>
      </c>
      <c r="E7" s="41">
        <f>SUMIFS(Variable!E$2:E$9992,Variable!$B$2:$B$9992,$A7)</f>
        <v>0</v>
      </c>
      <c r="F7" s="41">
        <f>SUMIFS(Variable!F$2:F$9992,Variable!$B$2:$B$9992,$A7)</f>
        <v>0</v>
      </c>
      <c r="G7" s="41">
        <f>SUMIFS(Variable!G$2:G$9992,Variable!$B$2:$B$9992,$A7)</f>
        <v>0</v>
      </c>
      <c r="H7" s="41">
        <f>SUMIFS(Variable!H$2:H$9992,Variable!$B$2:$B$9992,$A7)</f>
        <v>0</v>
      </c>
      <c r="I7" s="41">
        <f>SUMIFS(Variable!I$2:I$9992,Variable!$B$2:$B$9992,$A7)</f>
        <v>0</v>
      </c>
      <c r="J7" s="41">
        <f>SUMIFS(Variable!J$2:J$9992,Variable!$B$2:$B$9992,$A7)</f>
        <v>0</v>
      </c>
      <c r="K7" s="41">
        <f>SUMIFS(Variable!K$2:K$9992,Variable!$B$2:$B$9992,$A7)</f>
        <v>0</v>
      </c>
      <c r="L7" s="41">
        <f>SUMIFS(Variable!L$2:L$9992,Variable!$B$2:$B$9992,$A7)</f>
        <v>0</v>
      </c>
      <c r="M7" s="41">
        <f>SUMIFS(Variable!M$2:M$9992,Variable!$B$2:$B$9992,$A7)</f>
        <v>0</v>
      </c>
      <c r="N7" s="41">
        <f>SUMIFS(Variable!N$2:N$9992,Variable!$B$2:$B$9992,$A7)</f>
        <v>0</v>
      </c>
      <c r="O7" s="41">
        <f>SUMIFS(Variable!O$2:O$9992,Variable!$B$2:$B$9992,$A7)</f>
        <v>0</v>
      </c>
      <c r="P7" s="41">
        <f>SUMIFS(Variable!P$2:P$9992,Variable!$B$2:$B$9992,$A7)</f>
        <v>0</v>
      </c>
      <c r="Q7" s="41">
        <f>SUMIFS(Variable!Q$2:Q$9992,Variable!$B$2:$B$9992,$A7)</f>
        <v>0</v>
      </c>
      <c r="R7" s="41">
        <f>SUMIFS(Variable!R$2:R$9992,Variable!$B$2:$B$9992,$A7)</f>
        <v>0</v>
      </c>
      <c r="S7" s="41">
        <f>SUMIFS(Variable!S$2:S$9992,Variable!$B$2:$B$9992,$A7)</f>
        <v>0</v>
      </c>
      <c r="T7" s="41">
        <f>SUMIFS(Variable!T$2:T$9992,Variable!$B$2:$B$9992,$A7)</f>
        <v>0</v>
      </c>
      <c r="U7" s="41">
        <f>SUMIFS(Variable!U$2:U$9992,Variable!$B$2:$B$9992,$A7)</f>
        <v>0</v>
      </c>
      <c r="V7" s="41">
        <f>SUMIFS(Variable!V$2:V$9992,Variable!$B$2:$B$9992,$A7)</f>
        <v>0</v>
      </c>
      <c r="W7" s="41">
        <f>SUMIFS(Variable!W$2:W$9992,Variable!$B$2:$B$9992,$A7)</f>
        <v>0</v>
      </c>
      <c r="X7" s="41">
        <f>SUMIFS(Variable!X$2:X$9992,Variable!$B$2:$B$9992,$A7)</f>
        <v>0</v>
      </c>
      <c r="Y7" s="41">
        <f>SUMIFS(Variable!Y$2:Y$9992,Variable!$B$2:$B$9992,$A7)</f>
        <v>0</v>
      </c>
      <c r="Z7" s="41">
        <f>SUMIFS(Variable!Z$2:Z$9992,Variable!$B$2:$B$9992,$A7)</f>
        <v>0</v>
      </c>
      <c r="AA7" s="41">
        <f>SUMIFS(Variable!AA$2:AA$9992,Variable!$B$2:$B$9992,$A7)</f>
        <v>0</v>
      </c>
      <c r="AB7" s="41">
        <f>SUMIFS(Variable!AB$2:AB$9992,Variable!$B$2:$B$9992,$A7)</f>
        <v>0</v>
      </c>
      <c r="AC7" s="41">
        <f>SUMIFS(Variable!AC$2:AC$9992,Variable!$B$2:$B$9992,$A7)</f>
        <v>0</v>
      </c>
      <c r="AD7" s="41">
        <f>SUMIFS(Variable!AD$2:AD$9992,Variable!$B$2:$B$9992,$A7)</f>
        <v>0</v>
      </c>
      <c r="AE7" s="41">
        <f>SUMIFS(Variable!AE$2:AE$9992,Variable!$B$2:$B$9992,$A7)</f>
        <v>0</v>
      </c>
      <c r="AF7" s="41">
        <f>SUMIFS(Variable!AF$2:AF$9992,Variable!$B$2:$B$9992,$A7)</f>
        <v>0</v>
      </c>
      <c r="AG7" s="41">
        <f>SUMIFS(Variable!AG$2:AG$9992,Variable!$B$2:$B$9992,$A7)</f>
        <v>0</v>
      </c>
    </row>
    <row r="8" spans="1:58" s="37" customFormat="1">
      <c r="A8" s="41" t="s">
        <v>164</v>
      </c>
      <c r="B8" s="41"/>
      <c r="C8" s="41">
        <f>SUMIFS(Variable!C$2:C$9992,Variable!$B$2:$B$9992,$A8)</f>
        <v>2023.5934</v>
      </c>
      <c r="D8" s="41">
        <f>SUMIFS(Variable!D$2:D$9992,Variable!$B$2:$B$9992,$A8)</f>
        <v>3235.0882999999999</v>
      </c>
      <c r="E8" s="41">
        <f>SUMIFS(Variable!E$2:E$9992,Variable!$B$2:$B$9992,$A8)</f>
        <v>3407.1523000000002</v>
      </c>
      <c r="F8" s="41">
        <f>SUMIFS(Variable!F$2:F$9992,Variable!$B$2:$B$9992,$A8)</f>
        <v>3672.2302</v>
      </c>
      <c r="G8" s="41">
        <f>SUMIFS(Variable!G$2:G$9992,Variable!$B$2:$B$9992,$A8)</f>
        <v>3885.4627</v>
      </c>
      <c r="H8" s="41">
        <f>SUMIFS(Variable!H$2:H$9992,Variable!$B$2:$B$9992,$A8)</f>
        <v>4149.6796999999997</v>
      </c>
      <c r="I8" s="41">
        <f>SUMIFS(Variable!I$2:I$9992,Variable!$B$2:$B$9992,$A8)</f>
        <v>4153.6779999999999</v>
      </c>
      <c r="J8" s="41">
        <f>SUMIFS(Variable!J$2:J$9992,Variable!$B$2:$B$9992,$A8)</f>
        <v>4156.3261000000002</v>
      </c>
      <c r="K8" s="41">
        <f>SUMIFS(Variable!K$2:K$9992,Variable!$B$2:$B$9992,$A8)</f>
        <v>4154.5856999999996</v>
      </c>
      <c r="L8" s="41">
        <f>SUMIFS(Variable!L$2:L$9992,Variable!$B$2:$B$9992,$A8)</f>
        <v>4286.7671</v>
      </c>
      <c r="M8" s="41">
        <f>SUMIFS(Variable!M$2:M$9992,Variable!$B$2:$B$9992,$A8)</f>
        <v>3999.6977000000002</v>
      </c>
      <c r="N8" s="41">
        <f>SUMIFS(Variable!N$2:N$9992,Variable!$B$2:$B$9992,$A8)</f>
        <v>4238.8939</v>
      </c>
      <c r="O8" s="41">
        <f>SUMIFS(Variable!O$2:O$9992,Variable!$B$2:$B$9992,$A8)</f>
        <v>4499.1180000000004</v>
      </c>
      <c r="P8" s="41">
        <f>SUMIFS(Variable!P$2:P$9992,Variable!$B$2:$B$9992,$A8)</f>
        <v>4753.0348000000004</v>
      </c>
      <c r="Q8" s="41">
        <f>SUMIFS(Variable!Q$2:Q$9992,Variable!$B$2:$B$9992,$A8)</f>
        <v>3162.5614999999998</v>
      </c>
      <c r="R8" s="41">
        <f>SUMIFS(Variable!R$2:R$9992,Variable!$B$2:$B$9992,$A8)</f>
        <v>0</v>
      </c>
      <c r="S8" s="41">
        <f>SUMIFS(Variable!S$2:S$9992,Variable!$B$2:$B$9992,$A8)</f>
        <v>0</v>
      </c>
      <c r="T8" s="41">
        <f>SUMIFS(Variable!T$2:T$9992,Variable!$B$2:$B$9992,$A8)</f>
        <v>0</v>
      </c>
      <c r="U8" s="41">
        <f>SUMIFS(Variable!U$2:U$9992,Variable!$B$2:$B$9992,$A8)</f>
        <v>0</v>
      </c>
      <c r="V8" s="41">
        <f>SUMIFS(Variable!V$2:V$9992,Variable!$B$2:$B$9992,$A8)</f>
        <v>0</v>
      </c>
      <c r="W8" s="41">
        <f>SUMIFS(Variable!W$2:W$9992,Variable!$B$2:$B$9992,$A8)</f>
        <v>0</v>
      </c>
      <c r="X8" s="41">
        <f>SUMIFS(Variable!X$2:X$9992,Variable!$B$2:$B$9992,$A8)</f>
        <v>0</v>
      </c>
      <c r="Y8" s="41">
        <f>SUMIFS(Variable!Y$2:Y$9992,Variable!$B$2:$B$9992,$A8)</f>
        <v>0</v>
      </c>
      <c r="Z8" s="41">
        <f>SUMIFS(Variable!Z$2:Z$9992,Variable!$B$2:$B$9992,$A8)</f>
        <v>0</v>
      </c>
      <c r="AA8" s="41">
        <f>SUMIFS(Variable!AA$2:AA$9992,Variable!$B$2:$B$9992,$A8)</f>
        <v>0</v>
      </c>
      <c r="AB8" s="41">
        <f>SUMIFS(Variable!AB$2:AB$9992,Variable!$B$2:$B$9992,$A8)</f>
        <v>0</v>
      </c>
      <c r="AC8" s="41">
        <f>SUMIFS(Variable!AC$2:AC$9992,Variable!$B$2:$B$9992,$A8)</f>
        <v>0</v>
      </c>
      <c r="AD8" s="41">
        <f>SUMIFS(Variable!AD$2:AD$9992,Variable!$B$2:$B$9992,$A8)</f>
        <v>0</v>
      </c>
      <c r="AE8" s="41">
        <f>SUMIFS(Variable!AE$2:AE$9992,Variable!$B$2:$B$9992,$A8)</f>
        <v>0</v>
      </c>
      <c r="AF8" s="41">
        <f>SUMIFS(Variable!AF$2:AF$9992,Variable!$B$2:$B$9992,$A8)</f>
        <v>0</v>
      </c>
      <c r="AG8" s="41">
        <f>SUMIFS(Variable!AG$2:AG$9992,Variable!$B$2:$B$9992,$A8)</f>
        <v>0</v>
      </c>
    </row>
    <row r="9" spans="1:58" s="37" customFormat="1">
      <c r="A9" s="41" t="s">
        <v>171</v>
      </c>
      <c r="B9" s="41"/>
      <c r="C9" s="41">
        <f>SUMIFS(Variable!C$2:C$9992,Variable!$B$2:$B$9992,$A9)</f>
        <v>4868.8589000000002</v>
      </c>
      <c r="D9" s="41">
        <f>SUMIFS(Variable!D$2:D$9992,Variable!$B$2:$B$9992,$A9)</f>
        <v>361.02879999999999</v>
      </c>
      <c r="E9" s="41">
        <f>SUMIFS(Variable!E$2:E$9992,Variable!$B$2:$B$9992,$A9)</f>
        <v>332.90100000000001</v>
      </c>
      <c r="F9" s="41">
        <f>SUMIFS(Variable!F$2:F$9992,Variable!$B$2:$B$9992,$A9)</f>
        <v>353.17430000000002</v>
      </c>
      <c r="G9" s="41">
        <f>SUMIFS(Variable!G$2:G$9992,Variable!$B$2:$B$9992,$A9)</f>
        <v>333.23950000000002</v>
      </c>
      <c r="H9" s="41">
        <f>SUMIFS(Variable!H$2:H$9992,Variable!$B$2:$B$9992,$A9)</f>
        <v>0</v>
      </c>
      <c r="I9" s="41">
        <f>SUMIFS(Variable!I$2:I$9992,Variable!$B$2:$B$9992,$A9)</f>
        <v>0</v>
      </c>
      <c r="J9" s="41">
        <f>SUMIFS(Variable!J$2:J$9992,Variable!$B$2:$B$9992,$A9)</f>
        <v>0</v>
      </c>
      <c r="K9" s="41">
        <f>SUMIFS(Variable!K$2:K$9992,Variable!$B$2:$B$9992,$A9)</f>
        <v>0</v>
      </c>
      <c r="L9" s="41">
        <f>SUMIFS(Variable!L$2:L$9992,Variable!$B$2:$B$9992,$A9)</f>
        <v>0</v>
      </c>
      <c r="M9" s="41">
        <f>SUMIFS(Variable!M$2:M$9992,Variable!$B$2:$B$9992,$A9)</f>
        <v>0</v>
      </c>
      <c r="N9" s="41">
        <f>SUMIFS(Variable!N$2:N$9992,Variable!$B$2:$B$9992,$A9)</f>
        <v>0</v>
      </c>
      <c r="O9" s="41">
        <f>SUMIFS(Variable!O$2:O$9992,Variable!$B$2:$B$9992,$A9)</f>
        <v>0</v>
      </c>
      <c r="P9" s="41">
        <f>SUMIFS(Variable!P$2:P$9992,Variable!$B$2:$B$9992,$A9)</f>
        <v>0</v>
      </c>
      <c r="Q9" s="41">
        <f>SUMIFS(Variable!Q$2:Q$9992,Variable!$B$2:$B$9992,$A9)</f>
        <v>0</v>
      </c>
      <c r="R9" s="41">
        <f>SUMIFS(Variable!R$2:R$9992,Variable!$B$2:$B$9992,$A9)</f>
        <v>0</v>
      </c>
      <c r="S9" s="41">
        <f>SUMIFS(Variable!S$2:S$9992,Variable!$B$2:$B$9992,$A9)</f>
        <v>0</v>
      </c>
      <c r="T9" s="41">
        <f>SUMIFS(Variable!T$2:T$9992,Variable!$B$2:$B$9992,$A9)</f>
        <v>0</v>
      </c>
      <c r="U9" s="41">
        <f>SUMIFS(Variable!U$2:U$9992,Variable!$B$2:$B$9992,$A9)</f>
        <v>0</v>
      </c>
      <c r="V9" s="41">
        <f>SUMIFS(Variable!V$2:V$9992,Variable!$B$2:$B$9992,$A9)</f>
        <v>0</v>
      </c>
      <c r="W9" s="41">
        <f>SUMIFS(Variable!W$2:W$9992,Variable!$B$2:$B$9992,$A9)</f>
        <v>61.739400000000003</v>
      </c>
      <c r="X9" s="41">
        <f>SUMIFS(Variable!X$2:X$9992,Variable!$B$2:$B$9992,$A9)</f>
        <v>67.84</v>
      </c>
      <c r="Y9" s="41">
        <f>SUMIFS(Variable!Y$2:Y$9992,Variable!$B$2:$B$9992,$A9)</f>
        <v>74.799300000000002</v>
      </c>
      <c r="Z9" s="41">
        <f>SUMIFS(Variable!Z$2:Z$9992,Variable!$B$2:$B$9992,$A9)</f>
        <v>83.935599999999994</v>
      </c>
      <c r="AA9" s="41">
        <f>SUMIFS(Variable!AA$2:AA$9992,Variable!$B$2:$B$9992,$A9)</f>
        <v>83.935599999999994</v>
      </c>
      <c r="AB9" s="41">
        <f>SUMIFS(Variable!AB$2:AB$9992,Variable!$B$2:$B$9992,$A9)</f>
        <v>83.922300000000007</v>
      </c>
      <c r="AC9" s="41">
        <f>SUMIFS(Variable!AC$2:AC$9992,Variable!$B$2:$B$9992,$A9)</f>
        <v>83.922300000000007</v>
      </c>
      <c r="AD9" s="41">
        <f>SUMIFS(Variable!AD$2:AD$9992,Variable!$B$2:$B$9992,$A9)</f>
        <v>83.922300000000007</v>
      </c>
      <c r="AE9" s="41">
        <f>SUMIFS(Variable!AE$2:AE$9992,Variable!$B$2:$B$9992,$A9)</f>
        <v>83.922300000000007</v>
      </c>
      <c r="AF9" s="41">
        <f>SUMIFS(Variable!AF$2:AF$9992,Variable!$B$2:$B$9992,$A9)</f>
        <v>78.775000000000006</v>
      </c>
      <c r="AG9" s="41">
        <f>SUMIFS(Variable!AG$2:AG$9992,Variable!$B$2:$B$9992,$A9)</f>
        <v>71.596999999999994</v>
      </c>
    </row>
    <row r="10" spans="1:58" s="37" customFormat="1">
      <c r="A10" t="s">
        <v>132</v>
      </c>
      <c r="C10" s="37">
        <f>SUMIFS(Variable!C$2:C$9992,Variable!$B$2:$B$9992,$A10)</f>
        <v>4.0000000000000002E-4</v>
      </c>
      <c r="D10" s="37">
        <f>SUMIFS(Variable!D$2:D$9992,Variable!$B$2:$B$9992,$A10)</f>
        <v>5.0000000000000001E-4</v>
      </c>
      <c r="E10" s="37">
        <f>SUMIFS(Variable!E$2:E$9992,Variable!$B$2:$B$9992,$A10)</f>
        <v>5.0000000000000001E-4</v>
      </c>
      <c r="F10" s="37">
        <f>SUMIFS(Variable!F$2:F$9992,Variable!$B$2:$B$9992,$A10)</f>
        <v>5.0000000000000001E-4</v>
      </c>
      <c r="G10" s="37">
        <f>SUMIFS(Variable!G$2:G$9992,Variable!$B$2:$B$9992,$A10)</f>
        <v>5.0000000000000001E-4</v>
      </c>
      <c r="H10" s="37">
        <f>SUMIFS(Variable!H$2:H$9992,Variable!$B$2:$B$9992,$A10)</f>
        <v>0</v>
      </c>
      <c r="I10" s="37">
        <f>SUMIFS(Variable!I$2:I$9992,Variable!$B$2:$B$9992,$A10)</f>
        <v>0</v>
      </c>
      <c r="J10" s="37">
        <f>SUMIFS(Variable!J$2:J$9992,Variable!$B$2:$B$9992,$A10)</f>
        <v>0</v>
      </c>
      <c r="K10" s="37">
        <f>SUMIFS(Variable!K$2:K$9992,Variable!$B$2:$B$9992,$A10)</f>
        <v>0</v>
      </c>
      <c r="L10" s="37">
        <f>SUMIFS(Variable!L$2:L$9992,Variable!$B$2:$B$9992,$A10)</f>
        <v>0</v>
      </c>
      <c r="M10" s="37">
        <f>SUMIFS(Variable!M$2:M$9992,Variable!$B$2:$B$9992,$A10)</f>
        <v>0</v>
      </c>
      <c r="N10" s="37">
        <f>SUMIFS(Variable!N$2:N$9992,Variable!$B$2:$B$9992,$A10)</f>
        <v>0</v>
      </c>
      <c r="O10" s="37">
        <f>SUMIFS(Variable!O$2:O$9992,Variable!$B$2:$B$9992,$A10)</f>
        <v>0</v>
      </c>
      <c r="P10" s="37">
        <f>SUMIFS(Variable!P$2:P$9992,Variable!$B$2:$B$9992,$A10)</f>
        <v>0</v>
      </c>
      <c r="Q10" s="37">
        <f>SUMIFS(Variable!Q$2:Q$9992,Variable!$B$2:$B$9992,$A10)</f>
        <v>0</v>
      </c>
      <c r="R10" s="37">
        <f>SUMIFS(Variable!R$2:R$9992,Variable!$B$2:$B$9992,$A10)</f>
        <v>0</v>
      </c>
      <c r="S10" s="37">
        <f>SUMIFS(Variable!S$2:S$9992,Variable!$B$2:$B$9992,$A10)</f>
        <v>0</v>
      </c>
      <c r="T10" s="37">
        <f>SUMIFS(Variable!T$2:T$9992,Variable!$B$2:$B$9992,$A10)</f>
        <v>0</v>
      </c>
      <c r="U10" s="37">
        <f>SUMIFS(Variable!U$2:U$9992,Variable!$B$2:$B$9992,$A10)</f>
        <v>0</v>
      </c>
      <c r="V10" s="37">
        <f>SUMIFS(Variable!V$2:V$9992,Variable!$B$2:$B$9992,$A10)</f>
        <v>0</v>
      </c>
      <c r="W10" s="37">
        <f>SUMIFS(Variable!W$2:W$9992,Variable!$B$2:$B$9992,$A10)</f>
        <v>1E-4</v>
      </c>
      <c r="X10" s="37">
        <f>SUMIFS(Variable!X$2:X$9992,Variable!$B$2:$B$9992,$A10)</f>
        <v>1E-4</v>
      </c>
      <c r="Y10" s="37">
        <f>SUMIFS(Variable!Y$2:Y$9992,Variable!$B$2:$B$9992,$A10)</f>
        <v>1E-4</v>
      </c>
      <c r="Z10" s="37">
        <f>SUMIFS(Variable!Z$2:Z$9992,Variable!$B$2:$B$9992,$A10)</f>
        <v>1E-4</v>
      </c>
      <c r="AA10" s="37">
        <f>SUMIFS(Variable!AA$2:AA$9992,Variable!$B$2:$B$9992,$A10)</f>
        <v>1E-4</v>
      </c>
      <c r="AB10" s="37">
        <f>SUMIFS(Variable!AB$2:AB$9992,Variable!$B$2:$B$9992,$A10)</f>
        <v>1E-4</v>
      </c>
      <c r="AC10" s="37">
        <f>SUMIFS(Variable!AC$2:AC$9992,Variable!$B$2:$B$9992,$A10)</f>
        <v>1E-4</v>
      </c>
      <c r="AD10" s="37">
        <f>SUMIFS(Variable!AD$2:AD$9992,Variable!$B$2:$B$9992,$A10)</f>
        <v>1E-4</v>
      </c>
      <c r="AE10" s="37">
        <f>SUMIFS(Variable!AE$2:AE$9992,Variable!$B$2:$B$9992,$A10)</f>
        <v>1E-4</v>
      </c>
      <c r="AF10" s="37">
        <f>SUMIFS(Variable!AF$2:AF$9992,Variable!$B$2:$B$9992,$A10)</f>
        <v>1E-4</v>
      </c>
      <c r="AG10" s="37">
        <f>SUMIFS(Variable!AG$2:AG$9992,Variable!$B$2:$B$9992,$A10)</f>
        <v>1E-4</v>
      </c>
    </row>
    <row r="11" spans="1:58" s="37" customFormat="1">
      <c r="A11" t="s">
        <v>133</v>
      </c>
      <c r="C11" s="37">
        <f>SUMIFS(Variable!C$2:C$9992,Variable!$B$2:$B$9992,$A11)</f>
        <v>2.0899999999999998E-2</v>
      </c>
      <c r="D11" s="37">
        <f>SUMIFS(Variable!D$2:D$9992,Variable!$B$2:$B$9992,$A11)</f>
        <v>2.23E-2</v>
      </c>
      <c r="E11" s="37">
        <f>SUMIFS(Variable!E$2:E$9992,Variable!$B$2:$B$9992,$A11)</f>
        <v>2.3900000000000001E-2</v>
      </c>
      <c r="F11" s="37">
        <f>SUMIFS(Variable!F$2:F$9992,Variable!$B$2:$B$9992,$A11)</f>
        <v>2.6599999999999999E-2</v>
      </c>
      <c r="G11" s="37">
        <f>SUMIFS(Variable!G$2:G$9992,Variable!$B$2:$B$9992,$A11)</f>
        <v>2.86E-2</v>
      </c>
      <c r="H11" s="37">
        <f>SUMIFS(Variable!H$2:H$9992,Variable!$B$2:$B$9992,$A11)</f>
        <v>2.63E-2</v>
      </c>
      <c r="I11" s="37">
        <f>SUMIFS(Variable!I$2:I$9992,Variable!$B$2:$B$9992,$A11)</f>
        <v>2.58E-2</v>
      </c>
      <c r="J11" s="37">
        <f>SUMIFS(Variable!J$2:J$9992,Variable!$B$2:$B$9992,$A11)</f>
        <v>2.5399999999999999E-2</v>
      </c>
      <c r="K11" s="37">
        <f>SUMIFS(Variable!K$2:K$9992,Variable!$B$2:$B$9992,$A11)</f>
        <v>2.5000000000000001E-2</v>
      </c>
      <c r="L11" s="37">
        <f>SUMIFS(Variable!L$2:L$9992,Variable!$B$2:$B$9992,$A11)</f>
        <v>2.5999999999999999E-2</v>
      </c>
      <c r="M11" s="37">
        <f>SUMIFS(Variable!M$2:M$9992,Variable!$B$2:$B$9992,$A11)</f>
        <v>2.23E-2</v>
      </c>
      <c r="N11" s="37">
        <f>SUMIFS(Variable!N$2:N$9992,Variable!$B$2:$B$9992,$A11)</f>
        <v>2.2100000000000002E-2</v>
      </c>
      <c r="O11" s="37">
        <f>SUMIFS(Variable!O$2:O$9992,Variable!$B$2:$B$9992,$A11)</f>
        <v>1.77E-2</v>
      </c>
      <c r="P11" s="37">
        <f>SUMIFS(Variable!P$2:P$9992,Variable!$B$2:$B$9992,$A11)</f>
        <v>1.7299999999999999E-2</v>
      </c>
      <c r="Q11" s="37">
        <f>SUMIFS(Variable!Q$2:Q$9992,Variable!$B$2:$B$9992,$A11)</f>
        <v>1.6799999999999999E-2</v>
      </c>
      <c r="R11" s="37">
        <f>SUMIFS(Variable!R$2:R$9992,Variable!$B$2:$B$9992,$A11)</f>
        <v>1.55E-2</v>
      </c>
      <c r="S11" s="37">
        <f>SUMIFS(Variable!S$2:S$9992,Variable!$B$2:$B$9992,$A11)</f>
        <v>1.32E-2</v>
      </c>
      <c r="T11" s="37">
        <f>SUMIFS(Variable!T$2:T$9992,Variable!$B$2:$B$9992,$A11)</f>
        <v>1.2699999999999999E-2</v>
      </c>
      <c r="U11" s="37">
        <f>SUMIFS(Variable!U$2:U$9992,Variable!$B$2:$B$9992,$A11)</f>
        <v>1.0699999999999999E-2</v>
      </c>
      <c r="V11" s="37">
        <f>SUMIFS(Variable!V$2:V$9992,Variable!$B$2:$B$9992,$A11)</f>
        <v>8.6E-3</v>
      </c>
      <c r="W11" s="37">
        <f>SUMIFS(Variable!W$2:W$9992,Variable!$B$2:$B$9992,$A11)</f>
        <v>8.8999999999999999E-3</v>
      </c>
      <c r="X11" s="37">
        <f>SUMIFS(Variable!X$2:X$9992,Variable!$B$2:$B$9992,$A11)</f>
        <v>9.4000000000000004E-3</v>
      </c>
      <c r="Y11" s="37">
        <f>SUMIFS(Variable!Y$2:Y$9992,Variable!$B$2:$B$9992,$A11)</f>
        <v>9.2999999999999992E-3</v>
      </c>
      <c r="Z11" s="37">
        <f>SUMIFS(Variable!Z$2:Z$9992,Variable!$B$2:$B$9992,$A11)</f>
        <v>9.1000000000000004E-3</v>
      </c>
      <c r="AA11" s="37">
        <f>SUMIFS(Variable!AA$2:AA$9992,Variable!$B$2:$B$9992,$A11)</f>
        <v>8.9999999999999993E-3</v>
      </c>
      <c r="AB11" s="37">
        <f>SUMIFS(Variable!AB$2:AB$9992,Variable!$B$2:$B$9992,$A11)</f>
        <v>8.8000000000000005E-3</v>
      </c>
      <c r="AC11" s="37">
        <f>SUMIFS(Variable!AC$2:AC$9992,Variable!$B$2:$B$9992,$A11)</f>
        <v>8.2000000000000007E-3</v>
      </c>
      <c r="AD11" s="37">
        <f>SUMIFS(Variable!AD$2:AD$9992,Variable!$B$2:$B$9992,$A11)</f>
        <v>8.0000000000000002E-3</v>
      </c>
      <c r="AE11" s="37">
        <f>SUMIFS(Variable!AE$2:AE$9992,Variable!$B$2:$B$9992,$A11)</f>
        <v>8.0000000000000002E-3</v>
      </c>
      <c r="AF11" s="37">
        <f>SUMIFS(Variable!AF$2:AF$9992,Variable!$B$2:$B$9992,$A11)</f>
        <v>9.1000000000000004E-3</v>
      </c>
      <c r="AG11" s="37">
        <f>SUMIFS(Variable!AG$2:AG$9992,Variable!$B$2:$B$9992,$A11)</f>
        <v>0.01</v>
      </c>
    </row>
    <row r="12" spans="1:58" s="37" customFormat="1">
      <c r="A12" t="s">
        <v>138</v>
      </c>
      <c r="C12" s="37">
        <f>SUMIFS(Variable!C$2:C$9992,Variable!$B$2:$B$9992,$A12)</f>
        <v>3.8999999999999998E-3</v>
      </c>
      <c r="D12" s="37">
        <f>SUMIFS(Variable!D$2:D$9992,Variable!$B$2:$B$9992,$A12)</f>
        <v>3.5999999999999999E-3</v>
      </c>
      <c r="E12" s="37">
        <f>SUMIFS(Variable!E$2:E$9992,Variable!$B$2:$B$9992,$A12)</f>
        <v>3.8E-3</v>
      </c>
      <c r="F12" s="37">
        <f>SUMIFS(Variable!F$2:F$9992,Variable!$B$2:$B$9992,$A12)</f>
        <v>3.8999999999999998E-3</v>
      </c>
      <c r="G12" s="37">
        <f>SUMIFS(Variable!G$2:G$9992,Variable!$B$2:$B$9992,$A12)</f>
        <v>3.8999999999999998E-3</v>
      </c>
      <c r="H12" s="37">
        <f>SUMIFS(Variable!H$2:H$9992,Variable!$B$2:$B$9992,$A12)</f>
        <v>4.0000000000000001E-3</v>
      </c>
      <c r="I12" s="37">
        <f>SUMIFS(Variable!I$2:I$9992,Variable!$B$2:$B$9992,$A12)</f>
        <v>6.6E-3</v>
      </c>
      <c r="J12" s="37">
        <f>SUMIFS(Variable!J$2:J$9992,Variable!$B$2:$B$9992,$A12)</f>
        <v>9.2999999999999992E-3</v>
      </c>
      <c r="K12" s="37">
        <f>SUMIFS(Variable!K$2:K$9992,Variable!$B$2:$B$9992,$A12)</f>
        <v>1.2E-2</v>
      </c>
      <c r="L12" s="37">
        <f>SUMIFS(Variable!L$2:L$9992,Variable!$B$2:$B$9992,$A12)</f>
        <v>1.26E-2</v>
      </c>
      <c r="M12" s="37">
        <f>SUMIFS(Variable!M$2:M$9992,Variable!$B$2:$B$9992,$A12)</f>
        <v>1.26E-2</v>
      </c>
      <c r="N12" s="37">
        <f>SUMIFS(Variable!N$2:N$9992,Variable!$B$2:$B$9992,$A12)</f>
        <v>1.26E-2</v>
      </c>
      <c r="O12" s="37">
        <f>SUMIFS(Variable!O$2:O$9992,Variable!$B$2:$B$9992,$A12)</f>
        <v>1.26E-2</v>
      </c>
      <c r="P12" s="37">
        <f>SUMIFS(Variable!P$2:P$9992,Variable!$B$2:$B$9992,$A12)</f>
        <v>1.26E-2</v>
      </c>
      <c r="Q12" s="37">
        <f>SUMIFS(Variable!Q$2:Q$9992,Variable!$B$2:$B$9992,$A12)</f>
        <v>1.26E-2</v>
      </c>
      <c r="R12" s="37">
        <f>SUMIFS(Variable!R$2:R$9992,Variable!$B$2:$B$9992,$A12)</f>
        <v>1.26E-2</v>
      </c>
      <c r="S12" s="37">
        <f>SUMIFS(Variable!S$2:S$9992,Variable!$B$2:$B$9992,$A12)</f>
        <v>1.26E-2</v>
      </c>
      <c r="T12" s="37">
        <f>SUMIFS(Variable!T$2:T$9992,Variable!$B$2:$B$9992,$A12)</f>
        <v>1.26E-2</v>
      </c>
      <c r="U12" s="37">
        <f>SUMIFS(Variable!U$2:U$9992,Variable!$B$2:$B$9992,$A12)</f>
        <v>1.26E-2</v>
      </c>
      <c r="V12" s="37">
        <f>SUMIFS(Variable!V$2:V$9992,Variable!$B$2:$B$9992,$A12)</f>
        <v>1.26E-2</v>
      </c>
      <c r="W12" s="37">
        <f>SUMIFS(Variable!W$2:W$9992,Variable!$B$2:$B$9992,$A12)</f>
        <v>1.26E-2</v>
      </c>
      <c r="X12" s="37">
        <f>SUMIFS(Variable!X$2:X$9992,Variable!$B$2:$B$9992,$A12)</f>
        <v>1.26E-2</v>
      </c>
      <c r="Y12" s="37">
        <f>SUMIFS(Variable!Y$2:Y$9992,Variable!$B$2:$B$9992,$A12)</f>
        <v>1.26E-2</v>
      </c>
      <c r="Z12" s="37">
        <f>SUMIFS(Variable!Z$2:Z$9992,Variable!$B$2:$B$9992,$A12)</f>
        <v>1.26E-2</v>
      </c>
      <c r="AA12" s="37">
        <f>SUMIFS(Variable!AA$2:AA$9992,Variable!$B$2:$B$9992,$A12)</f>
        <v>1.26E-2</v>
      </c>
      <c r="AB12" s="37">
        <f>SUMIFS(Variable!AB$2:AB$9992,Variable!$B$2:$B$9992,$A12)</f>
        <v>1.26E-2</v>
      </c>
      <c r="AC12" s="37">
        <f>SUMIFS(Variable!AC$2:AC$9992,Variable!$B$2:$B$9992,$A12)</f>
        <v>1.26E-2</v>
      </c>
      <c r="AD12" s="37">
        <f>SUMIFS(Variable!AD$2:AD$9992,Variable!$B$2:$B$9992,$A12)</f>
        <v>1.26E-2</v>
      </c>
      <c r="AE12" s="37">
        <f>SUMIFS(Variable!AE$2:AE$9992,Variable!$B$2:$B$9992,$A12)</f>
        <v>1.26E-2</v>
      </c>
      <c r="AF12" s="37">
        <f>SUMIFS(Variable!AF$2:AF$9992,Variable!$B$2:$B$9992,$A12)</f>
        <v>1.26E-2</v>
      </c>
      <c r="AG12" s="37">
        <f>SUMIFS(Variable!AG$2:AG$9992,Variable!$B$2:$B$9992,$A12)</f>
        <v>1.26E-2</v>
      </c>
    </row>
    <row r="13" spans="1:58" s="37" customFormat="1">
      <c r="A13" t="s">
        <v>141</v>
      </c>
      <c r="C13" s="37">
        <f>SUMIFS(Variable!C$2:C$9992,Variable!$B$2:$B$9992,$A13)</f>
        <v>0</v>
      </c>
      <c r="D13" s="37">
        <f>SUMIFS(Variable!D$2:D$9992,Variable!$B$2:$B$9992,$A13)</f>
        <v>0</v>
      </c>
      <c r="E13" s="37">
        <f>SUMIFS(Variable!E$2:E$9992,Variable!$B$2:$B$9992,$A13)</f>
        <v>0</v>
      </c>
      <c r="F13" s="37">
        <f>SUMIFS(Variable!F$2:F$9992,Variable!$B$2:$B$9992,$A13)</f>
        <v>0</v>
      </c>
      <c r="G13" s="37">
        <f>SUMIFS(Variable!G$2:G$9992,Variable!$B$2:$B$9992,$A13)</f>
        <v>0</v>
      </c>
      <c r="H13" s="37">
        <f>SUMIFS(Variable!H$2:H$9992,Variable!$B$2:$B$9992,$A13)</f>
        <v>0</v>
      </c>
      <c r="I13" s="37">
        <f>SUMIFS(Variable!I$2:I$9992,Variable!$B$2:$B$9992,$A13)</f>
        <v>0</v>
      </c>
      <c r="J13" s="37">
        <f>SUMIFS(Variable!J$2:J$9992,Variable!$B$2:$B$9992,$A13)</f>
        <v>0</v>
      </c>
      <c r="K13" s="37">
        <f>SUMIFS(Variable!K$2:K$9992,Variable!$B$2:$B$9992,$A13)</f>
        <v>0</v>
      </c>
      <c r="L13" s="37">
        <f>SUMIFS(Variable!L$2:L$9992,Variable!$B$2:$B$9992,$A13)</f>
        <v>0</v>
      </c>
      <c r="M13" s="37">
        <f>SUMIFS(Variable!M$2:M$9992,Variable!$B$2:$B$9992,$A13)</f>
        <v>0</v>
      </c>
      <c r="N13" s="37">
        <f>SUMIFS(Variable!N$2:N$9992,Variable!$B$2:$B$9992,$A13)</f>
        <v>0</v>
      </c>
      <c r="O13" s="37">
        <f>SUMIFS(Variable!O$2:O$9992,Variable!$B$2:$B$9992,$A13)</f>
        <v>0</v>
      </c>
      <c r="P13" s="37">
        <f>SUMIFS(Variable!P$2:P$9992,Variable!$B$2:$B$9992,$A13)</f>
        <v>0</v>
      </c>
      <c r="Q13" s="37">
        <f>SUMIFS(Variable!Q$2:Q$9992,Variable!$B$2:$B$9992,$A13)</f>
        <v>0</v>
      </c>
      <c r="R13" s="37">
        <f>SUMIFS(Variable!R$2:R$9992,Variable!$B$2:$B$9992,$A13)</f>
        <v>0</v>
      </c>
      <c r="S13" s="37">
        <f>SUMIFS(Variable!S$2:S$9992,Variable!$B$2:$B$9992,$A13)</f>
        <v>0</v>
      </c>
      <c r="T13" s="37">
        <f>SUMIFS(Variable!T$2:T$9992,Variable!$B$2:$B$9992,$A13)</f>
        <v>0</v>
      </c>
      <c r="U13" s="37">
        <f>SUMIFS(Variable!U$2:U$9992,Variable!$B$2:$B$9992,$A13)</f>
        <v>0</v>
      </c>
      <c r="V13" s="37">
        <f>SUMIFS(Variable!V$2:V$9992,Variable!$B$2:$B$9992,$A13)</f>
        <v>0</v>
      </c>
      <c r="W13" s="37">
        <f>SUMIFS(Variable!W$2:W$9992,Variable!$B$2:$B$9992,$A13)</f>
        <v>0</v>
      </c>
      <c r="X13" s="37">
        <f>SUMIFS(Variable!X$2:X$9992,Variable!$B$2:$B$9992,$A13)</f>
        <v>0</v>
      </c>
      <c r="Y13" s="37">
        <f>SUMIFS(Variable!Y$2:Y$9992,Variable!$B$2:$B$9992,$A13)</f>
        <v>0</v>
      </c>
      <c r="Z13" s="37">
        <f>SUMIFS(Variable!Z$2:Z$9992,Variable!$B$2:$B$9992,$A13)</f>
        <v>0</v>
      </c>
      <c r="AA13" s="37">
        <f>SUMIFS(Variable!AA$2:AA$9992,Variable!$B$2:$B$9992,$A13)</f>
        <v>0</v>
      </c>
      <c r="AB13" s="37">
        <f>SUMIFS(Variable!AB$2:AB$9992,Variable!$B$2:$B$9992,$A13)</f>
        <v>0</v>
      </c>
      <c r="AC13" s="37">
        <f>SUMIFS(Variable!AC$2:AC$9992,Variable!$B$2:$B$9992,$A13)</f>
        <v>0</v>
      </c>
      <c r="AD13" s="37">
        <f>SUMIFS(Variable!AD$2:AD$9992,Variable!$B$2:$B$9992,$A13)</f>
        <v>0</v>
      </c>
      <c r="AE13" s="37">
        <f>SUMIFS(Variable!AE$2:AE$9992,Variable!$B$2:$B$9992,$A13)</f>
        <v>0</v>
      </c>
      <c r="AF13" s="37">
        <f>SUMIFS(Variable!AF$2:AF$9992,Variable!$B$2:$B$9992,$A13)</f>
        <v>0</v>
      </c>
      <c r="AG13" s="37">
        <f>SUMIFS(Variable!AG$2:AG$9992,Variable!$B$2:$B$9992,$A13)</f>
        <v>0</v>
      </c>
    </row>
    <row r="14" spans="1:58" s="37" customFormat="1">
      <c r="A14" t="s">
        <v>142</v>
      </c>
      <c r="C14" s="37">
        <f>SUMIFS(Variable!C$2:C$9992,Variable!$B$2:$B$9992,$A14)</f>
        <v>0</v>
      </c>
      <c r="D14" s="37">
        <f>SUMIFS(Variable!D$2:D$9992,Variable!$B$2:$B$9992,$A14)</f>
        <v>0</v>
      </c>
      <c r="E14" s="37">
        <f>SUMIFS(Variable!E$2:E$9992,Variable!$B$2:$B$9992,$A14)</f>
        <v>0</v>
      </c>
      <c r="F14" s="37">
        <f>SUMIFS(Variable!F$2:F$9992,Variable!$B$2:$B$9992,$A14)</f>
        <v>0</v>
      </c>
      <c r="G14" s="37">
        <f>SUMIFS(Variable!G$2:G$9992,Variable!$B$2:$B$9992,$A14)</f>
        <v>0</v>
      </c>
      <c r="H14" s="37">
        <f>SUMIFS(Variable!H$2:H$9992,Variable!$B$2:$B$9992,$A14)</f>
        <v>6.6E-3</v>
      </c>
      <c r="I14" s="37">
        <f>SUMIFS(Variable!I$2:I$9992,Variable!$B$2:$B$9992,$A14)</f>
        <v>6.6E-3</v>
      </c>
      <c r="J14" s="37">
        <f>SUMIFS(Variable!J$2:J$9992,Variable!$B$2:$B$9992,$A14)</f>
        <v>6.6E-3</v>
      </c>
      <c r="K14" s="37">
        <f>SUMIFS(Variable!K$2:K$9992,Variable!$B$2:$B$9992,$A14)</f>
        <v>6.6E-3</v>
      </c>
      <c r="L14" s="37">
        <f>SUMIFS(Variable!L$2:L$9992,Variable!$B$2:$B$9992,$A14)</f>
        <v>6.6E-3</v>
      </c>
      <c r="M14" s="37">
        <f>SUMIFS(Variable!M$2:M$9992,Variable!$B$2:$B$9992,$A14)</f>
        <v>6.6E-3</v>
      </c>
      <c r="N14" s="37">
        <f>SUMIFS(Variable!N$2:N$9992,Variable!$B$2:$B$9992,$A14)</f>
        <v>9.2999999999999992E-3</v>
      </c>
      <c r="O14" s="37">
        <f>SUMIFS(Variable!O$2:O$9992,Variable!$B$2:$B$9992,$A14)</f>
        <v>1.8100000000000002E-2</v>
      </c>
      <c r="P14" s="37">
        <f>SUMIFS(Variable!P$2:P$9992,Variable!$B$2:$B$9992,$A14)</f>
        <v>2.1299999999999999E-2</v>
      </c>
      <c r="Q14" s="37">
        <f>SUMIFS(Variable!Q$2:Q$9992,Variable!$B$2:$B$9992,$A14)</f>
        <v>2.4500000000000001E-2</v>
      </c>
      <c r="R14" s="37">
        <f>SUMIFS(Variable!R$2:R$9992,Variable!$B$2:$B$9992,$A14)</f>
        <v>2.7400000000000001E-2</v>
      </c>
      <c r="S14" s="37">
        <f>SUMIFS(Variable!S$2:S$9992,Variable!$B$2:$B$9992,$A14)</f>
        <v>3.3000000000000002E-2</v>
      </c>
      <c r="T14" s="37">
        <f>SUMIFS(Variable!T$2:T$9992,Variable!$B$2:$B$9992,$A14)</f>
        <v>3.6799999999999999E-2</v>
      </c>
      <c r="U14" s="37">
        <f>SUMIFS(Variable!U$2:U$9992,Variable!$B$2:$B$9992,$A14)</f>
        <v>4.2099999999999999E-2</v>
      </c>
      <c r="V14" s="37">
        <f>SUMIFS(Variable!V$2:V$9992,Variable!$B$2:$B$9992,$A14)</f>
        <v>4.7199999999999999E-2</v>
      </c>
      <c r="W14" s="37">
        <f>SUMIFS(Variable!W$2:W$9992,Variable!$B$2:$B$9992,$A14)</f>
        <v>3.8899999999999997E-2</v>
      </c>
      <c r="X14" s="37">
        <f>SUMIFS(Variable!X$2:X$9992,Variable!$B$2:$B$9992,$A14)</f>
        <v>4.0399999999999998E-2</v>
      </c>
      <c r="Y14" s="37">
        <f>SUMIFS(Variable!Y$2:Y$9992,Variable!$B$2:$B$9992,$A14)</f>
        <v>4.2999999999999997E-2</v>
      </c>
      <c r="Z14" s="37">
        <f>SUMIFS(Variable!Z$2:Z$9992,Variable!$B$2:$B$9992,$A14)</f>
        <v>4.5699999999999998E-2</v>
      </c>
      <c r="AA14" s="37">
        <f>SUMIFS(Variable!AA$2:AA$9992,Variable!$B$2:$B$9992,$A14)</f>
        <v>4.8300000000000003E-2</v>
      </c>
      <c r="AB14" s="37">
        <f>SUMIFS(Variable!AB$2:AB$9992,Variable!$B$2:$B$9992,$A14)</f>
        <v>5.11E-2</v>
      </c>
      <c r="AC14" s="37">
        <f>SUMIFS(Variable!AC$2:AC$9992,Variable!$B$2:$B$9992,$A14)</f>
        <v>5.4399999999999997E-2</v>
      </c>
      <c r="AD14" s="37">
        <f>SUMIFS(Variable!AD$2:AD$9992,Variable!$B$2:$B$9992,$A14)</f>
        <v>5.7099999999999998E-2</v>
      </c>
      <c r="AE14" s="37">
        <f>SUMIFS(Variable!AE$2:AE$9992,Variable!$B$2:$B$9992,$A14)</f>
        <v>5.8999999999999997E-2</v>
      </c>
      <c r="AF14" s="37">
        <f>SUMIFS(Variable!AF$2:AF$9992,Variable!$B$2:$B$9992,$A14)</f>
        <v>6.0100000000000001E-2</v>
      </c>
      <c r="AG14" s="37">
        <f>SUMIFS(Variable!AG$2:AG$9992,Variable!$B$2:$B$9992,$A14)</f>
        <v>5.7599999999999998E-2</v>
      </c>
    </row>
    <row r="15" spans="1:58" s="37" customFormat="1">
      <c r="A15" t="s">
        <v>143</v>
      </c>
      <c r="C15" s="37">
        <f>SUMIFS(Variable!C$2:C$9992,Variable!$B$2:$B$9992,$A15)</f>
        <v>0</v>
      </c>
      <c r="D15" s="37">
        <f>SUMIFS(Variable!D$2:D$9992,Variable!$B$2:$B$9992,$A15)</f>
        <v>0</v>
      </c>
      <c r="E15" s="37">
        <f>SUMIFS(Variable!E$2:E$9992,Variable!$B$2:$B$9992,$A15)</f>
        <v>0</v>
      </c>
      <c r="F15" s="37">
        <f>SUMIFS(Variable!F$2:F$9992,Variable!$B$2:$B$9992,$A15)</f>
        <v>0</v>
      </c>
      <c r="G15" s="37">
        <f>SUMIFS(Variable!G$2:G$9992,Variable!$B$2:$B$9992,$A15)</f>
        <v>0</v>
      </c>
      <c r="H15" s="37">
        <f>SUMIFS(Variable!H$2:H$9992,Variable!$B$2:$B$9992,$A15)</f>
        <v>0</v>
      </c>
      <c r="I15" s="37">
        <f>SUMIFS(Variable!I$2:I$9992,Variable!$B$2:$B$9992,$A15)</f>
        <v>0</v>
      </c>
      <c r="J15" s="37">
        <f>SUMIFS(Variable!J$2:J$9992,Variable!$B$2:$B$9992,$A15)</f>
        <v>0</v>
      </c>
      <c r="K15" s="37">
        <f>SUMIFS(Variable!K$2:K$9992,Variable!$B$2:$B$9992,$A15)</f>
        <v>0</v>
      </c>
      <c r="L15" s="37">
        <f>SUMIFS(Variable!L$2:L$9992,Variable!$B$2:$B$9992,$A15)</f>
        <v>0</v>
      </c>
      <c r="M15" s="37">
        <f>SUMIFS(Variable!M$2:M$9992,Variable!$B$2:$B$9992,$A15)</f>
        <v>0</v>
      </c>
      <c r="N15" s="37">
        <f>SUMIFS(Variable!N$2:N$9992,Variable!$B$2:$B$9992,$A15)</f>
        <v>0</v>
      </c>
      <c r="O15" s="37">
        <f>SUMIFS(Variable!O$2:O$9992,Variable!$B$2:$B$9992,$A15)</f>
        <v>0</v>
      </c>
      <c r="P15" s="37">
        <f>SUMIFS(Variable!P$2:P$9992,Variable!$B$2:$B$9992,$A15)</f>
        <v>0</v>
      </c>
      <c r="Q15" s="37">
        <f>SUMIFS(Variable!Q$2:Q$9992,Variable!$B$2:$B$9992,$A15)</f>
        <v>0</v>
      </c>
      <c r="R15" s="37">
        <f>SUMIFS(Variable!R$2:R$9992,Variable!$B$2:$B$9992,$A15)</f>
        <v>0</v>
      </c>
      <c r="S15" s="37">
        <f>SUMIFS(Variable!S$2:S$9992,Variable!$B$2:$B$9992,$A15)</f>
        <v>0</v>
      </c>
      <c r="T15" s="37">
        <f>SUMIFS(Variable!T$2:T$9992,Variable!$B$2:$B$9992,$A15)</f>
        <v>0</v>
      </c>
      <c r="U15" s="37">
        <f>SUMIFS(Variable!U$2:U$9992,Variable!$B$2:$B$9992,$A15)</f>
        <v>0</v>
      </c>
      <c r="V15" s="37">
        <f>SUMIFS(Variable!V$2:V$9992,Variable!$B$2:$B$9992,$A15)</f>
        <v>0</v>
      </c>
      <c r="W15" s="37">
        <f>SUMIFS(Variable!W$2:W$9992,Variable!$B$2:$B$9992,$A15)</f>
        <v>0</v>
      </c>
      <c r="X15" s="37">
        <f>SUMIFS(Variable!X$2:X$9992,Variable!$B$2:$B$9992,$A15)</f>
        <v>0</v>
      </c>
      <c r="Y15" s="37">
        <f>SUMIFS(Variable!Y$2:Y$9992,Variable!$B$2:$B$9992,$A15)</f>
        <v>0</v>
      </c>
      <c r="Z15" s="37">
        <f>SUMIFS(Variable!Z$2:Z$9992,Variable!$B$2:$B$9992,$A15)</f>
        <v>0</v>
      </c>
      <c r="AA15" s="37">
        <f>SUMIFS(Variable!AA$2:AA$9992,Variable!$B$2:$B$9992,$A15)</f>
        <v>0</v>
      </c>
      <c r="AB15" s="37">
        <f>SUMIFS(Variable!AB$2:AB$9992,Variable!$B$2:$B$9992,$A15)</f>
        <v>0</v>
      </c>
      <c r="AC15" s="37">
        <f>SUMIFS(Variable!AC$2:AC$9992,Variable!$B$2:$B$9992,$A15)</f>
        <v>0</v>
      </c>
      <c r="AD15" s="37">
        <f>SUMIFS(Variable!AD$2:AD$9992,Variable!$B$2:$B$9992,$A15)</f>
        <v>0</v>
      </c>
      <c r="AE15" s="37">
        <f>SUMIFS(Variable!AE$2:AE$9992,Variable!$B$2:$B$9992,$A15)</f>
        <v>0</v>
      </c>
      <c r="AF15" s="37">
        <f>SUMIFS(Variable!AF$2:AF$9992,Variable!$B$2:$B$9992,$A15)</f>
        <v>0</v>
      </c>
      <c r="AG15" s="37">
        <f>SUMIFS(Variable!AG$2:AG$9992,Variable!$B$2:$B$9992,$A15)</f>
        <v>0</v>
      </c>
    </row>
    <row r="16" spans="1:58" s="37" customFormat="1">
      <c r="A16" t="s">
        <v>144</v>
      </c>
      <c r="C16" s="37">
        <f>SUMIFS(Variable!C$2:C$9992,Variable!$B$2:$B$9992,$A16)</f>
        <v>0</v>
      </c>
      <c r="D16" s="37">
        <f>SUMIFS(Variable!D$2:D$9992,Variable!$B$2:$B$9992,$A16)</f>
        <v>0</v>
      </c>
      <c r="E16" s="37">
        <f>SUMIFS(Variable!E$2:E$9992,Variable!$B$2:$B$9992,$A16)</f>
        <v>0</v>
      </c>
      <c r="F16" s="37">
        <f>SUMIFS(Variable!F$2:F$9992,Variable!$B$2:$B$9992,$A16)</f>
        <v>0</v>
      </c>
      <c r="G16" s="37">
        <f>SUMIFS(Variable!G$2:G$9992,Variable!$B$2:$B$9992,$A16)</f>
        <v>0</v>
      </c>
      <c r="H16" s="37">
        <f>SUMIFS(Variable!H$2:H$9992,Variable!$B$2:$B$9992,$A16)</f>
        <v>0</v>
      </c>
      <c r="I16" s="37">
        <f>SUMIFS(Variable!I$2:I$9992,Variable!$B$2:$B$9992,$A16)</f>
        <v>0</v>
      </c>
      <c r="J16" s="37">
        <f>SUMIFS(Variable!J$2:J$9992,Variable!$B$2:$B$9992,$A16)</f>
        <v>0</v>
      </c>
      <c r="K16" s="37">
        <f>SUMIFS(Variable!K$2:K$9992,Variable!$B$2:$B$9992,$A16)</f>
        <v>0</v>
      </c>
      <c r="L16" s="37">
        <f>SUMIFS(Variable!L$2:L$9992,Variable!$B$2:$B$9992,$A16)</f>
        <v>0</v>
      </c>
      <c r="M16" s="37">
        <f>SUMIFS(Variable!M$2:M$9992,Variable!$B$2:$B$9992,$A16)</f>
        <v>0</v>
      </c>
      <c r="N16" s="37">
        <f>SUMIFS(Variable!N$2:N$9992,Variable!$B$2:$B$9992,$A16)</f>
        <v>0</v>
      </c>
      <c r="O16" s="37">
        <f>SUMIFS(Variable!O$2:O$9992,Variable!$B$2:$B$9992,$A16)</f>
        <v>0</v>
      </c>
      <c r="P16" s="37">
        <f>SUMIFS(Variable!P$2:P$9992,Variable!$B$2:$B$9992,$A16)</f>
        <v>0</v>
      </c>
      <c r="Q16" s="37">
        <f>SUMIFS(Variable!Q$2:Q$9992,Variable!$B$2:$B$9992,$A16)</f>
        <v>0</v>
      </c>
      <c r="R16" s="37">
        <f>SUMIFS(Variable!R$2:R$9992,Variable!$B$2:$B$9992,$A16)</f>
        <v>0</v>
      </c>
      <c r="S16" s="37">
        <f>SUMIFS(Variable!S$2:S$9992,Variable!$B$2:$B$9992,$A16)</f>
        <v>0</v>
      </c>
      <c r="T16" s="37">
        <f>SUMIFS(Variable!T$2:T$9992,Variable!$B$2:$B$9992,$A16)</f>
        <v>0</v>
      </c>
      <c r="U16" s="37">
        <f>SUMIFS(Variable!U$2:U$9992,Variable!$B$2:$B$9992,$A16)</f>
        <v>0</v>
      </c>
      <c r="V16" s="37">
        <f>SUMIFS(Variable!V$2:V$9992,Variable!$B$2:$B$9992,$A16)</f>
        <v>0</v>
      </c>
      <c r="W16" s="37">
        <f>SUMIFS(Variable!W$2:W$9992,Variable!$B$2:$B$9992,$A16)</f>
        <v>0</v>
      </c>
      <c r="X16" s="37">
        <f>SUMIFS(Variable!X$2:X$9992,Variable!$B$2:$B$9992,$A16)</f>
        <v>0</v>
      </c>
      <c r="Y16" s="37">
        <f>SUMIFS(Variable!Y$2:Y$9992,Variable!$B$2:$B$9992,$A16)</f>
        <v>0</v>
      </c>
      <c r="Z16" s="37">
        <f>SUMIFS(Variable!Z$2:Z$9992,Variable!$B$2:$B$9992,$A16)</f>
        <v>0</v>
      </c>
      <c r="AA16" s="37">
        <f>SUMIFS(Variable!AA$2:AA$9992,Variable!$B$2:$B$9992,$A16)</f>
        <v>0</v>
      </c>
      <c r="AB16" s="37">
        <f>SUMIFS(Variable!AB$2:AB$9992,Variable!$B$2:$B$9992,$A16)</f>
        <v>0</v>
      </c>
      <c r="AC16" s="37">
        <f>SUMIFS(Variable!AC$2:AC$9992,Variable!$B$2:$B$9992,$A16)</f>
        <v>0</v>
      </c>
      <c r="AD16" s="37">
        <f>SUMIFS(Variable!AD$2:AD$9992,Variable!$B$2:$B$9992,$A16)</f>
        <v>0</v>
      </c>
      <c r="AE16" s="37">
        <f>SUMIFS(Variable!AE$2:AE$9992,Variable!$B$2:$B$9992,$A16)</f>
        <v>0</v>
      </c>
      <c r="AF16" s="37">
        <f>SUMIFS(Variable!AF$2:AF$9992,Variable!$B$2:$B$9992,$A16)</f>
        <v>0</v>
      </c>
      <c r="AG16" s="37">
        <f>SUMIFS(Variable!AG$2:AG$9992,Variable!$B$2:$B$9992,$A16)</f>
        <v>0</v>
      </c>
    </row>
    <row r="17" spans="1:33" s="37" customFormat="1">
      <c r="A17" t="s">
        <v>145</v>
      </c>
      <c r="C17" s="37">
        <f>SUMIFS(Variable!C$2:C$9992,Variable!$B$2:$B$9992,$A17)</f>
        <v>2.5999999999999999E-3</v>
      </c>
      <c r="D17" s="37">
        <f>SUMIFS(Variable!D$2:D$9992,Variable!$B$2:$B$9992,$A17)</f>
        <v>3.3E-3</v>
      </c>
      <c r="E17" s="37">
        <f>SUMIFS(Variable!E$2:E$9992,Variable!$B$2:$B$9992,$A17)</f>
        <v>3.5999999999999999E-3</v>
      </c>
      <c r="F17" s="37">
        <f>SUMIFS(Variable!F$2:F$9992,Variable!$B$2:$B$9992,$A17)</f>
        <v>3.7000000000000002E-3</v>
      </c>
      <c r="G17" s="37">
        <f>SUMIFS(Variable!G$2:G$9992,Variable!$B$2:$B$9992,$A17)</f>
        <v>3.8999999999999998E-3</v>
      </c>
      <c r="H17" s="37">
        <f>SUMIFS(Variable!H$2:H$9992,Variable!$B$2:$B$9992,$A17)</f>
        <v>3.8999999999999998E-3</v>
      </c>
      <c r="I17" s="37">
        <f>SUMIFS(Variable!I$2:I$9992,Variable!$B$2:$B$9992,$A17)</f>
        <v>3.8999999999999998E-3</v>
      </c>
      <c r="J17" s="37">
        <f>SUMIFS(Variable!J$2:J$9992,Variable!$B$2:$B$9992,$A17)</f>
        <v>3.8999999999999998E-3</v>
      </c>
      <c r="K17" s="37">
        <f>SUMIFS(Variable!K$2:K$9992,Variable!$B$2:$B$9992,$A17)</f>
        <v>3.8999999999999998E-3</v>
      </c>
      <c r="L17" s="37">
        <f>SUMIFS(Variable!L$2:L$9992,Variable!$B$2:$B$9992,$A17)</f>
        <v>3.8999999999999998E-3</v>
      </c>
      <c r="M17" s="37">
        <f>SUMIFS(Variable!M$2:M$9992,Variable!$B$2:$B$9992,$A17)</f>
        <v>3.8999999999999998E-3</v>
      </c>
      <c r="N17" s="37">
        <f>SUMIFS(Variable!N$2:N$9992,Variable!$B$2:$B$9992,$A17)</f>
        <v>3.8999999999999998E-3</v>
      </c>
      <c r="O17" s="37">
        <f>SUMIFS(Variable!O$2:O$9992,Variable!$B$2:$B$9992,$A17)</f>
        <v>3.8999999999999998E-3</v>
      </c>
      <c r="P17" s="37">
        <f>SUMIFS(Variable!P$2:P$9992,Variable!$B$2:$B$9992,$A17)</f>
        <v>3.8999999999999998E-3</v>
      </c>
      <c r="Q17" s="37">
        <f>SUMIFS(Variable!Q$2:Q$9992,Variable!$B$2:$B$9992,$A17)</f>
        <v>3.8999999999999998E-3</v>
      </c>
      <c r="R17" s="37">
        <f>SUMIFS(Variable!R$2:R$9992,Variable!$B$2:$B$9992,$A17)</f>
        <v>3.8999999999999998E-3</v>
      </c>
      <c r="S17" s="37">
        <f>SUMIFS(Variable!S$2:S$9992,Variable!$B$2:$B$9992,$A17)</f>
        <v>3.8999999999999998E-3</v>
      </c>
      <c r="T17" s="37">
        <f>SUMIFS(Variable!T$2:T$9992,Variable!$B$2:$B$9992,$A17)</f>
        <v>3.8999999999999998E-3</v>
      </c>
      <c r="U17" s="37">
        <f>SUMIFS(Variable!U$2:U$9992,Variable!$B$2:$B$9992,$A17)</f>
        <v>3.8999999999999998E-3</v>
      </c>
      <c r="V17" s="37">
        <f>SUMIFS(Variable!V$2:V$9992,Variable!$B$2:$B$9992,$A17)</f>
        <v>3.8999999999999998E-3</v>
      </c>
      <c r="W17" s="37">
        <f>SUMIFS(Variable!W$2:W$9992,Variable!$B$2:$B$9992,$A17)</f>
        <v>3.8999999999999998E-3</v>
      </c>
      <c r="X17" s="37">
        <f>SUMIFS(Variable!X$2:X$9992,Variable!$B$2:$B$9992,$A17)</f>
        <v>3.8999999999999998E-3</v>
      </c>
      <c r="Y17" s="37">
        <f>SUMIFS(Variable!Y$2:Y$9992,Variable!$B$2:$B$9992,$A17)</f>
        <v>3.8999999999999998E-3</v>
      </c>
      <c r="Z17" s="37">
        <f>SUMIFS(Variable!Z$2:Z$9992,Variable!$B$2:$B$9992,$A17)</f>
        <v>3.8999999999999998E-3</v>
      </c>
      <c r="AA17" s="37">
        <f>SUMIFS(Variable!AA$2:AA$9992,Variable!$B$2:$B$9992,$A17)</f>
        <v>3.8999999999999998E-3</v>
      </c>
      <c r="AB17" s="37">
        <f>SUMIFS(Variable!AB$2:AB$9992,Variable!$B$2:$B$9992,$A17)</f>
        <v>3.8999999999999998E-3</v>
      </c>
      <c r="AC17" s="37">
        <f>SUMIFS(Variable!AC$2:AC$9992,Variable!$B$2:$B$9992,$A17)</f>
        <v>3.8999999999999998E-3</v>
      </c>
      <c r="AD17" s="37">
        <f>SUMIFS(Variable!AD$2:AD$9992,Variable!$B$2:$B$9992,$A17)</f>
        <v>3.8999999999999998E-3</v>
      </c>
      <c r="AE17" s="37">
        <f>SUMIFS(Variable!AE$2:AE$9992,Variable!$B$2:$B$9992,$A17)</f>
        <v>3.8999999999999998E-3</v>
      </c>
      <c r="AF17" s="37">
        <f>SUMIFS(Variable!AF$2:AF$9992,Variable!$B$2:$B$9992,$A17)</f>
        <v>3.8999999999999998E-3</v>
      </c>
      <c r="AG17" s="37">
        <f>SUMIFS(Variable!AG$2:AG$9992,Variable!$B$2:$B$9992,$A17)</f>
        <v>3.8999999999999998E-3</v>
      </c>
    </row>
    <row r="18" spans="1:33" s="37" customFormat="1">
      <c r="A18" t="s">
        <v>146</v>
      </c>
      <c r="C18" s="37">
        <f>SUMIFS(Variable!C$2:C$9992,Variable!$B$2:$B$9992,$A18)</f>
        <v>0</v>
      </c>
      <c r="D18" s="37">
        <f>SUMIFS(Variable!D$2:D$9992,Variable!$B$2:$B$9992,$A18)</f>
        <v>0</v>
      </c>
      <c r="E18" s="37">
        <f>SUMIFS(Variable!E$2:E$9992,Variable!$B$2:$B$9992,$A18)</f>
        <v>0</v>
      </c>
      <c r="F18" s="37">
        <f>SUMIFS(Variable!F$2:F$9992,Variable!$B$2:$B$9992,$A18)</f>
        <v>0</v>
      </c>
      <c r="G18" s="37">
        <f>SUMIFS(Variable!G$2:G$9992,Variable!$B$2:$B$9992,$A18)</f>
        <v>0</v>
      </c>
      <c r="H18" s="37">
        <f>SUMIFS(Variable!H$2:H$9992,Variable!$B$2:$B$9992,$A18)</f>
        <v>5.9999999999999995E-4</v>
      </c>
      <c r="I18" s="37">
        <f>SUMIFS(Variable!I$2:I$9992,Variable!$B$2:$B$9992,$A18)</f>
        <v>5.9999999999999995E-4</v>
      </c>
      <c r="J18" s="37">
        <f>SUMIFS(Variable!J$2:J$9992,Variable!$B$2:$B$9992,$A18)</f>
        <v>5.9999999999999995E-4</v>
      </c>
      <c r="K18" s="37">
        <f>SUMIFS(Variable!K$2:K$9992,Variable!$B$2:$B$9992,$A18)</f>
        <v>5.9999999999999995E-4</v>
      </c>
      <c r="L18" s="37">
        <f>SUMIFS(Variable!L$2:L$9992,Variable!$B$2:$B$9992,$A18)</f>
        <v>6.9999999999999999E-4</v>
      </c>
      <c r="M18" s="37">
        <f>SUMIFS(Variable!M$2:M$9992,Variable!$B$2:$B$9992,$A18)</f>
        <v>8.0000000000000004E-4</v>
      </c>
      <c r="N18" s="37">
        <f>SUMIFS(Variable!N$2:N$9992,Variable!$B$2:$B$9992,$A18)</f>
        <v>8.0000000000000004E-4</v>
      </c>
      <c r="O18" s="37">
        <f>SUMIFS(Variable!O$2:O$9992,Variable!$B$2:$B$9992,$A18)</f>
        <v>4.0000000000000002E-4</v>
      </c>
      <c r="P18" s="37">
        <f>SUMIFS(Variable!P$2:P$9992,Variable!$B$2:$B$9992,$A18)</f>
        <v>4.0000000000000002E-4</v>
      </c>
      <c r="Q18" s="37">
        <f>SUMIFS(Variable!Q$2:Q$9992,Variable!$B$2:$B$9992,$A18)</f>
        <v>4.0000000000000002E-4</v>
      </c>
      <c r="R18" s="37">
        <f>SUMIFS(Variable!R$2:R$9992,Variable!$B$2:$B$9992,$A18)</f>
        <v>4.0000000000000002E-4</v>
      </c>
      <c r="S18" s="37">
        <f>SUMIFS(Variable!S$2:S$9992,Variable!$B$2:$B$9992,$A18)</f>
        <v>2.9999999999999997E-4</v>
      </c>
      <c r="T18" s="37">
        <f>SUMIFS(Variable!T$2:T$9992,Variable!$B$2:$B$9992,$A18)</f>
        <v>2.9999999999999997E-4</v>
      </c>
      <c r="U18" s="37">
        <f>SUMIFS(Variable!U$2:U$9992,Variable!$B$2:$B$9992,$A18)</f>
        <v>2.9999999999999997E-4</v>
      </c>
      <c r="V18" s="37">
        <f>SUMIFS(Variable!V$2:V$9992,Variable!$B$2:$B$9992,$A18)</f>
        <v>8.0000000000000004E-4</v>
      </c>
      <c r="W18" s="37">
        <f>SUMIFS(Variable!W$2:W$9992,Variable!$B$2:$B$9992,$A18)</f>
        <v>1.8E-3</v>
      </c>
      <c r="X18" s="37">
        <f>SUMIFS(Variable!X$2:X$9992,Variable!$B$2:$B$9992,$A18)</f>
        <v>2.2000000000000001E-3</v>
      </c>
      <c r="Y18" s="37">
        <f>SUMIFS(Variable!Y$2:Y$9992,Variable!$B$2:$B$9992,$A18)</f>
        <v>2.3E-3</v>
      </c>
      <c r="Z18" s="37">
        <f>SUMIFS(Variable!Z$2:Z$9992,Variable!$B$2:$B$9992,$A18)</f>
        <v>2.3999999999999998E-3</v>
      </c>
      <c r="AA18" s="37">
        <f>SUMIFS(Variable!AA$2:AA$9992,Variable!$B$2:$B$9992,$A18)</f>
        <v>2.5999999999999999E-3</v>
      </c>
      <c r="AB18" s="37">
        <f>SUMIFS(Variable!AB$2:AB$9992,Variable!$B$2:$B$9992,$A18)</f>
        <v>2.7000000000000001E-3</v>
      </c>
      <c r="AC18" s="37">
        <f>SUMIFS(Variable!AC$2:AC$9992,Variable!$B$2:$B$9992,$A18)</f>
        <v>2.8999999999999998E-3</v>
      </c>
      <c r="AD18" s="37">
        <f>SUMIFS(Variable!AD$2:AD$9992,Variable!$B$2:$B$9992,$A18)</f>
        <v>3.0999999999999999E-3</v>
      </c>
      <c r="AE18" s="37">
        <f>SUMIFS(Variable!AE$2:AE$9992,Variable!$B$2:$B$9992,$A18)</f>
        <v>3.3E-3</v>
      </c>
      <c r="AF18" s="37">
        <f>SUMIFS(Variable!AF$2:AF$9992,Variable!$B$2:$B$9992,$A18)</f>
        <v>4.5999999999999999E-3</v>
      </c>
      <c r="AG18" s="37">
        <f>SUMIFS(Variable!AG$2:AG$9992,Variable!$B$2:$B$9992,$A18)</f>
        <v>6.4999999999999997E-3</v>
      </c>
    </row>
    <row r="19" spans="1:33" s="37" customFormat="1">
      <c r="A19" t="s">
        <v>147</v>
      </c>
      <c r="C19" s="37">
        <f>SUMIFS(Variable!C$2:C$9992,Variable!$B$2:$B$9992,$A19)</f>
        <v>0</v>
      </c>
      <c r="D19" s="37">
        <f>SUMIFS(Variable!D$2:D$9992,Variable!$B$2:$B$9992,$A19)</f>
        <v>0</v>
      </c>
      <c r="E19" s="37">
        <f>SUMIFS(Variable!E$2:E$9992,Variable!$B$2:$B$9992,$A19)</f>
        <v>0</v>
      </c>
      <c r="F19" s="37">
        <f>SUMIFS(Variable!F$2:F$9992,Variable!$B$2:$B$9992,$A19)</f>
        <v>0</v>
      </c>
      <c r="G19" s="37">
        <f>SUMIFS(Variable!G$2:G$9992,Variable!$B$2:$B$9992,$A19)</f>
        <v>0</v>
      </c>
      <c r="H19" s="37">
        <f>SUMIFS(Variable!H$2:H$9992,Variable!$B$2:$B$9992,$A19)</f>
        <v>0</v>
      </c>
      <c r="I19" s="37">
        <f>SUMIFS(Variable!I$2:I$9992,Variable!$B$2:$B$9992,$A19)</f>
        <v>0</v>
      </c>
      <c r="J19" s="37">
        <f>SUMIFS(Variable!J$2:J$9992,Variable!$B$2:$B$9992,$A19)</f>
        <v>0</v>
      </c>
      <c r="K19" s="37">
        <f>SUMIFS(Variable!K$2:K$9992,Variable!$B$2:$B$9992,$A19)</f>
        <v>0</v>
      </c>
      <c r="L19" s="37">
        <f>SUMIFS(Variable!L$2:L$9992,Variable!$B$2:$B$9992,$A19)</f>
        <v>0</v>
      </c>
      <c r="M19" s="37">
        <f>SUMIFS(Variable!M$2:M$9992,Variable!$B$2:$B$9992,$A19)</f>
        <v>0</v>
      </c>
      <c r="N19" s="37">
        <f>SUMIFS(Variable!N$2:N$9992,Variable!$B$2:$B$9992,$A19)</f>
        <v>0</v>
      </c>
      <c r="O19" s="37">
        <f>SUMIFS(Variable!O$2:O$9992,Variable!$B$2:$B$9992,$A19)</f>
        <v>0</v>
      </c>
      <c r="P19" s="37">
        <f>SUMIFS(Variable!P$2:P$9992,Variable!$B$2:$B$9992,$A19)</f>
        <v>0</v>
      </c>
      <c r="Q19" s="37">
        <f>SUMIFS(Variable!Q$2:Q$9992,Variable!$B$2:$B$9992,$A19)</f>
        <v>0</v>
      </c>
      <c r="R19" s="37">
        <f>SUMIFS(Variable!R$2:R$9992,Variable!$B$2:$B$9992,$A19)</f>
        <v>0</v>
      </c>
      <c r="S19" s="37">
        <f>SUMIFS(Variable!S$2:S$9992,Variable!$B$2:$B$9992,$A19)</f>
        <v>0</v>
      </c>
      <c r="T19" s="37">
        <f>SUMIFS(Variable!T$2:T$9992,Variable!$B$2:$B$9992,$A19)</f>
        <v>0</v>
      </c>
      <c r="U19" s="37">
        <f>SUMIFS(Variable!U$2:U$9992,Variable!$B$2:$B$9992,$A19)</f>
        <v>0</v>
      </c>
      <c r="V19" s="37">
        <f>SUMIFS(Variable!V$2:V$9992,Variable!$B$2:$B$9992,$A19)</f>
        <v>0</v>
      </c>
      <c r="W19" s="37">
        <f>SUMIFS(Variable!W$2:W$9992,Variable!$B$2:$B$9992,$A19)</f>
        <v>0</v>
      </c>
      <c r="X19" s="37">
        <f>SUMIFS(Variable!X$2:X$9992,Variable!$B$2:$B$9992,$A19)</f>
        <v>0</v>
      </c>
      <c r="Y19" s="37">
        <f>SUMIFS(Variable!Y$2:Y$9992,Variable!$B$2:$B$9992,$A19)</f>
        <v>0</v>
      </c>
      <c r="Z19" s="37">
        <f>SUMIFS(Variable!Z$2:Z$9992,Variable!$B$2:$B$9992,$A19)</f>
        <v>0</v>
      </c>
      <c r="AA19" s="37">
        <f>SUMIFS(Variable!AA$2:AA$9992,Variable!$B$2:$B$9992,$A19)</f>
        <v>0</v>
      </c>
      <c r="AB19" s="37">
        <f>SUMIFS(Variable!AB$2:AB$9992,Variable!$B$2:$B$9992,$A19)</f>
        <v>0</v>
      </c>
      <c r="AC19" s="37">
        <f>SUMIFS(Variable!AC$2:AC$9992,Variable!$B$2:$B$9992,$A19)</f>
        <v>0</v>
      </c>
      <c r="AD19" s="37">
        <f>SUMIFS(Variable!AD$2:AD$9992,Variable!$B$2:$B$9992,$A19)</f>
        <v>0</v>
      </c>
      <c r="AE19" s="37">
        <f>SUMIFS(Variable!AE$2:AE$9992,Variable!$B$2:$B$9992,$A19)</f>
        <v>0</v>
      </c>
      <c r="AF19" s="37">
        <f>SUMIFS(Variable!AF$2:AF$9992,Variable!$B$2:$B$9992,$A19)</f>
        <v>0</v>
      </c>
      <c r="AG19" s="37">
        <f>SUMIFS(Variable!AG$2:AG$9992,Variable!$B$2:$B$9992,$A19)</f>
        <v>0</v>
      </c>
    </row>
    <row r="20" spans="1:33" s="37" customFormat="1">
      <c r="A20" t="s">
        <v>148</v>
      </c>
      <c r="C20" s="37">
        <f>SUMIFS(Variable!C$2:C$9992,Variable!$B$2:$B$9992,$A20)</f>
        <v>0</v>
      </c>
      <c r="D20" s="37">
        <f>SUMIFS(Variable!D$2:D$9992,Variable!$B$2:$B$9992,$A20)</f>
        <v>0</v>
      </c>
      <c r="E20" s="37">
        <f>SUMIFS(Variable!E$2:E$9992,Variable!$B$2:$B$9992,$A20)</f>
        <v>0</v>
      </c>
      <c r="F20" s="37">
        <f>SUMIFS(Variable!F$2:F$9992,Variable!$B$2:$B$9992,$A20)</f>
        <v>0</v>
      </c>
      <c r="G20" s="37">
        <f>SUMIFS(Variable!G$2:G$9992,Variable!$B$2:$B$9992,$A20)</f>
        <v>0</v>
      </c>
      <c r="H20" s="37">
        <f>SUMIFS(Variable!H$2:H$9992,Variable!$B$2:$B$9992,$A20)</f>
        <v>0</v>
      </c>
      <c r="I20" s="37">
        <f>SUMIFS(Variable!I$2:I$9992,Variable!$B$2:$B$9992,$A20)</f>
        <v>0</v>
      </c>
      <c r="J20" s="37">
        <f>SUMIFS(Variable!J$2:J$9992,Variable!$B$2:$B$9992,$A20)</f>
        <v>0</v>
      </c>
      <c r="K20" s="37">
        <f>SUMIFS(Variable!K$2:K$9992,Variable!$B$2:$B$9992,$A20)</f>
        <v>0</v>
      </c>
      <c r="L20" s="37">
        <f>SUMIFS(Variable!L$2:L$9992,Variable!$B$2:$B$9992,$A20)</f>
        <v>0</v>
      </c>
      <c r="M20" s="37">
        <f>SUMIFS(Variable!M$2:M$9992,Variable!$B$2:$B$9992,$A20)</f>
        <v>0</v>
      </c>
      <c r="N20" s="37">
        <f>SUMIFS(Variable!N$2:N$9992,Variable!$B$2:$B$9992,$A20)</f>
        <v>0</v>
      </c>
      <c r="O20" s="37">
        <f>SUMIFS(Variable!O$2:O$9992,Variable!$B$2:$B$9992,$A20)</f>
        <v>0</v>
      </c>
      <c r="P20" s="37">
        <f>SUMIFS(Variable!P$2:P$9992,Variable!$B$2:$B$9992,$A20)</f>
        <v>0</v>
      </c>
      <c r="Q20" s="37">
        <f>SUMIFS(Variable!Q$2:Q$9992,Variable!$B$2:$B$9992,$A20)</f>
        <v>0</v>
      </c>
      <c r="R20" s="37">
        <f>SUMIFS(Variable!R$2:R$9992,Variable!$B$2:$B$9992,$A20)</f>
        <v>0</v>
      </c>
      <c r="S20" s="37">
        <f>SUMIFS(Variable!S$2:S$9992,Variable!$B$2:$B$9992,$A20)</f>
        <v>0</v>
      </c>
      <c r="T20" s="37">
        <f>SUMIFS(Variable!T$2:T$9992,Variable!$B$2:$B$9992,$A20)</f>
        <v>0</v>
      </c>
      <c r="U20" s="37">
        <f>SUMIFS(Variable!U$2:U$9992,Variable!$B$2:$B$9992,$A20)</f>
        <v>0</v>
      </c>
      <c r="V20" s="37">
        <f>SUMIFS(Variable!V$2:V$9992,Variable!$B$2:$B$9992,$A20)</f>
        <v>0</v>
      </c>
      <c r="W20" s="37">
        <f>SUMIFS(Variable!W$2:W$9992,Variable!$B$2:$B$9992,$A20)</f>
        <v>0</v>
      </c>
      <c r="X20" s="37">
        <f>SUMIFS(Variable!X$2:X$9992,Variable!$B$2:$B$9992,$A20)</f>
        <v>0</v>
      </c>
      <c r="Y20" s="37">
        <f>SUMIFS(Variable!Y$2:Y$9992,Variable!$B$2:$B$9992,$A20)</f>
        <v>0</v>
      </c>
      <c r="Z20" s="37">
        <f>SUMIFS(Variable!Z$2:Z$9992,Variable!$B$2:$B$9992,$A20)</f>
        <v>0</v>
      </c>
      <c r="AA20" s="37">
        <f>SUMIFS(Variable!AA$2:AA$9992,Variable!$B$2:$B$9992,$A20)</f>
        <v>0</v>
      </c>
      <c r="AB20" s="37">
        <f>SUMIFS(Variable!AB$2:AB$9992,Variable!$B$2:$B$9992,$A20)</f>
        <v>0</v>
      </c>
      <c r="AC20" s="37">
        <f>SUMIFS(Variable!AC$2:AC$9992,Variable!$B$2:$B$9992,$A20)</f>
        <v>0</v>
      </c>
      <c r="AD20" s="37">
        <f>SUMIFS(Variable!AD$2:AD$9992,Variable!$B$2:$B$9992,$A20)</f>
        <v>0</v>
      </c>
      <c r="AE20" s="37">
        <f>SUMIFS(Variable!AE$2:AE$9992,Variable!$B$2:$B$9992,$A20)</f>
        <v>0</v>
      </c>
      <c r="AF20" s="37">
        <f>SUMIFS(Variable!AF$2:AF$9992,Variable!$B$2:$B$9992,$A20)</f>
        <v>0</v>
      </c>
      <c r="AG20" s="37">
        <f>SUMIFS(Variable!AG$2:AG$9992,Variable!$B$2:$B$9992,$A20)</f>
        <v>0</v>
      </c>
    </row>
    <row r="21" spans="1:33" s="37" customFormat="1">
      <c r="A21" t="s">
        <v>149</v>
      </c>
      <c r="C21" s="37">
        <f>SUMIFS(Variable!C$2:C$9992,Variable!$B$2:$B$9992,$A21)</f>
        <v>0</v>
      </c>
      <c r="D21" s="37">
        <f>SUMIFS(Variable!D$2:D$9992,Variable!$B$2:$B$9992,$A21)</f>
        <v>0</v>
      </c>
      <c r="E21" s="37">
        <f>SUMIFS(Variable!E$2:E$9992,Variable!$B$2:$B$9992,$A21)</f>
        <v>0</v>
      </c>
      <c r="F21" s="37">
        <f>SUMIFS(Variable!F$2:F$9992,Variable!$B$2:$B$9992,$A21)</f>
        <v>0</v>
      </c>
      <c r="G21" s="37">
        <f>SUMIFS(Variable!G$2:G$9992,Variable!$B$2:$B$9992,$A21)</f>
        <v>0</v>
      </c>
      <c r="H21" s="37">
        <f>SUMIFS(Variable!H$2:H$9992,Variable!$B$2:$B$9992,$A21)</f>
        <v>0</v>
      </c>
      <c r="I21" s="37">
        <f>SUMIFS(Variable!I$2:I$9992,Variable!$B$2:$B$9992,$A21)</f>
        <v>0</v>
      </c>
      <c r="J21" s="37">
        <f>SUMIFS(Variable!J$2:J$9992,Variable!$B$2:$B$9992,$A21)</f>
        <v>0</v>
      </c>
      <c r="K21" s="37">
        <f>SUMIFS(Variable!K$2:K$9992,Variable!$B$2:$B$9992,$A21)</f>
        <v>0</v>
      </c>
      <c r="L21" s="37">
        <f>SUMIFS(Variable!L$2:L$9992,Variable!$B$2:$B$9992,$A21)</f>
        <v>0</v>
      </c>
      <c r="M21" s="37">
        <f>SUMIFS(Variable!M$2:M$9992,Variable!$B$2:$B$9992,$A21)</f>
        <v>0</v>
      </c>
      <c r="N21" s="37">
        <f>SUMIFS(Variable!N$2:N$9992,Variable!$B$2:$B$9992,$A21)</f>
        <v>0</v>
      </c>
      <c r="O21" s="37">
        <f>SUMIFS(Variable!O$2:O$9992,Variable!$B$2:$B$9992,$A21)</f>
        <v>0</v>
      </c>
      <c r="P21" s="37">
        <f>SUMIFS(Variable!P$2:P$9992,Variable!$B$2:$B$9992,$A21)</f>
        <v>0</v>
      </c>
      <c r="Q21" s="37">
        <f>SUMIFS(Variable!Q$2:Q$9992,Variable!$B$2:$B$9992,$A21)</f>
        <v>0</v>
      </c>
      <c r="R21" s="37">
        <f>SUMIFS(Variable!R$2:R$9992,Variable!$B$2:$B$9992,$A21)</f>
        <v>0</v>
      </c>
      <c r="S21" s="37">
        <f>SUMIFS(Variable!S$2:S$9992,Variable!$B$2:$B$9992,$A21)</f>
        <v>0</v>
      </c>
      <c r="T21" s="37">
        <f>SUMIFS(Variable!T$2:T$9992,Variable!$B$2:$B$9992,$A21)</f>
        <v>0</v>
      </c>
      <c r="U21" s="37">
        <f>SUMIFS(Variable!U$2:U$9992,Variable!$B$2:$B$9992,$A21)</f>
        <v>0</v>
      </c>
      <c r="V21" s="37">
        <f>SUMIFS(Variable!V$2:V$9992,Variable!$B$2:$B$9992,$A21)</f>
        <v>0</v>
      </c>
      <c r="W21" s="37">
        <f>SUMIFS(Variable!W$2:W$9992,Variable!$B$2:$B$9992,$A21)</f>
        <v>0</v>
      </c>
      <c r="X21" s="37">
        <f>SUMIFS(Variable!X$2:X$9992,Variable!$B$2:$B$9992,$A21)</f>
        <v>0</v>
      </c>
      <c r="Y21" s="37">
        <f>SUMIFS(Variable!Y$2:Y$9992,Variable!$B$2:$B$9992,$A21)</f>
        <v>0</v>
      </c>
      <c r="Z21" s="37">
        <f>SUMIFS(Variable!Z$2:Z$9992,Variable!$B$2:$B$9992,$A21)</f>
        <v>0</v>
      </c>
      <c r="AA21" s="37">
        <f>SUMIFS(Variable!AA$2:AA$9992,Variable!$B$2:$B$9992,$A21)</f>
        <v>0</v>
      </c>
      <c r="AB21" s="37">
        <f>SUMIFS(Variable!AB$2:AB$9992,Variable!$B$2:$B$9992,$A21)</f>
        <v>0</v>
      </c>
      <c r="AC21" s="37">
        <f>SUMIFS(Variable!AC$2:AC$9992,Variable!$B$2:$B$9992,$A21)</f>
        <v>0</v>
      </c>
      <c r="AD21" s="37">
        <f>SUMIFS(Variable!AD$2:AD$9992,Variable!$B$2:$B$9992,$A21)</f>
        <v>0</v>
      </c>
      <c r="AE21" s="37">
        <f>SUMIFS(Variable!AE$2:AE$9992,Variable!$B$2:$B$9992,$A21)</f>
        <v>0</v>
      </c>
      <c r="AF21" s="37">
        <f>SUMIFS(Variable!AF$2:AF$9992,Variable!$B$2:$B$9992,$A21)</f>
        <v>0</v>
      </c>
      <c r="AG21" s="37">
        <f>SUMIFS(Variable!AG$2:AG$9992,Variable!$B$2:$B$9992,$A21)</f>
        <v>0</v>
      </c>
    </row>
    <row r="22" spans="1:33" s="37" customFormat="1">
      <c r="A22" t="s">
        <v>150</v>
      </c>
      <c r="C22" s="37">
        <f>SUMIFS(Variable!C$2:C$9992,Variable!$B$2:$B$9992,$A22)</f>
        <v>5.0000000000000001E-4</v>
      </c>
      <c r="D22" s="37">
        <f>SUMIFS(Variable!D$2:D$9992,Variable!$B$2:$B$9992,$A22)</f>
        <v>5.0000000000000001E-4</v>
      </c>
      <c r="E22" s="37">
        <f>SUMIFS(Variable!E$2:E$9992,Variable!$B$2:$B$9992,$A22)</f>
        <v>6.9999999999999999E-4</v>
      </c>
      <c r="F22" s="37">
        <f>SUMIFS(Variable!F$2:F$9992,Variable!$B$2:$B$9992,$A22)</f>
        <v>8.9999999999999998E-4</v>
      </c>
      <c r="G22" s="37">
        <f>SUMIFS(Variable!G$2:G$9992,Variable!$B$2:$B$9992,$A22)</f>
        <v>1.4E-3</v>
      </c>
      <c r="H22" s="37">
        <f>SUMIFS(Variable!H$2:H$9992,Variable!$B$2:$B$9992,$A22)</f>
        <v>1.6999999999999999E-3</v>
      </c>
      <c r="I22" s="37">
        <f>SUMIFS(Variable!I$2:I$9992,Variable!$B$2:$B$9992,$A22)</f>
        <v>1.6999999999999999E-3</v>
      </c>
      <c r="J22" s="37">
        <f>SUMIFS(Variable!J$2:J$9992,Variable!$B$2:$B$9992,$A22)</f>
        <v>1.6999999999999999E-3</v>
      </c>
      <c r="K22" s="37">
        <f>SUMIFS(Variable!K$2:K$9992,Variable!$B$2:$B$9992,$A22)</f>
        <v>1.6999999999999999E-3</v>
      </c>
      <c r="L22" s="37">
        <f>SUMIFS(Variable!L$2:L$9992,Variable!$B$2:$B$9992,$A22)</f>
        <v>1.6999999999999999E-3</v>
      </c>
      <c r="M22" s="37">
        <f>SUMIFS(Variable!M$2:M$9992,Variable!$B$2:$B$9992,$A22)</f>
        <v>7.1000000000000004E-3</v>
      </c>
      <c r="N22" s="37">
        <f>SUMIFS(Variable!N$2:N$9992,Variable!$B$2:$B$9992,$A22)</f>
        <v>7.1000000000000004E-3</v>
      </c>
      <c r="O22" s="37">
        <f>SUMIFS(Variable!O$2:O$9992,Variable!$B$2:$B$9992,$A22)</f>
        <v>7.1000000000000004E-3</v>
      </c>
      <c r="P22" s="37">
        <f>SUMIFS(Variable!P$2:P$9992,Variable!$B$2:$B$9992,$A22)</f>
        <v>7.1000000000000004E-3</v>
      </c>
      <c r="Q22" s="37">
        <f>SUMIFS(Variable!Q$2:Q$9992,Variable!$B$2:$B$9992,$A22)</f>
        <v>7.1999999999999998E-3</v>
      </c>
      <c r="R22" s="37">
        <f>SUMIFS(Variable!R$2:R$9992,Variable!$B$2:$B$9992,$A22)</f>
        <v>7.1999999999999998E-3</v>
      </c>
      <c r="S22" s="37">
        <f>SUMIFS(Variable!S$2:S$9992,Variable!$B$2:$B$9992,$A22)</f>
        <v>7.1999999999999998E-3</v>
      </c>
      <c r="T22" s="37">
        <f>SUMIFS(Variable!T$2:T$9992,Variable!$B$2:$B$9992,$A22)</f>
        <v>7.1999999999999998E-3</v>
      </c>
      <c r="U22" s="37">
        <f>SUMIFS(Variable!U$2:U$9992,Variable!$B$2:$B$9992,$A22)</f>
        <v>7.1999999999999998E-3</v>
      </c>
      <c r="V22" s="37">
        <f>SUMIFS(Variable!V$2:V$9992,Variable!$B$2:$B$9992,$A22)</f>
        <v>7.1999999999999998E-3</v>
      </c>
      <c r="W22" s="37">
        <f>SUMIFS(Variable!W$2:W$9992,Variable!$B$2:$B$9992,$A22)</f>
        <v>1.7399999999999999E-2</v>
      </c>
      <c r="X22" s="37">
        <f>SUMIFS(Variable!X$2:X$9992,Variable!$B$2:$B$9992,$A22)</f>
        <v>1.83E-2</v>
      </c>
      <c r="Y22" s="37">
        <f>SUMIFS(Variable!Y$2:Y$9992,Variable!$B$2:$B$9992,$A22)</f>
        <v>1.9199999999999998E-2</v>
      </c>
      <c r="Z22" s="37">
        <f>SUMIFS(Variable!Z$2:Z$9992,Variable!$B$2:$B$9992,$A22)</f>
        <v>2.0199999999999999E-2</v>
      </c>
      <c r="AA22" s="37">
        <f>SUMIFS(Variable!AA$2:AA$9992,Variable!$B$2:$B$9992,$A22)</f>
        <v>2.12E-2</v>
      </c>
      <c r="AB22" s="37">
        <f>SUMIFS(Variable!AB$2:AB$9992,Variable!$B$2:$B$9992,$A22)</f>
        <v>2.2200000000000001E-2</v>
      </c>
      <c r="AC22" s="37">
        <f>SUMIFS(Variable!AC$2:AC$9992,Variable!$B$2:$B$9992,$A22)</f>
        <v>2.3199999999999998E-2</v>
      </c>
      <c r="AD22" s="37">
        <f>SUMIFS(Variable!AD$2:AD$9992,Variable!$B$2:$B$9992,$A22)</f>
        <v>2.4199999999999999E-2</v>
      </c>
      <c r="AE22" s="37">
        <f>SUMIFS(Variable!AE$2:AE$9992,Variable!$B$2:$B$9992,$A22)</f>
        <v>2.5999999999999999E-2</v>
      </c>
      <c r="AF22" s="37">
        <f>SUMIFS(Variable!AF$2:AF$9992,Variable!$B$2:$B$9992,$A22)</f>
        <v>2.63E-2</v>
      </c>
      <c r="AG22" s="37">
        <f>SUMIFS(Variable!AG$2:AG$9992,Variable!$B$2:$B$9992,$A22)</f>
        <v>3.1199999999999999E-2</v>
      </c>
    </row>
    <row r="23" spans="1:33" s="37" customFormat="1">
      <c r="A23" t="s">
        <v>151</v>
      </c>
      <c r="C23" s="37">
        <f>SUMIFS(Variable!C$2:C$9992,Variable!$B$2:$B$9992,$A23)</f>
        <v>0</v>
      </c>
      <c r="D23" s="37">
        <f>SUMIFS(Variable!D$2:D$9992,Variable!$B$2:$B$9992,$A23)</f>
        <v>0</v>
      </c>
      <c r="E23" s="37">
        <f>SUMIFS(Variable!E$2:E$9992,Variable!$B$2:$B$9992,$A23)</f>
        <v>0</v>
      </c>
      <c r="F23" s="37">
        <f>SUMIFS(Variable!F$2:F$9992,Variable!$B$2:$B$9992,$A23)</f>
        <v>0</v>
      </c>
      <c r="G23" s="37">
        <f>SUMIFS(Variable!G$2:G$9992,Variable!$B$2:$B$9992,$A23)</f>
        <v>0</v>
      </c>
      <c r="H23" s="37">
        <f>SUMIFS(Variable!H$2:H$9992,Variable!$B$2:$B$9992,$A23)</f>
        <v>0</v>
      </c>
      <c r="I23" s="37">
        <f>SUMIFS(Variable!I$2:I$9992,Variable!$B$2:$B$9992,$A23)</f>
        <v>0</v>
      </c>
      <c r="J23" s="37">
        <f>SUMIFS(Variable!J$2:J$9992,Variable!$B$2:$B$9992,$A23)</f>
        <v>0</v>
      </c>
      <c r="K23" s="37">
        <f>SUMIFS(Variable!K$2:K$9992,Variable!$B$2:$B$9992,$A23)</f>
        <v>0</v>
      </c>
      <c r="L23" s="37">
        <f>SUMIFS(Variable!L$2:L$9992,Variable!$B$2:$B$9992,$A23)</f>
        <v>0</v>
      </c>
      <c r="M23" s="37">
        <f>SUMIFS(Variable!M$2:M$9992,Variable!$B$2:$B$9992,$A23)</f>
        <v>0</v>
      </c>
      <c r="N23" s="37">
        <f>SUMIFS(Variable!N$2:N$9992,Variable!$B$2:$B$9992,$A23)</f>
        <v>0</v>
      </c>
      <c r="O23" s="37">
        <f>SUMIFS(Variable!O$2:O$9992,Variable!$B$2:$B$9992,$A23)</f>
        <v>0</v>
      </c>
      <c r="P23" s="37">
        <f>SUMIFS(Variable!P$2:P$9992,Variable!$B$2:$B$9992,$A23)</f>
        <v>0</v>
      </c>
      <c r="Q23" s="37">
        <f>SUMIFS(Variable!Q$2:Q$9992,Variable!$B$2:$B$9992,$A23)</f>
        <v>0</v>
      </c>
      <c r="R23" s="37">
        <f>SUMIFS(Variable!R$2:R$9992,Variable!$B$2:$B$9992,$A23)</f>
        <v>0</v>
      </c>
      <c r="S23" s="37">
        <f>SUMIFS(Variable!S$2:S$9992,Variable!$B$2:$B$9992,$A23)</f>
        <v>0</v>
      </c>
      <c r="T23" s="37">
        <f>SUMIFS(Variable!T$2:T$9992,Variable!$B$2:$B$9992,$A23)</f>
        <v>0</v>
      </c>
      <c r="U23" s="37">
        <f>SUMIFS(Variable!U$2:U$9992,Variable!$B$2:$B$9992,$A23)</f>
        <v>0</v>
      </c>
      <c r="V23" s="37">
        <f>SUMIFS(Variable!V$2:V$9992,Variable!$B$2:$B$9992,$A23)</f>
        <v>0</v>
      </c>
      <c r="W23" s="37">
        <f>SUMIFS(Variable!W$2:W$9992,Variable!$B$2:$B$9992,$A23)</f>
        <v>0</v>
      </c>
      <c r="X23" s="37">
        <f>SUMIFS(Variable!X$2:X$9992,Variable!$B$2:$B$9992,$A23)</f>
        <v>0</v>
      </c>
      <c r="Y23" s="37">
        <f>SUMIFS(Variable!Y$2:Y$9992,Variable!$B$2:$B$9992,$A23)</f>
        <v>0</v>
      </c>
      <c r="Z23" s="37">
        <f>SUMIFS(Variable!Z$2:Z$9992,Variable!$B$2:$B$9992,$A23)</f>
        <v>0</v>
      </c>
      <c r="AA23" s="37">
        <f>SUMIFS(Variable!AA$2:AA$9992,Variable!$B$2:$B$9992,$A23)</f>
        <v>0</v>
      </c>
      <c r="AB23" s="37">
        <f>SUMIFS(Variable!AB$2:AB$9992,Variable!$B$2:$B$9992,$A23)</f>
        <v>0</v>
      </c>
      <c r="AC23" s="37">
        <f>SUMIFS(Variable!AC$2:AC$9992,Variable!$B$2:$B$9992,$A23)</f>
        <v>0</v>
      </c>
      <c r="AD23" s="37">
        <f>SUMIFS(Variable!AD$2:AD$9992,Variable!$B$2:$B$9992,$A23)</f>
        <v>0</v>
      </c>
      <c r="AE23" s="37">
        <f>SUMIFS(Variable!AE$2:AE$9992,Variable!$B$2:$B$9992,$A23)</f>
        <v>0</v>
      </c>
      <c r="AF23" s="37">
        <f>SUMIFS(Variable!AF$2:AF$9992,Variable!$B$2:$B$9992,$A23)</f>
        <v>0</v>
      </c>
      <c r="AG23" s="37">
        <f>SUMIFS(Variable!AG$2:AG$9992,Variable!$B$2:$B$9992,$A23)</f>
        <v>0</v>
      </c>
    </row>
    <row r="24" spans="1:33" s="37" customFormat="1">
      <c r="A24" t="s">
        <v>152</v>
      </c>
      <c r="C24" s="37">
        <f>SUMIFS(Variable!C$2:C$9992,Variable!$B$2:$B$9992,$A24)</f>
        <v>4.0000000000000002E-4</v>
      </c>
      <c r="D24" s="37">
        <f>SUMIFS(Variable!D$2:D$9992,Variable!$B$2:$B$9992,$A24)</f>
        <v>5.0000000000000001E-4</v>
      </c>
      <c r="E24" s="37">
        <f>SUMIFS(Variable!E$2:E$9992,Variable!$B$2:$B$9992,$A24)</f>
        <v>4.0000000000000002E-4</v>
      </c>
      <c r="F24" s="37">
        <f>SUMIFS(Variable!F$2:F$9992,Variable!$B$2:$B$9992,$A24)</f>
        <v>5.0000000000000001E-4</v>
      </c>
      <c r="G24" s="37">
        <f>SUMIFS(Variable!G$2:G$9992,Variable!$B$2:$B$9992,$A24)</f>
        <v>4.0000000000000002E-4</v>
      </c>
      <c r="H24" s="37">
        <f>SUMIFS(Variable!H$2:H$9992,Variable!$B$2:$B$9992,$A24)</f>
        <v>5.0000000000000001E-4</v>
      </c>
      <c r="I24" s="37">
        <f>SUMIFS(Variable!I$2:I$9992,Variable!$B$2:$B$9992,$A24)</f>
        <v>5.0000000000000001E-4</v>
      </c>
      <c r="J24" s="37">
        <f>SUMIFS(Variable!J$2:J$9992,Variable!$B$2:$B$9992,$A24)</f>
        <v>5.0000000000000001E-4</v>
      </c>
      <c r="K24" s="37">
        <f>SUMIFS(Variable!K$2:K$9992,Variable!$B$2:$B$9992,$A24)</f>
        <v>5.0000000000000001E-4</v>
      </c>
      <c r="L24" s="37">
        <f>SUMIFS(Variable!L$2:L$9992,Variable!$B$2:$B$9992,$A24)</f>
        <v>5.0000000000000001E-4</v>
      </c>
      <c r="M24" s="37">
        <f>SUMIFS(Variable!M$2:M$9992,Variable!$B$2:$B$9992,$A24)</f>
        <v>5.0000000000000001E-4</v>
      </c>
      <c r="N24" s="37">
        <f>SUMIFS(Variable!N$2:N$9992,Variable!$B$2:$B$9992,$A24)</f>
        <v>5.0000000000000001E-4</v>
      </c>
      <c r="O24" s="37">
        <f>SUMIFS(Variable!O$2:O$9992,Variable!$B$2:$B$9992,$A24)</f>
        <v>5.0000000000000001E-4</v>
      </c>
      <c r="P24" s="37">
        <f>SUMIFS(Variable!P$2:P$9992,Variable!$B$2:$B$9992,$A24)</f>
        <v>5.0000000000000001E-4</v>
      </c>
      <c r="Q24" s="37">
        <f>SUMIFS(Variable!Q$2:Q$9992,Variable!$B$2:$B$9992,$A24)</f>
        <v>5.0000000000000001E-4</v>
      </c>
      <c r="R24" s="37">
        <f>SUMIFS(Variable!R$2:R$9992,Variable!$B$2:$B$9992,$A24)</f>
        <v>5.0000000000000001E-4</v>
      </c>
      <c r="S24" s="37">
        <f>SUMIFS(Variable!S$2:S$9992,Variable!$B$2:$B$9992,$A24)</f>
        <v>5.0000000000000001E-4</v>
      </c>
      <c r="T24" s="37">
        <f>SUMIFS(Variable!T$2:T$9992,Variable!$B$2:$B$9992,$A24)</f>
        <v>5.0000000000000001E-4</v>
      </c>
      <c r="U24" s="37">
        <f>SUMIFS(Variable!U$2:U$9992,Variable!$B$2:$B$9992,$A24)</f>
        <v>5.0000000000000001E-4</v>
      </c>
      <c r="V24" s="37">
        <f>SUMIFS(Variable!V$2:V$9992,Variable!$B$2:$B$9992,$A24)</f>
        <v>2.9999999999999997E-4</v>
      </c>
      <c r="W24" s="37">
        <f>SUMIFS(Variable!W$2:W$9992,Variable!$B$2:$B$9992,$A24)</f>
        <v>2.0000000000000001E-4</v>
      </c>
      <c r="X24" s="37">
        <f>SUMIFS(Variable!X$2:X$9992,Variable!$B$2:$B$9992,$A24)</f>
        <v>2.0000000000000001E-4</v>
      </c>
      <c r="Y24" s="37">
        <f>SUMIFS(Variable!Y$2:Y$9992,Variable!$B$2:$B$9992,$A24)</f>
        <v>2.0000000000000001E-4</v>
      </c>
      <c r="Z24" s="37">
        <f>SUMIFS(Variable!Z$2:Z$9992,Variable!$B$2:$B$9992,$A24)</f>
        <v>2.0000000000000001E-4</v>
      </c>
      <c r="AA24" s="37">
        <f>SUMIFS(Variable!AA$2:AA$9992,Variable!$B$2:$B$9992,$A24)</f>
        <v>2.0000000000000001E-4</v>
      </c>
      <c r="AB24" s="37">
        <f>SUMIFS(Variable!AB$2:AB$9992,Variable!$B$2:$B$9992,$A24)</f>
        <v>1E-4</v>
      </c>
      <c r="AC24" s="37">
        <f>SUMIFS(Variable!AC$2:AC$9992,Variable!$B$2:$B$9992,$A24)</f>
        <v>0</v>
      </c>
      <c r="AD24" s="37">
        <f>SUMIFS(Variable!AD$2:AD$9992,Variable!$B$2:$B$9992,$A24)</f>
        <v>0</v>
      </c>
      <c r="AE24" s="37">
        <f>SUMIFS(Variable!AE$2:AE$9992,Variable!$B$2:$B$9992,$A24)</f>
        <v>0</v>
      </c>
      <c r="AF24" s="37">
        <f>SUMIFS(Variable!AF$2:AF$9992,Variable!$B$2:$B$9992,$A24)</f>
        <v>0</v>
      </c>
      <c r="AG24" s="37">
        <f>SUMIFS(Variable!AG$2:AG$9992,Variable!$B$2:$B$9992,$A24)</f>
        <v>0</v>
      </c>
    </row>
    <row r="25" spans="1:33" s="37" customFormat="1">
      <c r="A25" t="s">
        <v>135</v>
      </c>
      <c r="C25" s="37">
        <f>SUMIFS(Variable!C$2:C$9992,Variable!$B$2:$B$9992,$A25)</f>
        <v>8.9999999999999998E-4</v>
      </c>
      <c r="D25" s="37">
        <f>SUMIFS(Variable!D$2:D$9992,Variable!$B$2:$B$9992,$A25)</f>
        <v>5.9999999999999995E-4</v>
      </c>
      <c r="E25" s="37">
        <f>SUMIFS(Variable!E$2:E$9992,Variable!$B$2:$B$9992,$A25)</f>
        <v>8.9999999999999998E-4</v>
      </c>
      <c r="F25" s="37">
        <f>SUMIFS(Variable!F$2:F$9992,Variable!$B$2:$B$9992,$A25)</f>
        <v>5.0000000000000001E-4</v>
      </c>
      <c r="G25" s="37">
        <f>SUMIFS(Variable!G$2:G$9992,Variable!$B$2:$B$9992,$A25)</f>
        <v>5.0000000000000001E-4</v>
      </c>
      <c r="H25" s="37">
        <f>SUMIFS(Variable!H$2:H$9992,Variable!$B$2:$B$9992,$A25)</f>
        <v>0</v>
      </c>
      <c r="I25" s="37">
        <f>SUMIFS(Variable!I$2:I$9992,Variable!$B$2:$B$9992,$A25)</f>
        <v>0</v>
      </c>
      <c r="J25" s="37">
        <f>SUMIFS(Variable!J$2:J$9992,Variable!$B$2:$B$9992,$A25)</f>
        <v>0</v>
      </c>
      <c r="K25" s="37">
        <f>SUMIFS(Variable!K$2:K$9992,Variable!$B$2:$B$9992,$A25)</f>
        <v>0</v>
      </c>
      <c r="L25" s="37">
        <f>SUMIFS(Variable!L$2:L$9992,Variable!$B$2:$B$9992,$A25)</f>
        <v>0</v>
      </c>
      <c r="M25" s="37">
        <f>SUMIFS(Variable!M$2:M$9992,Variable!$B$2:$B$9992,$A25)</f>
        <v>0</v>
      </c>
      <c r="N25" s="37">
        <f>SUMIFS(Variable!N$2:N$9992,Variable!$B$2:$B$9992,$A25)</f>
        <v>0</v>
      </c>
      <c r="O25" s="37">
        <f>SUMIFS(Variable!O$2:O$9992,Variable!$B$2:$B$9992,$A25)</f>
        <v>0</v>
      </c>
      <c r="P25" s="37">
        <f>SUMIFS(Variable!P$2:P$9992,Variable!$B$2:$B$9992,$A25)</f>
        <v>0</v>
      </c>
      <c r="Q25" s="37">
        <f>SUMIFS(Variable!Q$2:Q$9992,Variable!$B$2:$B$9992,$A25)</f>
        <v>0</v>
      </c>
      <c r="R25" s="37">
        <f>SUMIFS(Variable!R$2:R$9992,Variable!$B$2:$B$9992,$A25)</f>
        <v>0</v>
      </c>
      <c r="S25" s="37">
        <f>SUMIFS(Variable!S$2:S$9992,Variable!$B$2:$B$9992,$A25)</f>
        <v>0</v>
      </c>
      <c r="T25" s="37">
        <f>SUMIFS(Variable!T$2:T$9992,Variable!$B$2:$B$9992,$A25)</f>
        <v>0</v>
      </c>
      <c r="U25" s="37">
        <f>SUMIFS(Variable!U$2:U$9992,Variable!$B$2:$B$9992,$A25)</f>
        <v>0</v>
      </c>
      <c r="V25" s="37">
        <f>SUMIFS(Variable!V$2:V$9992,Variable!$B$2:$B$9992,$A25)</f>
        <v>0</v>
      </c>
      <c r="W25" s="37">
        <f>SUMIFS(Variable!W$2:W$9992,Variable!$B$2:$B$9992,$A25)</f>
        <v>0</v>
      </c>
      <c r="X25" s="37">
        <f>SUMIFS(Variable!X$2:X$9992,Variable!$B$2:$B$9992,$A25)</f>
        <v>0</v>
      </c>
      <c r="Y25" s="37">
        <f>SUMIFS(Variable!Y$2:Y$9992,Variable!$B$2:$B$9992,$A25)</f>
        <v>0</v>
      </c>
      <c r="Z25" s="37">
        <f>SUMIFS(Variable!Z$2:Z$9992,Variable!$B$2:$B$9992,$A25)</f>
        <v>0</v>
      </c>
      <c r="AA25" s="37">
        <f>SUMIFS(Variable!AA$2:AA$9992,Variable!$B$2:$B$9992,$A25)</f>
        <v>0</v>
      </c>
      <c r="AB25" s="37">
        <f>SUMIFS(Variable!AB$2:AB$9992,Variable!$B$2:$B$9992,$A25)</f>
        <v>0</v>
      </c>
      <c r="AC25" s="37">
        <f>SUMIFS(Variable!AC$2:AC$9992,Variable!$B$2:$B$9992,$A25)</f>
        <v>0</v>
      </c>
      <c r="AD25" s="37">
        <f>SUMIFS(Variable!AD$2:AD$9992,Variable!$B$2:$B$9992,$A25)</f>
        <v>0</v>
      </c>
      <c r="AE25" s="37">
        <f>SUMIFS(Variable!AE$2:AE$9992,Variable!$B$2:$B$9992,$A25)</f>
        <v>0</v>
      </c>
      <c r="AF25" s="37">
        <f>SUMIFS(Variable!AF$2:AF$9992,Variable!$B$2:$B$9992,$A25)</f>
        <v>0</v>
      </c>
      <c r="AG25" s="37">
        <f>SUMIFS(Variable!AG$2:AG$9992,Variable!$B$2:$B$9992,$A25)</f>
        <v>0</v>
      </c>
    </row>
    <row r="26" spans="1:33" s="37" customFormat="1">
      <c r="A26" t="s">
        <v>134</v>
      </c>
      <c r="C26" s="37">
        <f>SUMIFS(Variable!C$2:C$9992,Variable!$B$2:$B$9992,$A26)</f>
        <v>7.0000000000000001E-3</v>
      </c>
      <c r="D26" s="37">
        <f>SUMIFS(Variable!D$2:D$9992,Variable!$B$2:$B$9992,$A26)</f>
        <v>6.8999999999999999E-3</v>
      </c>
      <c r="E26" s="37">
        <f>SUMIFS(Variable!E$2:E$9992,Variable!$B$2:$B$9992,$A26)</f>
        <v>6.4000000000000003E-3</v>
      </c>
      <c r="F26" s="37">
        <f>SUMIFS(Variable!F$2:F$9992,Variable!$B$2:$B$9992,$A26)</f>
        <v>6.0000000000000001E-3</v>
      </c>
      <c r="G26" s="37">
        <f>SUMIFS(Variable!G$2:G$9992,Variable!$B$2:$B$9992,$A26)</f>
        <v>6.4999999999999997E-3</v>
      </c>
      <c r="H26" s="37">
        <f>SUMIFS(Variable!H$2:H$9992,Variable!$B$2:$B$9992,$A26)</f>
        <v>1E-4</v>
      </c>
      <c r="I26" s="37">
        <f>SUMIFS(Variable!I$2:I$9992,Variable!$B$2:$B$9992,$A26)</f>
        <v>1E-4</v>
      </c>
      <c r="J26" s="37">
        <f>SUMIFS(Variable!J$2:J$9992,Variable!$B$2:$B$9992,$A26)</f>
        <v>2.0000000000000001E-4</v>
      </c>
      <c r="K26" s="37">
        <f>SUMIFS(Variable!K$2:K$9992,Variable!$B$2:$B$9992,$A26)</f>
        <v>2.0000000000000001E-4</v>
      </c>
      <c r="L26" s="37">
        <f>SUMIFS(Variable!L$2:L$9992,Variable!$B$2:$B$9992,$A26)</f>
        <v>6.9999999999999999E-4</v>
      </c>
      <c r="M26" s="37">
        <f>SUMIFS(Variable!M$2:M$9992,Variable!$B$2:$B$9992,$A26)</f>
        <v>1.1999999999999999E-3</v>
      </c>
      <c r="N26" s="37">
        <f>SUMIFS(Variable!N$2:N$9992,Variable!$B$2:$B$9992,$A26)</f>
        <v>1.2999999999999999E-3</v>
      </c>
      <c r="O26" s="37">
        <f>SUMIFS(Variable!O$2:O$9992,Variable!$B$2:$B$9992,$A26)</f>
        <v>1E-4</v>
      </c>
      <c r="P26" s="37">
        <f>SUMIFS(Variable!P$2:P$9992,Variable!$B$2:$B$9992,$A26)</f>
        <v>1E-4</v>
      </c>
      <c r="Q26" s="37">
        <f>SUMIFS(Variable!Q$2:Q$9992,Variable!$B$2:$B$9992,$A26)</f>
        <v>1E-4</v>
      </c>
      <c r="R26" s="37">
        <f>SUMIFS(Variable!R$2:R$9992,Variable!$B$2:$B$9992,$A26)</f>
        <v>1E-4</v>
      </c>
      <c r="S26" s="37">
        <f>SUMIFS(Variable!S$2:S$9992,Variable!$B$2:$B$9992,$A26)</f>
        <v>1E-4</v>
      </c>
      <c r="T26" s="37">
        <f>SUMIFS(Variable!T$2:T$9992,Variable!$B$2:$B$9992,$A26)</f>
        <v>1E-4</v>
      </c>
      <c r="U26" s="37">
        <f>SUMIFS(Variable!U$2:U$9992,Variable!$B$2:$B$9992,$A26)</f>
        <v>1E-4</v>
      </c>
      <c r="V26" s="37">
        <f>SUMIFS(Variable!V$2:V$9992,Variable!$B$2:$B$9992,$A26)</f>
        <v>1E-4</v>
      </c>
      <c r="W26" s="37">
        <f>SUMIFS(Variable!W$2:W$9992,Variable!$B$2:$B$9992,$A26)</f>
        <v>1E-4</v>
      </c>
      <c r="X26" s="37">
        <f>SUMIFS(Variable!X$2:X$9992,Variable!$B$2:$B$9992,$A26)</f>
        <v>1E-4</v>
      </c>
      <c r="Y26" s="37">
        <f>SUMIFS(Variable!Y$2:Y$9992,Variable!$B$2:$B$9992,$A26)</f>
        <v>1E-4</v>
      </c>
      <c r="Z26" s="37">
        <f>SUMIFS(Variable!Z$2:Z$9992,Variable!$B$2:$B$9992,$A26)</f>
        <v>1E-4</v>
      </c>
      <c r="AA26" s="37">
        <f>SUMIFS(Variable!AA$2:AA$9992,Variable!$B$2:$B$9992,$A26)</f>
        <v>1E-4</v>
      </c>
      <c r="AB26" s="37">
        <f>SUMIFS(Variable!AB$2:AB$9992,Variable!$B$2:$B$9992,$A26)</f>
        <v>1E-4</v>
      </c>
      <c r="AC26" s="37">
        <f>SUMIFS(Variable!AC$2:AC$9992,Variable!$B$2:$B$9992,$A26)</f>
        <v>0</v>
      </c>
      <c r="AD26" s="37">
        <f>SUMIFS(Variable!AD$2:AD$9992,Variable!$B$2:$B$9992,$A26)</f>
        <v>0</v>
      </c>
      <c r="AE26" s="37">
        <f>SUMIFS(Variable!AE$2:AE$9992,Variable!$B$2:$B$9992,$A26)</f>
        <v>0</v>
      </c>
      <c r="AF26" s="37">
        <f>SUMIFS(Variable!AF$2:AF$9992,Variable!$B$2:$B$9992,$A26)</f>
        <v>0</v>
      </c>
      <c r="AG26" s="37">
        <f>SUMIFS(Variable!AG$2:AG$9992,Variable!$B$2:$B$9992,$A26)</f>
        <v>0</v>
      </c>
    </row>
    <row r="27" spans="1:33">
      <c r="A27" t="s">
        <v>154</v>
      </c>
      <c r="C27" s="37">
        <f>SUMIFS(Variable!C$2:C$9992,Variable!$B$2:$B$9992,$A27)</f>
        <v>0.03</v>
      </c>
      <c r="D27" s="37">
        <f>SUMIFS(Variable!D$2:D$9992,Variable!$B$2:$B$9992,$A27)</f>
        <v>0.03</v>
      </c>
      <c r="E27" s="37">
        <f>SUMIFS(Variable!E$2:E$9992,Variable!$B$2:$B$9992,$A27)</f>
        <v>3.15E-2</v>
      </c>
      <c r="F27" s="37">
        <f>SUMIFS(Variable!F$2:F$9992,Variable!$B$2:$B$9992,$A27)</f>
        <v>3.3000000000000002E-2</v>
      </c>
      <c r="G27" s="37">
        <f>SUMIFS(Variable!G$2:G$9992,Variable!$B$2:$B$9992,$A27)</f>
        <v>3.4500000000000003E-2</v>
      </c>
      <c r="H27" s="37">
        <f>SUMIFS(Variable!H$2:H$9992,Variable!$B$2:$B$9992,$A27)</f>
        <v>3.5700000000000003E-2</v>
      </c>
      <c r="I27" s="37">
        <f>SUMIFS(Variable!I$2:I$9992,Variable!$B$2:$B$9992,$A27)</f>
        <v>3.7499999999999999E-2</v>
      </c>
      <c r="J27" s="37">
        <f>SUMIFS(Variable!J$2:J$9992,Variable!$B$2:$B$9992,$A27)</f>
        <v>3.9399999999999998E-2</v>
      </c>
      <c r="K27" s="37">
        <f>SUMIFS(Variable!K$2:K$9992,Variable!$B$2:$B$9992,$A27)</f>
        <v>4.1300000000000003E-2</v>
      </c>
      <c r="L27" s="37">
        <f>SUMIFS(Variable!L$2:L$9992,Variable!$B$2:$B$9992,$A27)</f>
        <v>4.3099999999999999E-2</v>
      </c>
      <c r="M27" s="37">
        <f>SUMIFS(Variable!M$2:M$9992,Variable!$B$2:$B$9992,$A27)</f>
        <v>4.4999999999999998E-2</v>
      </c>
      <c r="N27" s="37">
        <f>SUMIFS(Variable!N$2:N$9992,Variable!$B$2:$B$9992,$A27)</f>
        <v>4.7199999999999999E-2</v>
      </c>
      <c r="O27" s="37">
        <f>SUMIFS(Variable!O$2:O$9992,Variable!$B$2:$B$9992,$A27)</f>
        <v>4.9500000000000002E-2</v>
      </c>
      <c r="P27" s="37">
        <f>SUMIFS(Variable!P$2:P$9992,Variable!$B$2:$B$9992,$A27)</f>
        <v>5.1700000000000003E-2</v>
      </c>
      <c r="Q27" s="37">
        <f>SUMIFS(Variable!Q$2:Q$9992,Variable!$B$2:$B$9992,$A27)</f>
        <v>5.3900000000000003E-2</v>
      </c>
      <c r="R27" s="37">
        <f>SUMIFS(Variable!R$2:R$9992,Variable!$B$2:$B$9992,$A27)</f>
        <v>5.5300000000000002E-2</v>
      </c>
      <c r="S27" s="37">
        <f>SUMIFS(Variable!S$2:S$9992,Variable!$B$2:$B$9992,$A27)</f>
        <v>5.79E-2</v>
      </c>
      <c r="T27" s="37">
        <f>SUMIFS(Variable!T$2:T$9992,Variable!$B$2:$B$9992,$A27)</f>
        <v>6.0600000000000001E-2</v>
      </c>
      <c r="U27" s="37">
        <f>SUMIFS(Variable!U$2:U$9992,Variable!$B$2:$B$9992,$A27)</f>
        <v>6.3299999999999995E-2</v>
      </c>
      <c r="V27" s="37">
        <f>SUMIFS(Variable!V$2:V$9992,Variable!$B$2:$B$9992,$A27)</f>
        <v>6.6000000000000003E-2</v>
      </c>
      <c r="W27" s="37">
        <f>SUMIFS(Variable!W$2:W$9992,Variable!$B$2:$B$9992,$A27)</f>
        <v>6.8699999999999997E-2</v>
      </c>
      <c r="X27" s="37">
        <f>SUMIFS(Variable!X$2:X$9992,Variable!$B$2:$B$9992,$A27)</f>
        <v>7.1400000000000005E-2</v>
      </c>
      <c r="Y27" s="37">
        <f>SUMIFS(Variable!Y$2:Y$9992,Variable!$B$2:$B$9992,$A27)</f>
        <v>7.4399999999999994E-2</v>
      </c>
      <c r="Z27" s="37">
        <f>SUMIFS(Variable!Z$2:Z$9992,Variable!$B$2:$B$9992,$A27)</f>
        <v>7.7299999999999994E-2</v>
      </c>
      <c r="AA27" s="37">
        <f>SUMIFS(Variable!AA$2:AA$9992,Variable!$B$2:$B$9992,$A27)</f>
        <v>8.0199999999999994E-2</v>
      </c>
      <c r="AB27" s="37">
        <f>SUMIFS(Variable!AB$2:AB$9992,Variable!$B$2:$B$9992,$A27)</f>
        <v>8.3199999999999996E-2</v>
      </c>
      <c r="AC27" s="37">
        <f>SUMIFS(Variable!AC$2:AC$9992,Variable!$B$2:$B$9992,$A27)</f>
        <v>8.6199999999999999E-2</v>
      </c>
      <c r="AD27" s="37">
        <f>SUMIFS(Variable!AD$2:AD$9992,Variable!$B$2:$B$9992,$A27)</f>
        <v>8.9300000000000004E-2</v>
      </c>
      <c r="AE27" s="37">
        <f>SUMIFS(Variable!AE$2:AE$9992,Variable!$B$2:$B$9992,$A27)</f>
        <v>9.2399999999999996E-2</v>
      </c>
      <c r="AF27" s="37">
        <f>SUMIFS(Variable!AF$2:AF$9992,Variable!$B$2:$B$9992,$A27)</f>
        <v>9.5500000000000002E-2</v>
      </c>
      <c r="AG27" s="37">
        <f>SUMIFS(Variable!AG$2:AG$9992,Variable!$B$2:$B$9992,$A27)</f>
        <v>9.98E-2</v>
      </c>
    </row>
    <row r="28" spans="1:33">
      <c r="W28"/>
    </row>
    <row r="29" spans="1:33">
      <c r="A29" s="23" t="s">
        <v>83</v>
      </c>
      <c r="W29"/>
    </row>
    <row r="30" spans="1:33">
      <c r="A30" s="29" t="s">
        <v>224</v>
      </c>
      <c r="C30">
        <f>SUM(C225,C228:C229)*C120</f>
        <v>1994.5145551576875</v>
      </c>
      <c r="D30">
        <f t="shared" ref="D30:AG30" si="1">SUM(D225,D228:D229)*D120</f>
        <v>2135.6274362277436</v>
      </c>
      <c r="E30">
        <f t="shared" si="1"/>
        <v>2295.2728385708033</v>
      </c>
      <c r="F30">
        <f t="shared" si="1"/>
        <v>2558.2788409226523</v>
      </c>
      <c r="G30">
        <f t="shared" si="1"/>
        <v>2763.4081250937165</v>
      </c>
      <c r="H30">
        <f t="shared" si="1"/>
        <v>3015.7323322511061</v>
      </c>
      <c r="I30">
        <f t="shared" si="1"/>
        <v>2987.7498087717818</v>
      </c>
      <c r="J30">
        <f t="shared" si="1"/>
        <v>2958.1349634671865</v>
      </c>
      <c r="K30">
        <f t="shared" si="1"/>
        <v>2923.5859608062033</v>
      </c>
      <c r="L30">
        <f t="shared" si="1"/>
        <v>3037.7627559021048</v>
      </c>
      <c r="M30">
        <f t="shared" si="1"/>
        <v>2681.5011173880398</v>
      </c>
      <c r="N30">
        <f t="shared" si="1"/>
        <v>2893.8727506007253</v>
      </c>
      <c r="O30">
        <f t="shared" si="1"/>
        <v>3131.3089190696583</v>
      </c>
      <c r="P30">
        <f t="shared" si="1"/>
        <v>3358.2243509564846</v>
      </c>
      <c r="Q30">
        <f t="shared" si="1"/>
        <v>3588.7022811036691</v>
      </c>
      <c r="R30">
        <f t="shared" si="1"/>
        <v>3720.1468904656845</v>
      </c>
      <c r="S30">
        <f t="shared" si="1"/>
        <v>3952.817368586856</v>
      </c>
      <c r="T30">
        <f t="shared" si="1"/>
        <v>4241.7394175809441</v>
      </c>
      <c r="U30">
        <f t="shared" si="1"/>
        <v>4491.3195087170798</v>
      </c>
      <c r="V30">
        <f t="shared" si="1"/>
        <v>4716.4948242354649</v>
      </c>
      <c r="W30">
        <f t="shared" si="1"/>
        <v>4131.9869302509114</v>
      </c>
      <c r="X30">
        <f t="shared" si="1"/>
        <v>4313.9183515029581</v>
      </c>
      <c r="Y30">
        <f t="shared" si="1"/>
        <v>4521.119507646772</v>
      </c>
      <c r="Z30">
        <f t="shared" si="1"/>
        <v>4729.5566349493483</v>
      </c>
      <c r="AA30">
        <f t="shared" si="1"/>
        <v>4939.2074151724391</v>
      </c>
      <c r="AB30">
        <f t="shared" si="1"/>
        <v>5155.9346332599289</v>
      </c>
      <c r="AC30">
        <f t="shared" si="1"/>
        <v>5364.0704430562164</v>
      </c>
      <c r="AD30">
        <f t="shared" si="1"/>
        <v>5585.0568745891505</v>
      </c>
      <c r="AE30">
        <f t="shared" si="1"/>
        <v>5741.8389906713146</v>
      </c>
      <c r="AF30">
        <f t="shared" si="1"/>
        <v>5966.7967516422905</v>
      </c>
      <c r="AG30">
        <f t="shared" si="1"/>
        <v>5884.9224083993349</v>
      </c>
    </row>
    <row r="31" spans="1:33">
      <c r="A31" t="s">
        <v>84</v>
      </c>
      <c r="C31">
        <f>SUM(C232:C233)*C122</f>
        <v>0</v>
      </c>
      <c r="D31">
        <f t="shared" ref="D31:AG31" si="2">SUM(D232:D233)*D122</f>
        <v>0</v>
      </c>
      <c r="E31">
        <f t="shared" si="2"/>
        <v>0</v>
      </c>
      <c r="F31">
        <f t="shared" si="2"/>
        <v>0</v>
      </c>
      <c r="G31">
        <f t="shared" si="2"/>
        <v>0</v>
      </c>
      <c r="H31">
        <f t="shared" si="2"/>
        <v>93.366322762240003</v>
      </c>
      <c r="I31">
        <f t="shared" si="2"/>
        <v>95.66564440818</v>
      </c>
      <c r="J31">
        <f t="shared" si="2"/>
        <v>97.754021178504004</v>
      </c>
      <c r="K31">
        <f t="shared" si="2"/>
        <v>99.081530556162008</v>
      </c>
      <c r="L31">
        <f t="shared" si="2"/>
        <v>122.99770230041501</v>
      </c>
      <c r="M31">
        <f t="shared" si="2"/>
        <v>131.68232535749399</v>
      </c>
      <c r="N31">
        <f t="shared" si="2"/>
        <v>133.96711452684002</v>
      </c>
      <c r="O31">
        <f t="shared" si="2"/>
        <v>72.628757027711998</v>
      </c>
      <c r="P31">
        <f t="shared" si="2"/>
        <v>69.928747511376002</v>
      </c>
      <c r="Q31">
        <f t="shared" si="2"/>
        <v>67.160217817169993</v>
      </c>
      <c r="R31">
        <f t="shared" si="2"/>
        <v>64.421797100328007</v>
      </c>
      <c r="S31">
        <f t="shared" si="2"/>
        <v>61.017779685096002</v>
      </c>
      <c r="T31">
        <f t="shared" si="2"/>
        <v>57.587104736662006</v>
      </c>
      <c r="U31">
        <f t="shared" si="2"/>
        <v>57.981704406569996</v>
      </c>
      <c r="V31">
        <f t="shared" si="2"/>
        <v>141.90499899044198</v>
      </c>
      <c r="W31">
        <f t="shared" si="2"/>
        <v>316.135979787888</v>
      </c>
      <c r="X31">
        <f t="shared" si="2"/>
        <v>396.46901556810798</v>
      </c>
      <c r="Y31">
        <f t="shared" si="2"/>
        <v>416.06468724732804</v>
      </c>
      <c r="Z31">
        <f t="shared" si="2"/>
        <v>434.42850070870804</v>
      </c>
      <c r="AA31">
        <f t="shared" si="2"/>
        <v>456.66459138463199</v>
      </c>
      <c r="AB31">
        <f t="shared" si="2"/>
        <v>479.27019546274499</v>
      </c>
      <c r="AC31">
        <f t="shared" si="2"/>
        <v>524.4345389115681</v>
      </c>
      <c r="AD31">
        <f t="shared" si="2"/>
        <v>546.91695966242685</v>
      </c>
      <c r="AE31">
        <f t="shared" si="2"/>
        <v>580.93687587919203</v>
      </c>
      <c r="AF31">
        <f t="shared" si="2"/>
        <v>816.67466734306697</v>
      </c>
      <c r="AG31">
        <f t="shared" si="2"/>
        <v>1158.6392951169298</v>
      </c>
    </row>
    <row r="32" spans="1:33">
      <c r="A32" t="s">
        <v>85</v>
      </c>
      <c r="C32">
        <f>C239*C121</f>
        <v>647.30076946812414</v>
      </c>
      <c r="D32">
        <f t="shared" ref="D32:AG32" si="3">D239*D121</f>
        <v>430.62415246957602</v>
      </c>
      <c r="E32">
        <f t="shared" si="3"/>
        <v>682.23712593716698</v>
      </c>
      <c r="F32">
        <f t="shared" si="3"/>
        <v>358.88756927922606</v>
      </c>
      <c r="G32">
        <f t="shared" si="3"/>
        <v>375.25259746386496</v>
      </c>
      <c r="H32">
        <f t="shared" si="3"/>
        <v>0</v>
      </c>
      <c r="I32">
        <f t="shared" si="3"/>
        <v>0</v>
      </c>
      <c r="J32">
        <f t="shared" si="3"/>
        <v>0</v>
      </c>
      <c r="K32">
        <f t="shared" si="3"/>
        <v>0</v>
      </c>
      <c r="L32">
        <f t="shared" si="3"/>
        <v>0</v>
      </c>
      <c r="M32">
        <f t="shared" si="3"/>
        <v>0</v>
      </c>
      <c r="N32">
        <f t="shared" si="3"/>
        <v>0</v>
      </c>
      <c r="O32">
        <f t="shared" si="3"/>
        <v>0</v>
      </c>
      <c r="P32">
        <f t="shared" si="3"/>
        <v>0</v>
      </c>
      <c r="Q32">
        <f t="shared" si="3"/>
        <v>0</v>
      </c>
      <c r="R32">
        <f t="shared" si="3"/>
        <v>0</v>
      </c>
      <c r="S32">
        <f t="shared" si="3"/>
        <v>0</v>
      </c>
      <c r="T32">
        <f t="shared" si="3"/>
        <v>0</v>
      </c>
      <c r="U32">
        <f t="shared" si="3"/>
        <v>0</v>
      </c>
      <c r="V32">
        <f t="shared" si="3"/>
        <v>0</v>
      </c>
      <c r="W32">
        <f t="shared" si="3"/>
        <v>0</v>
      </c>
      <c r="X32">
        <f t="shared" si="3"/>
        <v>0</v>
      </c>
      <c r="Y32">
        <f t="shared" si="3"/>
        <v>0</v>
      </c>
      <c r="Z32">
        <f t="shared" si="3"/>
        <v>0</v>
      </c>
      <c r="AA32">
        <f t="shared" si="3"/>
        <v>0</v>
      </c>
      <c r="AB32">
        <f t="shared" si="3"/>
        <v>0</v>
      </c>
      <c r="AC32">
        <f t="shared" si="3"/>
        <v>0</v>
      </c>
      <c r="AD32">
        <f t="shared" si="3"/>
        <v>0</v>
      </c>
      <c r="AE32">
        <f t="shared" si="3"/>
        <v>0</v>
      </c>
      <c r="AF32">
        <f t="shared" si="3"/>
        <v>0</v>
      </c>
      <c r="AG32">
        <f t="shared" si="3"/>
        <v>0</v>
      </c>
    </row>
    <row r="33" spans="1:58">
      <c r="A33" t="s">
        <v>86</v>
      </c>
      <c r="C33">
        <f>SUM(C224,C227)*C123</f>
        <v>288.04959999999994</v>
      </c>
      <c r="D33">
        <f t="shared" ref="D33:AG33" si="4">SUM(D224,D227)*D123</f>
        <v>332.98559999999998</v>
      </c>
      <c r="E33">
        <f t="shared" si="4"/>
        <v>304.62559999999996</v>
      </c>
      <c r="F33">
        <f t="shared" si="4"/>
        <v>324.66079999999999</v>
      </c>
      <c r="G33">
        <f t="shared" si="4"/>
        <v>333.23839999999996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4"/>
        <v>0</v>
      </c>
      <c r="L33">
        <f t="shared" si="4"/>
        <v>0</v>
      </c>
      <c r="M33">
        <f t="shared" si="4"/>
        <v>0</v>
      </c>
      <c r="N33">
        <f t="shared" si="4"/>
        <v>0</v>
      </c>
      <c r="O33">
        <f t="shared" si="4"/>
        <v>0</v>
      </c>
      <c r="P33">
        <f t="shared" si="4"/>
        <v>0</v>
      </c>
      <c r="Q33">
        <f t="shared" si="4"/>
        <v>0</v>
      </c>
      <c r="R33">
        <f t="shared" si="4"/>
        <v>0</v>
      </c>
      <c r="S33">
        <f t="shared" si="4"/>
        <v>0</v>
      </c>
      <c r="T33">
        <f t="shared" si="4"/>
        <v>0</v>
      </c>
      <c r="U33">
        <f t="shared" si="4"/>
        <v>0</v>
      </c>
      <c r="V33">
        <f t="shared" si="4"/>
        <v>0</v>
      </c>
      <c r="W33">
        <f t="shared" si="4"/>
        <v>61.580800000000004</v>
      </c>
      <c r="X33">
        <f t="shared" si="4"/>
        <v>67.833600000000004</v>
      </c>
      <c r="Y33">
        <f t="shared" si="4"/>
        <v>74.787199999999999</v>
      </c>
      <c r="Z33">
        <f t="shared" si="4"/>
        <v>83.923199999999994</v>
      </c>
      <c r="AA33">
        <f t="shared" si="4"/>
        <v>83.923199999999994</v>
      </c>
      <c r="AB33">
        <f t="shared" si="4"/>
        <v>83.923199999999994</v>
      </c>
      <c r="AC33">
        <f t="shared" si="4"/>
        <v>83.923199999999994</v>
      </c>
      <c r="AD33">
        <f t="shared" si="4"/>
        <v>83.923199999999994</v>
      </c>
      <c r="AE33">
        <f t="shared" si="4"/>
        <v>83.923199999999994</v>
      </c>
      <c r="AF33">
        <f t="shared" si="4"/>
        <v>78.7744</v>
      </c>
      <c r="AG33">
        <f t="shared" si="4"/>
        <v>71.596800000000002</v>
      </c>
    </row>
    <row r="34" spans="1:58">
      <c r="A34" t="s">
        <v>264</v>
      </c>
      <c r="C34">
        <f>C241*C124</f>
        <v>0</v>
      </c>
      <c r="D34">
        <f t="shared" ref="D34:AG34" si="5">D241*D124</f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0</v>
      </c>
      <c r="V34">
        <f t="shared" si="5"/>
        <v>0</v>
      </c>
      <c r="W34">
        <f t="shared" si="5"/>
        <v>0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0</v>
      </c>
      <c r="AE34">
        <f t="shared" si="5"/>
        <v>0</v>
      </c>
      <c r="AF34">
        <f t="shared" si="5"/>
        <v>0</v>
      </c>
      <c r="AG34">
        <f t="shared" si="5"/>
        <v>0</v>
      </c>
    </row>
    <row r="35" spans="1:58">
      <c r="A35" s="42" t="s">
        <v>23</v>
      </c>
      <c r="B35" s="33"/>
      <c r="C35" s="33">
        <f>SUM(C38:C55)+SUM(C30:C34)+SUM(C10:C27)</f>
        <v>3983.2719246258116</v>
      </c>
      <c r="D35" s="33">
        <f t="shared" ref="D35:AG35" si="6">SUM(D38:D55)+SUM(D30:D34)+SUM(D10:D27)</f>
        <v>4094.69758869732</v>
      </c>
      <c r="E35" s="33">
        <f t="shared" si="6"/>
        <v>4526.0521645079707</v>
      </c>
      <c r="F35" s="33">
        <f t="shared" si="6"/>
        <v>4486.0345102018782</v>
      </c>
      <c r="G35" s="33">
        <f t="shared" si="6"/>
        <v>4730.4563225575821</v>
      </c>
      <c r="H35" s="33">
        <f t="shared" si="6"/>
        <v>4392.577655013346</v>
      </c>
      <c r="I35" s="33">
        <f t="shared" si="6"/>
        <v>4461.4023531799621</v>
      </c>
      <c r="J35" s="33">
        <f t="shared" si="6"/>
        <v>4529.1518846456902</v>
      </c>
      <c r="K35" s="33">
        <f t="shared" si="6"/>
        <v>4593.6606913623655</v>
      </c>
      <c r="L35" s="33">
        <f t="shared" si="6"/>
        <v>4752.2270582025203</v>
      </c>
      <c r="M35" s="33">
        <f t="shared" si="6"/>
        <v>4476.4206427455338</v>
      </c>
      <c r="N35" s="33">
        <f t="shared" si="6"/>
        <v>4703.5413651275658</v>
      </c>
      <c r="O35" s="33">
        <f t="shared" si="6"/>
        <v>4974.9523760973707</v>
      </c>
      <c r="P35" s="33">
        <f t="shared" si="6"/>
        <v>5246.7763984678595</v>
      </c>
      <c r="Q35" s="33">
        <f t="shared" si="6"/>
        <v>5493.1274989208387</v>
      </c>
      <c r="R35" s="33">
        <f t="shared" si="6"/>
        <v>5669.1775875660132</v>
      </c>
      <c r="S35" s="33">
        <f t="shared" si="6"/>
        <v>5957.0550482719518</v>
      </c>
      <c r="T35" s="33">
        <f t="shared" si="6"/>
        <v>6296.7572223176057</v>
      </c>
      <c r="U35" s="33">
        <f t="shared" si="6"/>
        <v>6602.31241312365</v>
      </c>
      <c r="V35" s="33">
        <f t="shared" si="6"/>
        <v>6945.0546232259067</v>
      </c>
      <c r="W35" s="33">
        <f t="shared" si="6"/>
        <v>6724.2205100387991</v>
      </c>
      <c r="X35" s="33">
        <f t="shared" si="6"/>
        <v>7042.0313670710648</v>
      </c>
      <c r="Y35" s="33">
        <f t="shared" si="6"/>
        <v>7342.8243948940999</v>
      </c>
      <c r="Z35" s="33">
        <f t="shared" si="6"/>
        <v>7645.6548356580552</v>
      </c>
      <c r="AA35" s="33">
        <f t="shared" si="6"/>
        <v>7946.0243065570721</v>
      </c>
      <c r="AB35" s="33">
        <f t="shared" si="6"/>
        <v>8246.1398287226748</v>
      </c>
      <c r="AC35" s="33">
        <f t="shared" si="6"/>
        <v>8566.7126819677851</v>
      </c>
      <c r="AD35" s="33">
        <f t="shared" si="6"/>
        <v>8881.1438342515776</v>
      </c>
      <c r="AE35" s="33">
        <f t="shared" si="6"/>
        <v>9151.2107665505064</v>
      </c>
      <c r="AF35" s="33">
        <f t="shared" si="6"/>
        <v>9633.4163189853589</v>
      </c>
      <c r="AG35" s="33">
        <f t="shared" si="6"/>
        <v>9963.7135035162646</v>
      </c>
    </row>
    <row r="36" spans="1:58">
      <c r="W36"/>
    </row>
    <row r="37" spans="1:58">
      <c r="A37" s="16" t="s">
        <v>13</v>
      </c>
      <c r="C37" s="22">
        <v>2020</v>
      </c>
      <c r="D37" s="22">
        <v>2021</v>
      </c>
      <c r="E37" s="22">
        <v>2022</v>
      </c>
      <c r="F37" s="22">
        <v>2023</v>
      </c>
      <c r="G37" s="22">
        <v>2024</v>
      </c>
      <c r="H37" s="22">
        <v>2025</v>
      </c>
      <c r="I37" s="22">
        <v>2026</v>
      </c>
      <c r="J37" s="22">
        <v>2027</v>
      </c>
      <c r="K37" s="22">
        <v>2028</v>
      </c>
      <c r="L37" s="22">
        <v>2029</v>
      </c>
      <c r="M37" s="22">
        <v>2030</v>
      </c>
      <c r="N37" s="22">
        <v>2031</v>
      </c>
      <c r="O37" s="22">
        <v>2032</v>
      </c>
      <c r="P37" s="22">
        <v>2033</v>
      </c>
      <c r="Q37" s="22">
        <v>2034</v>
      </c>
      <c r="R37" s="22">
        <v>2035</v>
      </c>
      <c r="S37" s="22">
        <v>2036</v>
      </c>
      <c r="T37" s="22">
        <v>2037</v>
      </c>
      <c r="U37" s="22">
        <v>2038</v>
      </c>
      <c r="V37" s="22">
        <v>2039</v>
      </c>
      <c r="W37" s="22">
        <v>2040</v>
      </c>
      <c r="X37" s="22">
        <v>2041</v>
      </c>
      <c r="Y37" s="22">
        <v>2042</v>
      </c>
      <c r="Z37" s="22">
        <v>2043</v>
      </c>
      <c r="AA37" s="22">
        <v>2044</v>
      </c>
      <c r="AB37" s="22">
        <v>2045</v>
      </c>
      <c r="AC37" s="22">
        <v>2046</v>
      </c>
      <c r="AD37" s="22">
        <v>2047</v>
      </c>
      <c r="AE37" s="22">
        <v>2048</v>
      </c>
      <c r="AF37" s="22">
        <v>2049</v>
      </c>
      <c r="AG37" s="22">
        <v>2050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>
      <c r="A38" t="s">
        <v>132</v>
      </c>
      <c r="C38">
        <f>SUMIFS(Fixed!C$2:C$10000,Fixed!$B$2:$B$10000,$A38)</f>
        <v>44.747999999999998</v>
      </c>
      <c r="D38">
        <f>SUMIFS(Fixed!D$2:D$10000,Fixed!$B$2:$B$10000,$A38)</f>
        <v>44.747999999999998</v>
      </c>
      <c r="E38">
        <f>SUMIFS(Fixed!E$2:E$10000,Fixed!$B$2:$B$10000,$A38)</f>
        <v>52.128</v>
      </c>
      <c r="F38">
        <f>SUMIFS(Fixed!F$2:F$10000,Fixed!$B$2:$B$10000,$A38)</f>
        <v>52.667999999999999</v>
      </c>
      <c r="G38">
        <f>SUMIFS(Fixed!G$2:G$10000,Fixed!$B$2:$B$10000,$A38)</f>
        <v>53.558999999999997</v>
      </c>
      <c r="H38">
        <f>SUMIFS(Fixed!H$2:H$10000,Fixed!$B$2:$B$10000,$A38)</f>
        <v>53.558999999999997</v>
      </c>
      <c r="I38">
        <f>SUMIFS(Fixed!I$2:I$10000,Fixed!$B$2:$B$10000,$A38)</f>
        <v>53.558999999999997</v>
      </c>
      <c r="J38">
        <f>SUMIFS(Fixed!J$2:J$10000,Fixed!$B$2:$B$10000,$A38)</f>
        <v>53.558999999999997</v>
      </c>
      <c r="K38">
        <f>SUMIFS(Fixed!K$2:K$10000,Fixed!$B$2:$B$10000,$A38)</f>
        <v>53.558999999999997</v>
      </c>
      <c r="L38">
        <f>SUMIFS(Fixed!L$2:L$10000,Fixed!$B$2:$B$10000,$A38)</f>
        <v>53.558999999999997</v>
      </c>
      <c r="M38">
        <f>SUMIFS(Fixed!M$2:M$10000,Fixed!$B$2:$B$10000,$A38)</f>
        <v>53.558999999999997</v>
      </c>
      <c r="N38">
        <f>SUMIFS(Fixed!N$2:N$10000,Fixed!$B$2:$B$10000,$A38)</f>
        <v>53.558999999999997</v>
      </c>
      <c r="O38">
        <f>SUMIFS(Fixed!O$2:O$10000,Fixed!$B$2:$B$10000,$A38)</f>
        <v>53.558999999999997</v>
      </c>
      <c r="P38">
        <f>SUMIFS(Fixed!P$2:P$10000,Fixed!$B$2:$B$10000,$A38)</f>
        <v>53.558999999999997</v>
      </c>
      <c r="Q38">
        <f>SUMIFS(Fixed!Q$2:Q$10000,Fixed!$B$2:$B$10000,$A38)</f>
        <v>53.558999999999997</v>
      </c>
      <c r="R38">
        <f>SUMIFS(Fixed!R$2:R$10000,Fixed!$B$2:$B$10000,$A38)</f>
        <v>53.558999999999997</v>
      </c>
      <c r="S38">
        <f>SUMIFS(Fixed!S$2:S$10000,Fixed!$B$2:$B$10000,$A38)</f>
        <v>53.558999999999997</v>
      </c>
      <c r="T38">
        <f>SUMIFS(Fixed!T$2:T$10000,Fixed!$B$2:$B$10000,$A38)</f>
        <v>53.558999999999997</v>
      </c>
      <c r="U38">
        <f>SUMIFS(Fixed!U$2:U$10000,Fixed!$B$2:$B$10000,$A38)</f>
        <v>53.558999999999997</v>
      </c>
      <c r="V38">
        <f>SUMIFS(Fixed!V$2:V$10000,Fixed!$B$2:$B$10000,$A38)</f>
        <v>53.558999999999997</v>
      </c>
      <c r="W38">
        <f>SUMIFS(Fixed!W$2:W$10000,Fixed!$B$2:$B$10000,$A38)</f>
        <v>53.558999999999997</v>
      </c>
      <c r="X38">
        <f>SUMIFS(Fixed!X$2:X$10000,Fixed!$B$2:$B$10000,$A38)</f>
        <v>53.558999999999997</v>
      </c>
      <c r="Y38">
        <f>SUMIFS(Fixed!Y$2:Y$10000,Fixed!$B$2:$B$10000,$A38)</f>
        <v>53.558999999999997</v>
      </c>
      <c r="Z38">
        <f>SUMIFS(Fixed!Z$2:Z$10000,Fixed!$B$2:$B$10000,$A38)</f>
        <v>53.558999999999997</v>
      </c>
      <c r="AA38">
        <f>SUMIFS(Fixed!AA$2:AA$10000,Fixed!$B$2:$B$10000,$A38)</f>
        <v>53.558999999999997</v>
      </c>
      <c r="AB38">
        <f>SUMIFS(Fixed!AB$2:AB$10000,Fixed!$B$2:$B$10000,$A38)</f>
        <v>53.558999999999997</v>
      </c>
      <c r="AC38">
        <f>SUMIFS(Fixed!AC$2:AC$10000,Fixed!$B$2:$B$10000,$A38)</f>
        <v>53.558999999999997</v>
      </c>
      <c r="AD38">
        <f>SUMIFS(Fixed!AD$2:AD$10000,Fixed!$B$2:$B$10000,$A38)</f>
        <v>53.558999999999997</v>
      </c>
      <c r="AE38">
        <f>SUMIFS(Fixed!AE$2:AE$10000,Fixed!$B$2:$B$10000,$A38)</f>
        <v>53.558999999999997</v>
      </c>
      <c r="AF38">
        <f>SUMIFS(Fixed!AF$2:AF$10000,Fixed!$B$2:$B$10000,$A38)</f>
        <v>50.274000000000001</v>
      </c>
      <c r="AG38">
        <f>SUMIFS(Fixed!AG$2:AG$10000,Fixed!$B$2:$B$10000,$A38)</f>
        <v>45.692999999999998</v>
      </c>
    </row>
    <row r="39" spans="1:58">
      <c r="A39" t="s">
        <v>133</v>
      </c>
      <c r="C39">
        <f>SUMIFS(Fixed!C$2:C$10000,Fixed!$B$2:$B$10000,$A39)</f>
        <v>491.03550000000001</v>
      </c>
      <c r="D39">
        <f>SUMIFS(Fixed!D$2:D$10000,Fixed!$B$2:$B$10000,$A39)</f>
        <v>491.03550000000001</v>
      </c>
      <c r="E39">
        <f>SUMIFS(Fixed!E$2:E$10000,Fixed!$B$2:$B$10000,$A39)</f>
        <v>491.03550000000001</v>
      </c>
      <c r="F39">
        <f>SUMIFS(Fixed!F$2:F$10000,Fixed!$B$2:$B$10000,$A39)</f>
        <v>491.03550000000001</v>
      </c>
      <c r="G39">
        <f>SUMIFS(Fixed!G$2:G$10000,Fixed!$B$2:$B$10000,$A39)</f>
        <v>464.03550000000001</v>
      </c>
      <c r="H39">
        <f>SUMIFS(Fixed!H$2:H$10000,Fixed!$B$2:$B$10000,$A39)</f>
        <v>464.03550000000001</v>
      </c>
      <c r="I39">
        <f>SUMIFS(Fixed!I$2:I$10000,Fixed!$B$2:$B$10000,$A39)</f>
        <v>464.03550000000001</v>
      </c>
      <c r="J39">
        <f>SUMIFS(Fixed!J$2:J$10000,Fixed!$B$2:$B$10000,$A39)</f>
        <v>464.03550000000001</v>
      </c>
      <c r="K39">
        <f>SUMIFS(Fixed!K$2:K$10000,Fixed!$B$2:$B$10000,$A39)</f>
        <v>464.03550000000001</v>
      </c>
      <c r="L39">
        <f>SUMIFS(Fixed!L$2:L$10000,Fixed!$B$2:$B$10000,$A39)</f>
        <v>464.03550000000001</v>
      </c>
      <c r="M39">
        <f>SUMIFS(Fixed!M$2:M$10000,Fixed!$B$2:$B$10000,$A39)</f>
        <v>464.03550000000001</v>
      </c>
      <c r="N39">
        <f>SUMIFS(Fixed!N$2:N$10000,Fixed!$B$2:$B$10000,$A39)</f>
        <v>464.03550000000001</v>
      </c>
      <c r="O39">
        <f>SUMIFS(Fixed!O$2:O$10000,Fixed!$B$2:$B$10000,$A39)</f>
        <v>464.03550000000001</v>
      </c>
      <c r="P39">
        <f>SUMIFS(Fixed!P$2:P$10000,Fixed!$B$2:$B$10000,$A39)</f>
        <v>464.03550000000001</v>
      </c>
      <c r="Q39">
        <f>SUMIFS(Fixed!Q$2:Q$10000,Fixed!$B$2:$B$10000,$A39)</f>
        <v>464.03550000000001</v>
      </c>
      <c r="R39">
        <f>SUMIFS(Fixed!R$2:R$10000,Fixed!$B$2:$B$10000,$A39)</f>
        <v>464.03550000000001</v>
      </c>
      <c r="S39">
        <f>SUMIFS(Fixed!S$2:S$10000,Fixed!$B$2:$B$10000,$A39)</f>
        <v>429.65550000000002</v>
      </c>
      <c r="T39">
        <f>SUMIFS(Fixed!T$2:T$10000,Fixed!$B$2:$B$10000,$A39)</f>
        <v>429.65550000000002</v>
      </c>
      <c r="U39">
        <f>SUMIFS(Fixed!U$2:U$10000,Fixed!$B$2:$B$10000,$A39)</f>
        <v>397.971</v>
      </c>
      <c r="V39">
        <f>SUMIFS(Fixed!V$2:V$10000,Fixed!$B$2:$B$10000,$A39)</f>
        <v>339.74099999999999</v>
      </c>
      <c r="W39">
        <f>SUMIFS(Fixed!W$2:W$10000,Fixed!$B$2:$B$10000,$A39)</f>
        <v>315.51299999999998</v>
      </c>
      <c r="X39">
        <f>SUMIFS(Fixed!X$2:X$10000,Fixed!$B$2:$B$10000,$A39)</f>
        <v>315.51299999999998</v>
      </c>
      <c r="Y39">
        <f>SUMIFS(Fixed!Y$2:Y$10000,Fixed!$B$2:$B$10000,$A39)</f>
        <v>315.51299999999998</v>
      </c>
      <c r="Z39">
        <f>SUMIFS(Fixed!Z$2:Z$10000,Fixed!$B$2:$B$10000,$A39)</f>
        <v>315.51299999999998</v>
      </c>
      <c r="AA39">
        <f>SUMIFS(Fixed!AA$2:AA$10000,Fixed!$B$2:$B$10000,$A39)</f>
        <v>315.51299999999998</v>
      </c>
      <c r="AB39">
        <f>SUMIFS(Fixed!AB$2:AB$10000,Fixed!$B$2:$B$10000,$A39)</f>
        <v>315.51299999999998</v>
      </c>
      <c r="AC39">
        <f>SUMIFS(Fixed!AC$2:AC$10000,Fixed!$B$2:$B$10000,$A39)</f>
        <v>302.733</v>
      </c>
      <c r="AD39">
        <f>SUMIFS(Fixed!AD$2:AD$10000,Fixed!$B$2:$B$10000,$A39)</f>
        <v>302.733</v>
      </c>
      <c r="AE39">
        <f>SUMIFS(Fixed!AE$2:AE$10000,Fixed!$B$2:$B$10000,$A39)</f>
        <v>302.733</v>
      </c>
      <c r="AF39">
        <f>SUMIFS(Fixed!AF$2:AF$10000,Fixed!$B$2:$B$10000,$A39)</f>
        <v>302.733</v>
      </c>
      <c r="AG39">
        <f>SUMIFS(Fixed!AG$2:AG$10000,Fixed!$B$2:$B$10000,$A39)</f>
        <v>286.46100000000001</v>
      </c>
    </row>
    <row r="40" spans="1:58">
      <c r="A40" t="s">
        <v>138</v>
      </c>
      <c r="C40">
        <f>SUMIFS(Fixed!C$2:C$10000,Fixed!$B$2:$B$10000,$A40)</f>
        <v>144.39400000000001</v>
      </c>
      <c r="D40">
        <f>SUMIFS(Fixed!D$2:D$10000,Fixed!$B$2:$B$10000,$A40)</f>
        <v>144.39400000000001</v>
      </c>
      <c r="E40">
        <f>SUMIFS(Fixed!E$2:E$10000,Fixed!$B$2:$B$10000,$A40)</f>
        <v>144.81950000000001</v>
      </c>
      <c r="F40">
        <f>SUMIFS(Fixed!F$2:F$10000,Fixed!$B$2:$B$10000,$A40)</f>
        <v>140.86179999999999</v>
      </c>
      <c r="G40">
        <f>SUMIFS(Fixed!G$2:G$10000,Fixed!$B$2:$B$10000,$A40)</f>
        <v>141.63489999999999</v>
      </c>
      <c r="H40">
        <f>SUMIFS(Fixed!H$2:H$10000,Fixed!$B$2:$B$10000,$A40)</f>
        <v>145.74039999999999</v>
      </c>
      <c r="I40">
        <f>SUMIFS(Fixed!I$2:I$10000,Fixed!$B$2:$B$10000,$A40)</f>
        <v>241.63069999999999</v>
      </c>
      <c r="J40">
        <f>SUMIFS(Fixed!J$2:J$10000,Fixed!$B$2:$B$10000,$A40)</f>
        <v>338.20749999999998</v>
      </c>
      <c r="K40">
        <f>SUMIFS(Fixed!K$2:K$10000,Fixed!$B$2:$B$10000,$A40)</f>
        <v>437.16340000000002</v>
      </c>
      <c r="L40">
        <f>SUMIFS(Fixed!L$2:L$10000,Fixed!$B$2:$B$10000,$A40)</f>
        <v>459.47480000000002</v>
      </c>
      <c r="M40">
        <f>SUMIFS(Fixed!M$2:M$10000,Fixed!$B$2:$B$10000,$A40)</f>
        <v>459.47480000000002</v>
      </c>
      <c r="N40">
        <f>SUMIFS(Fixed!N$2:N$10000,Fixed!$B$2:$B$10000,$A40)</f>
        <v>459.47480000000002</v>
      </c>
      <c r="O40">
        <f>SUMIFS(Fixed!O$2:O$10000,Fixed!$B$2:$B$10000,$A40)</f>
        <v>459.47480000000002</v>
      </c>
      <c r="P40">
        <f>SUMIFS(Fixed!P$2:P$10000,Fixed!$B$2:$B$10000,$A40)</f>
        <v>459.47480000000002</v>
      </c>
      <c r="Q40">
        <f>SUMIFS(Fixed!Q$2:Q$10000,Fixed!$B$2:$B$10000,$A40)</f>
        <v>459.47480000000002</v>
      </c>
      <c r="R40">
        <f>SUMIFS(Fixed!R$2:R$10000,Fixed!$B$2:$B$10000,$A40)</f>
        <v>459.47480000000002</v>
      </c>
      <c r="S40">
        <f>SUMIFS(Fixed!S$2:S$10000,Fixed!$B$2:$B$10000,$A40)</f>
        <v>459.47480000000002</v>
      </c>
      <c r="T40">
        <f>SUMIFS(Fixed!T$2:T$10000,Fixed!$B$2:$B$10000,$A40)</f>
        <v>459.47480000000002</v>
      </c>
      <c r="U40">
        <f>SUMIFS(Fixed!U$2:U$10000,Fixed!$B$2:$B$10000,$A40)</f>
        <v>459.47480000000002</v>
      </c>
      <c r="V40">
        <f>SUMIFS(Fixed!V$2:V$10000,Fixed!$B$2:$B$10000,$A40)</f>
        <v>459.47480000000002</v>
      </c>
      <c r="W40">
        <f>SUMIFS(Fixed!W$2:W$10000,Fixed!$B$2:$B$10000,$A40)</f>
        <v>459.47480000000002</v>
      </c>
      <c r="X40">
        <f>SUMIFS(Fixed!X$2:X$10000,Fixed!$B$2:$B$10000,$A40)</f>
        <v>459.47480000000002</v>
      </c>
      <c r="Y40">
        <f>SUMIFS(Fixed!Y$2:Y$10000,Fixed!$B$2:$B$10000,$A40)</f>
        <v>459.47480000000002</v>
      </c>
      <c r="Z40">
        <f>SUMIFS(Fixed!Z$2:Z$10000,Fixed!$B$2:$B$10000,$A40)</f>
        <v>459.47480000000002</v>
      </c>
      <c r="AA40">
        <f>SUMIFS(Fixed!AA$2:AA$10000,Fixed!$B$2:$B$10000,$A40)</f>
        <v>459.47480000000002</v>
      </c>
      <c r="AB40">
        <f>SUMIFS(Fixed!AB$2:AB$10000,Fixed!$B$2:$B$10000,$A40)</f>
        <v>459.47480000000002</v>
      </c>
      <c r="AC40">
        <f>SUMIFS(Fixed!AC$2:AC$10000,Fixed!$B$2:$B$10000,$A40)</f>
        <v>459.47480000000002</v>
      </c>
      <c r="AD40">
        <f>SUMIFS(Fixed!AD$2:AD$10000,Fixed!$B$2:$B$10000,$A40)</f>
        <v>459.47480000000002</v>
      </c>
      <c r="AE40">
        <f>SUMIFS(Fixed!AE$2:AE$10000,Fixed!$B$2:$B$10000,$A40)</f>
        <v>459.47480000000002</v>
      </c>
      <c r="AF40">
        <f>SUMIFS(Fixed!AF$2:AF$10000,Fixed!$B$2:$B$10000,$A40)</f>
        <v>459.47480000000002</v>
      </c>
      <c r="AG40">
        <f>SUMIFS(Fixed!AG$2:AG$10000,Fixed!$B$2:$B$10000,$A40)</f>
        <v>460</v>
      </c>
    </row>
    <row r="41" spans="1:58">
      <c r="A41" t="s">
        <v>141</v>
      </c>
      <c r="C41">
        <f>SUMIFS(Fixed!C$2:C$10000,Fixed!$B$2:$B$10000,$A41)</f>
        <v>0</v>
      </c>
      <c r="D41">
        <f>SUMIFS(Fixed!D$2:D$10000,Fixed!$B$2:$B$10000,$A41)</f>
        <v>0</v>
      </c>
      <c r="E41">
        <f>SUMIFS(Fixed!E$2:E$10000,Fixed!$B$2:$B$10000,$A41)</f>
        <v>0</v>
      </c>
      <c r="F41">
        <f>SUMIFS(Fixed!F$2:F$10000,Fixed!$B$2:$B$10000,$A41)</f>
        <v>0</v>
      </c>
      <c r="G41">
        <f>SUMIFS(Fixed!G$2:G$10000,Fixed!$B$2:$B$10000,$A41)</f>
        <v>0</v>
      </c>
      <c r="H41">
        <f>SUMIFS(Fixed!H$2:H$10000,Fixed!$B$2:$B$10000,$A41)</f>
        <v>0</v>
      </c>
      <c r="I41">
        <f>SUMIFS(Fixed!I$2:I$10000,Fixed!$B$2:$B$10000,$A41)</f>
        <v>0</v>
      </c>
      <c r="J41">
        <f>SUMIFS(Fixed!J$2:J$10000,Fixed!$B$2:$B$10000,$A41)</f>
        <v>0</v>
      </c>
      <c r="K41">
        <f>SUMIFS(Fixed!K$2:K$10000,Fixed!$B$2:$B$10000,$A41)</f>
        <v>0</v>
      </c>
      <c r="L41">
        <f>SUMIFS(Fixed!L$2:L$10000,Fixed!$B$2:$B$10000,$A41)</f>
        <v>0</v>
      </c>
      <c r="M41">
        <f>SUMIFS(Fixed!M$2:M$10000,Fixed!$B$2:$B$10000,$A41)</f>
        <v>0</v>
      </c>
      <c r="N41">
        <f>SUMIFS(Fixed!N$2:N$10000,Fixed!$B$2:$B$10000,$A41)</f>
        <v>0</v>
      </c>
      <c r="O41">
        <f>SUMIFS(Fixed!O$2:O$10000,Fixed!$B$2:$B$10000,$A41)</f>
        <v>0</v>
      </c>
      <c r="P41">
        <f>SUMIFS(Fixed!P$2:P$10000,Fixed!$B$2:$B$10000,$A41)</f>
        <v>0</v>
      </c>
      <c r="Q41">
        <f>SUMIFS(Fixed!Q$2:Q$10000,Fixed!$B$2:$B$10000,$A41)</f>
        <v>0</v>
      </c>
      <c r="R41">
        <f>SUMIFS(Fixed!R$2:R$10000,Fixed!$B$2:$B$10000,$A41)</f>
        <v>0</v>
      </c>
      <c r="S41">
        <f>SUMIFS(Fixed!S$2:S$10000,Fixed!$B$2:$B$10000,$A41)</f>
        <v>0</v>
      </c>
      <c r="T41">
        <f>SUMIFS(Fixed!T$2:T$10000,Fixed!$B$2:$B$10000,$A41)</f>
        <v>0</v>
      </c>
      <c r="U41">
        <f>SUMIFS(Fixed!U$2:U$10000,Fixed!$B$2:$B$10000,$A41)</f>
        <v>0</v>
      </c>
      <c r="V41">
        <f>SUMIFS(Fixed!V$2:V$10000,Fixed!$B$2:$B$10000,$A41)</f>
        <v>0</v>
      </c>
      <c r="W41">
        <f>SUMIFS(Fixed!W$2:W$10000,Fixed!$B$2:$B$10000,$A41)</f>
        <v>0</v>
      </c>
      <c r="X41">
        <f>SUMIFS(Fixed!X$2:X$10000,Fixed!$B$2:$B$10000,$A41)</f>
        <v>0</v>
      </c>
      <c r="Y41">
        <f>SUMIFS(Fixed!Y$2:Y$10000,Fixed!$B$2:$B$10000,$A41)</f>
        <v>0</v>
      </c>
      <c r="Z41">
        <f>SUMIFS(Fixed!Z$2:Z$10000,Fixed!$B$2:$B$10000,$A41)</f>
        <v>0</v>
      </c>
      <c r="AA41">
        <f>SUMIFS(Fixed!AA$2:AA$10000,Fixed!$B$2:$B$10000,$A41)</f>
        <v>0</v>
      </c>
      <c r="AB41">
        <f>SUMIFS(Fixed!AB$2:AB$10000,Fixed!$B$2:$B$10000,$A41)</f>
        <v>0</v>
      </c>
      <c r="AC41">
        <f>SUMIFS(Fixed!AC$2:AC$10000,Fixed!$B$2:$B$10000,$A41)</f>
        <v>0</v>
      </c>
      <c r="AD41">
        <f>SUMIFS(Fixed!AD$2:AD$10000,Fixed!$B$2:$B$10000,$A41)</f>
        <v>0</v>
      </c>
      <c r="AE41">
        <f>SUMIFS(Fixed!AE$2:AE$10000,Fixed!$B$2:$B$10000,$A41)</f>
        <v>0</v>
      </c>
      <c r="AF41">
        <f>SUMIFS(Fixed!AF$2:AF$10000,Fixed!$B$2:$B$10000,$A41)</f>
        <v>0</v>
      </c>
      <c r="AG41">
        <f>SUMIFS(Fixed!AG$2:AG$10000,Fixed!$B$2:$B$10000,$A41)</f>
        <v>0</v>
      </c>
    </row>
    <row r="42" spans="1:58">
      <c r="A42" t="s">
        <v>142</v>
      </c>
      <c r="C42">
        <f>SUMIFS(Fixed!C$2:C$10000,Fixed!$B$2:$B$10000,$A42)</f>
        <v>0</v>
      </c>
      <c r="D42">
        <f>SUMIFS(Fixed!D$2:D$10000,Fixed!$B$2:$B$10000,$A42)</f>
        <v>32.877000000000002</v>
      </c>
      <c r="E42">
        <f>SUMIFS(Fixed!E$2:E$10000,Fixed!$B$2:$B$10000,$A42)</f>
        <v>67.767499999999998</v>
      </c>
      <c r="F42">
        <f>SUMIFS(Fixed!F$2:F$10000,Fixed!$B$2:$B$10000,$A42)</f>
        <v>67.767499999999998</v>
      </c>
      <c r="G42">
        <f>SUMIFS(Fixed!G$2:G$10000,Fixed!$B$2:$B$10000,$A42)</f>
        <v>94.976100000000002</v>
      </c>
      <c r="H42">
        <f>SUMIFS(Fixed!H$2:H$10000,Fixed!$B$2:$B$10000,$A42)</f>
        <v>94.976100000000002</v>
      </c>
      <c r="I42">
        <f>SUMIFS(Fixed!I$2:I$10000,Fixed!$B$2:$B$10000,$A42)</f>
        <v>94.976100000000002</v>
      </c>
      <c r="J42">
        <f>SUMIFS(Fixed!J$2:J$10000,Fixed!$B$2:$B$10000,$A42)</f>
        <v>94.976100000000002</v>
      </c>
      <c r="K42">
        <f>SUMIFS(Fixed!K$2:K$10000,Fixed!$B$2:$B$10000,$A42)</f>
        <v>94.976100000000002</v>
      </c>
      <c r="L42">
        <f>SUMIFS(Fixed!L$2:L$10000,Fixed!$B$2:$B$10000,$A42)</f>
        <v>94.976100000000002</v>
      </c>
      <c r="M42">
        <f>SUMIFS(Fixed!M$2:M$10000,Fixed!$B$2:$B$10000,$A42)</f>
        <v>94.976100000000002</v>
      </c>
      <c r="N42">
        <f>SUMIFS(Fixed!N$2:N$10000,Fixed!$B$2:$B$10000,$A42)</f>
        <v>134.14699999999999</v>
      </c>
      <c r="O42">
        <f>SUMIFS(Fixed!O$2:O$10000,Fixed!$B$2:$B$10000,$A42)</f>
        <v>275.72579999999999</v>
      </c>
      <c r="P42">
        <f>SUMIFS(Fixed!P$2:P$10000,Fixed!$B$2:$B$10000,$A42)</f>
        <v>325.56650000000002</v>
      </c>
      <c r="Q42">
        <f>SUMIFS(Fixed!Q$2:Q$10000,Fixed!$B$2:$B$10000,$A42)</f>
        <v>375.40710000000001</v>
      </c>
      <c r="R42">
        <f>SUMIFS(Fixed!R$2:R$10000,Fixed!$B$2:$B$10000,$A42)</f>
        <v>425.24770000000001</v>
      </c>
      <c r="S42">
        <f>SUMIFS(Fixed!S$2:S$10000,Fixed!$B$2:$B$10000,$A42)</f>
        <v>520.41890000000001</v>
      </c>
      <c r="T42">
        <f>SUMIFS(Fixed!T$2:T$10000,Fixed!$B$2:$B$10000,$A42)</f>
        <v>580.94449999999995</v>
      </c>
      <c r="U42">
        <f>SUMIFS(Fixed!U$2:U$10000,Fixed!$B$2:$B$10000,$A42)</f>
        <v>671.90219999999999</v>
      </c>
      <c r="V42">
        <f>SUMIFS(Fixed!V$2:V$10000,Fixed!$B$2:$B$10000,$A42)</f>
        <v>760.09109999999998</v>
      </c>
      <c r="W42">
        <f>SUMIFS(Fixed!W$2:W$10000,Fixed!$B$2:$B$10000,$A42)</f>
        <v>760.09109999999998</v>
      </c>
      <c r="X42">
        <f>SUMIFS(Fixed!X$2:X$10000,Fixed!$B$2:$B$10000,$A42)</f>
        <v>786.99969999999996</v>
      </c>
      <c r="Y42">
        <f>SUMIFS(Fixed!Y$2:Y$10000,Fixed!$B$2:$B$10000,$A42)</f>
        <v>841.98</v>
      </c>
      <c r="Z42">
        <f>SUMIFS(Fixed!Z$2:Z$10000,Fixed!$B$2:$B$10000,$A42)</f>
        <v>897.08219999999994</v>
      </c>
      <c r="AA42">
        <f>SUMIFS(Fixed!AA$2:AA$10000,Fixed!$B$2:$B$10000,$A42)</f>
        <v>952.2989</v>
      </c>
      <c r="AB42">
        <f>SUMIFS(Fixed!AB$2:AB$10000,Fixed!$B$2:$B$10000,$A42)</f>
        <v>1009.2077</v>
      </c>
      <c r="AC42">
        <f>SUMIFS(Fixed!AC$2:AC$10000,Fixed!$B$2:$B$10000,$A42)</f>
        <v>1080.7456999999999</v>
      </c>
      <c r="AD42">
        <f>SUMIFS(Fixed!AD$2:AD$10000,Fixed!$B$2:$B$10000,$A42)</f>
        <v>1138.3050000000001</v>
      </c>
      <c r="AE42">
        <f>SUMIFS(Fixed!AE$2:AE$10000,Fixed!$B$2:$B$10000,$A42)</f>
        <v>1190.5423000000001</v>
      </c>
      <c r="AF42">
        <f>SUMIFS(Fixed!AF$2:AF$10000,Fixed!$B$2:$B$10000,$A42)</f>
        <v>1189.1914999999999</v>
      </c>
      <c r="AG42">
        <f>SUMIFS(Fixed!AG$2:AG$10000,Fixed!$B$2:$B$10000,$A42)</f>
        <v>1189.1914999999999</v>
      </c>
    </row>
    <row r="43" spans="1:58">
      <c r="A43" t="s">
        <v>143</v>
      </c>
      <c r="C43">
        <f>SUMIFS(Fixed!C$2:C$10000,Fixed!$B$2:$B$10000,$A43)</f>
        <v>0</v>
      </c>
      <c r="D43">
        <f>SUMIFS(Fixed!D$2:D$10000,Fixed!$B$2:$B$10000,$A43)</f>
        <v>0</v>
      </c>
      <c r="E43">
        <f>SUMIFS(Fixed!E$2:E$10000,Fixed!$B$2:$B$10000,$A43)</f>
        <v>0</v>
      </c>
      <c r="F43">
        <f>SUMIFS(Fixed!F$2:F$10000,Fixed!$B$2:$B$10000,$A43)</f>
        <v>0</v>
      </c>
      <c r="G43">
        <f>SUMIFS(Fixed!G$2:G$10000,Fixed!$B$2:$B$10000,$A43)</f>
        <v>0</v>
      </c>
      <c r="H43">
        <f>SUMIFS(Fixed!H$2:H$10000,Fixed!$B$2:$B$10000,$A43)</f>
        <v>0</v>
      </c>
      <c r="I43">
        <f>SUMIFS(Fixed!I$2:I$10000,Fixed!$B$2:$B$10000,$A43)</f>
        <v>0</v>
      </c>
      <c r="J43">
        <f>SUMIFS(Fixed!J$2:J$10000,Fixed!$B$2:$B$10000,$A43)</f>
        <v>0</v>
      </c>
      <c r="K43">
        <f>SUMIFS(Fixed!K$2:K$10000,Fixed!$B$2:$B$10000,$A43)</f>
        <v>0</v>
      </c>
      <c r="L43">
        <f>SUMIFS(Fixed!L$2:L$10000,Fixed!$B$2:$B$10000,$A43)</f>
        <v>0</v>
      </c>
      <c r="M43">
        <f>SUMIFS(Fixed!M$2:M$10000,Fixed!$B$2:$B$10000,$A43)</f>
        <v>0</v>
      </c>
      <c r="N43">
        <f>SUMIFS(Fixed!N$2:N$10000,Fixed!$B$2:$B$10000,$A43)</f>
        <v>0</v>
      </c>
      <c r="O43">
        <f>SUMIFS(Fixed!O$2:O$10000,Fixed!$B$2:$B$10000,$A43)</f>
        <v>0</v>
      </c>
      <c r="P43">
        <f>SUMIFS(Fixed!P$2:P$10000,Fixed!$B$2:$B$10000,$A43)</f>
        <v>0</v>
      </c>
      <c r="Q43">
        <f>SUMIFS(Fixed!Q$2:Q$10000,Fixed!$B$2:$B$10000,$A43)</f>
        <v>0</v>
      </c>
      <c r="R43">
        <f>SUMIFS(Fixed!R$2:R$10000,Fixed!$B$2:$B$10000,$A43)</f>
        <v>0</v>
      </c>
      <c r="S43">
        <f>SUMIFS(Fixed!S$2:S$10000,Fixed!$B$2:$B$10000,$A43)</f>
        <v>0</v>
      </c>
      <c r="T43">
        <f>SUMIFS(Fixed!T$2:T$10000,Fixed!$B$2:$B$10000,$A43)</f>
        <v>0</v>
      </c>
      <c r="U43">
        <f>SUMIFS(Fixed!U$2:U$10000,Fixed!$B$2:$B$10000,$A43)</f>
        <v>0</v>
      </c>
      <c r="V43">
        <f>SUMIFS(Fixed!V$2:V$10000,Fixed!$B$2:$B$10000,$A43)</f>
        <v>0</v>
      </c>
      <c r="W43">
        <f>SUMIFS(Fixed!W$2:W$10000,Fixed!$B$2:$B$10000,$A43)</f>
        <v>0</v>
      </c>
      <c r="X43">
        <f>SUMIFS(Fixed!X$2:X$10000,Fixed!$B$2:$B$10000,$A43)</f>
        <v>0</v>
      </c>
      <c r="Y43">
        <f>SUMIFS(Fixed!Y$2:Y$10000,Fixed!$B$2:$B$10000,$A43)</f>
        <v>0</v>
      </c>
      <c r="Z43">
        <f>SUMIFS(Fixed!Z$2:Z$10000,Fixed!$B$2:$B$10000,$A43)</f>
        <v>0</v>
      </c>
      <c r="AA43">
        <f>SUMIFS(Fixed!AA$2:AA$10000,Fixed!$B$2:$B$10000,$A43)</f>
        <v>0</v>
      </c>
      <c r="AB43">
        <f>SUMIFS(Fixed!AB$2:AB$10000,Fixed!$B$2:$B$10000,$A43)</f>
        <v>0</v>
      </c>
      <c r="AC43">
        <f>SUMIFS(Fixed!AC$2:AC$10000,Fixed!$B$2:$B$10000,$A43)</f>
        <v>0</v>
      </c>
      <c r="AD43">
        <f>SUMIFS(Fixed!AD$2:AD$10000,Fixed!$B$2:$B$10000,$A43)</f>
        <v>0</v>
      </c>
      <c r="AE43">
        <f>SUMIFS(Fixed!AE$2:AE$10000,Fixed!$B$2:$B$10000,$A43)</f>
        <v>0</v>
      </c>
      <c r="AF43">
        <f>SUMIFS(Fixed!AF$2:AF$10000,Fixed!$B$2:$B$10000,$A43)</f>
        <v>0</v>
      </c>
      <c r="AG43">
        <f>SUMIFS(Fixed!AG$2:AG$10000,Fixed!$B$2:$B$10000,$A43)</f>
        <v>0</v>
      </c>
    </row>
    <row r="44" spans="1:58">
      <c r="A44" t="s">
        <v>144</v>
      </c>
      <c r="C44">
        <f>SUMIFS(Fixed!C$2:C$10000,Fixed!$B$2:$B$10000,$A44)</f>
        <v>0</v>
      </c>
      <c r="D44">
        <f>SUMIFS(Fixed!D$2:D$10000,Fixed!$B$2:$B$10000,$A44)</f>
        <v>0</v>
      </c>
      <c r="E44">
        <f>SUMIFS(Fixed!E$2:E$10000,Fixed!$B$2:$B$10000,$A44)</f>
        <v>0</v>
      </c>
      <c r="F44">
        <f>SUMIFS(Fixed!F$2:F$10000,Fixed!$B$2:$B$10000,$A44)</f>
        <v>0</v>
      </c>
      <c r="G44">
        <f>SUMIFS(Fixed!G$2:G$10000,Fixed!$B$2:$B$10000,$A44)</f>
        <v>0</v>
      </c>
      <c r="H44">
        <f>SUMIFS(Fixed!H$2:H$10000,Fixed!$B$2:$B$10000,$A44)</f>
        <v>0</v>
      </c>
      <c r="I44">
        <f>SUMIFS(Fixed!I$2:I$10000,Fixed!$B$2:$B$10000,$A44)</f>
        <v>0</v>
      </c>
      <c r="J44">
        <f>SUMIFS(Fixed!J$2:J$10000,Fixed!$B$2:$B$10000,$A44)</f>
        <v>0</v>
      </c>
      <c r="K44">
        <f>SUMIFS(Fixed!K$2:K$10000,Fixed!$B$2:$B$10000,$A44)</f>
        <v>0</v>
      </c>
      <c r="L44">
        <f>SUMIFS(Fixed!L$2:L$10000,Fixed!$B$2:$B$10000,$A44)</f>
        <v>0</v>
      </c>
      <c r="M44">
        <f>SUMIFS(Fixed!M$2:M$10000,Fixed!$B$2:$B$10000,$A44)</f>
        <v>0</v>
      </c>
      <c r="N44">
        <f>SUMIFS(Fixed!N$2:N$10000,Fixed!$B$2:$B$10000,$A44)</f>
        <v>0</v>
      </c>
      <c r="O44">
        <f>SUMIFS(Fixed!O$2:O$10000,Fixed!$B$2:$B$10000,$A44)</f>
        <v>0</v>
      </c>
      <c r="P44">
        <f>SUMIFS(Fixed!P$2:P$10000,Fixed!$B$2:$B$10000,$A44)</f>
        <v>0</v>
      </c>
      <c r="Q44">
        <f>SUMIFS(Fixed!Q$2:Q$10000,Fixed!$B$2:$B$10000,$A44)</f>
        <v>0</v>
      </c>
      <c r="R44">
        <f>SUMIFS(Fixed!R$2:R$10000,Fixed!$B$2:$B$10000,$A44)</f>
        <v>0</v>
      </c>
      <c r="S44">
        <f>SUMIFS(Fixed!S$2:S$10000,Fixed!$B$2:$B$10000,$A44)</f>
        <v>0</v>
      </c>
      <c r="T44">
        <f>SUMIFS(Fixed!T$2:T$10000,Fixed!$B$2:$B$10000,$A44)</f>
        <v>0</v>
      </c>
      <c r="U44">
        <f>SUMIFS(Fixed!U$2:U$10000,Fixed!$B$2:$B$10000,$A44)</f>
        <v>0</v>
      </c>
      <c r="V44">
        <f>SUMIFS(Fixed!V$2:V$10000,Fixed!$B$2:$B$10000,$A44)</f>
        <v>0</v>
      </c>
      <c r="W44">
        <f>SUMIFS(Fixed!W$2:W$10000,Fixed!$B$2:$B$10000,$A44)</f>
        <v>0</v>
      </c>
      <c r="X44">
        <f>SUMIFS(Fixed!X$2:X$10000,Fixed!$B$2:$B$10000,$A44)</f>
        <v>0</v>
      </c>
      <c r="Y44">
        <f>SUMIFS(Fixed!Y$2:Y$10000,Fixed!$B$2:$B$10000,$A44)</f>
        <v>0</v>
      </c>
      <c r="Z44">
        <f>SUMIFS(Fixed!Z$2:Z$10000,Fixed!$B$2:$B$10000,$A44)</f>
        <v>0</v>
      </c>
      <c r="AA44">
        <f>SUMIFS(Fixed!AA$2:AA$10000,Fixed!$B$2:$B$10000,$A44)</f>
        <v>0</v>
      </c>
      <c r="AB44">
        <f>SUMIFS(Fixed!AB$2:AB$10000,Fixed!$B$2:$B$10000,$A44)</f>
        <v>0</v>
      </c>
      <c r="AC44">
        <f>SUMIFS(Fixed!AC$2:AC$10000,Fixed!$B$2:$B$10000,$A44)</f>
        <v>0</v>
      </c>
      <c r="AD44">
        <f>SUMIFS(Fixed!AD$2:AD$10000,Fixed!$B$2:$B$10000,$A44)</f>
        <v>0</v>
      </c>
      <c r="AE44">
        <f>SUMIFS(Fixed!AE$2:AE$10000,Fixed!$B$2:$B$10000,$A44)</f>
        <v>0</v>
      </c>
      <c r="AF44">
        <f>SUMIFS(Fixed!AF$2:AF$10000,Fixed!$B$2:$B$10000,$A44)</f>
        <v>0</v>
      </c>
      <c r="AG44">
        <f>SUMIFS(Fixed!AG$2:AG$10000,Fixed!$B$2:$B$10000,$A44)</f>
        <v>0</v>
      </c>
    </row>
    <row r="45" spans="1:58">
      <c r="A45" t="s">
        <v>145</v>
      </c>
      <c r="C45">
        <f>SUMIFS(Fixed!C$2:C$10000,Fixed!$B$2:$B$10000,$A45)</f>
        <v>191.6825</v>
      </c>
      <c r="D45">
        <f>SUMIFS(Fixed!D$2:D$10000,Fixed!$B$2:$B$10000,$A45)</f>
        <v>287.16730000000001</v>
      </c>
      <c r="E45">
        <f>SUMIFS(Fixed!E$2:E$10000,Fixed!$B$2:$B$10000,$A45)</f>
        <v>287.76159999999999</v>
      </c>
      <c r="F45">
        <f>SUMIFS(Fixed!F$2:F$10000,Fixed!$B$2:$B$10000,$A45)</f>
        <v>289.51089999999999</v>
      </c>
      <c r="G45">
        <f>SUMIFS(Fixed!G$2:G$10000,Fixed!$B$2:$B$10000,$A45)</f>
        <v>290.82659999999998</v>
      </c>
      <c r="H45">
        <f>SUMIFS(Fixed!H$2:H$10000,Fixed!$B$2:$B$10000,$A45)</f>
        <v>290.82659999999998</v>
      </c>
      <c r="I45">
        <f>SUMIFS(Fixed!I$2:I$10000,Fixed!$B$2:$B$10000,$A45)</f>
        <v>290.82659999999998</v>
      </c>
      <c r="J45">
        <f>SUMIFS(Fixed!J$2:J$10000,Fixed!$B$2:$B$10000,$A45)</f>
        <v>290.82659999999998</v>
      </c>
      <c r="K45">
        <f>SUMIFS(Fixed!K$2:K$10000,Fixed!$B$2:$B$10000,$A45)</f>
        <v>290.82659999999998</v>
      </c>
      <c r="L45">
        <f>SUMIFS(Fixed!L$2:L$10000,Fixed!$B$2:$B$10000,$A45)</f>
        <v>290.82659999999998</v>
      </c>
      <c r="M45">
        <f>SUMIFS(Fixed!M$2:M$10000,Fixed!$B$2:$B$10000,$A45)</f>
        <v>290.82659999999998</v>
      </c>
      <c r="N45">
        <f>SUMIFS(Fixed!N$2:N$10000,Fixed!$B$2:$B$10000,$A45)</f>
        <v>290.82659999999998</v>
      </c>
      <c r="O45">
        <f>SUMIFS(Fixed!O$2:O$10000,Fixed!$B$2:$B$10000,$A45)</f>
        <v>290.82659999999998</v>
      </c>
      <c r="P45">
        <f>SUMIFS(Fixed!P$2:P$10000,Fixed!$B$2:$B$10000,$A45)</f>
        <v>290.82659999999998</v>
      </c>
      <c r="Q45">
        <f>SUMIFS(Fixed!Q$2:Q$10000,Fixed!$B$2:$B$10000,$A45)</f>
        <v>290.82659999999998</v>
      </c>
      <c r="R45">
        <f>SUMIFS(Fixed!R$2:R$10000,Fixed!$B$2:$B$10000,$A45)</f>
        <v>290.82659999999998</v>
      </c>
      <c r="S45">
        <f>SUMIFS(Fixed!S$2:S$10000,Fixed!$B$2:$B$10000,$A45)</f>
        <v>290.82659999999998</v>
      </c>
      <c r="T45">
        <f>SUMIFS(Fixed!T$2:T$10000,Fixed!$B$2:$B$10000,$A45)</f>
        <v>290.82659999999998</v>
      </c>
      <c r="U45">
        <f>SUMIFS(Fixed!U$2:U$10000,Fixed!$B$2:$B$10000,$A45)</f>
        <v>290.82659999999998</v>
      </c>
      <c r="V45">
        <f>SUMIFS(Fixed!V$2:V$10000,Fixed!$B$2:$B$10000,$A45)</f>
        <v>290.82659999999998</v>
      </c>
      <c r="W45">
        <f>SUMIFS(Fixed!W$2:W$10000,Fixed!$B$2:$B$10000,$A45)</f>
        <v>290.82659999999998</v>
      </c>
      <c r="X45">
        <f>SUMIFS(Fixed!X$2:X$10000,Fixed!$B$2:$B$10000,$A45)</f>
        <v>290.82659999999998</v>
      </c>
      <c r="Y45">
        <f>SUMIFS(Fixed!Y$2:Y$10000,Fixed!$B$2:$B$10000,$A45)</f>
        <v>290.82659999999998</v>
      </c>
      <c r="Z45">
        <f>SUMIFS(Fixed!Z$2:Z$10000,Fixed!$B$2:$B$10000,$A45)</f>
        <v>290.82659999999998</v>
      </c>
      <c r="AA45">
        <f>SUMIFS(Fixed!AA$2:AA$10000,Fixed!$B$2:$B$10000,$A45)</f>
        <v>290.82659999999998</v>
      </c>
      <c r="AB45">
        <f>SUMIFS(Fixed!AB$2:AB$10000,Fixed!$B$2:$B$10000,$A45)</f>
        <v>290.82659999999998</v>
      </c>
      <c r="AC45">
        <f>SUMIFS(Fixed!AC$2:AC$10000,Fixed!$B$2:$B$10000,$A45)</f>
        <v>290.82659999999998</v>
      </c>
      <c r="AD45">
        <f>SUMIFS(Fixed!AD$2:AD$10000,Fixed!$B$2:$B$10000,$A45)</f>
        <v>289.9744</v>
      </c>
      <c r="AE45">
        <f>SUMIFS(Fixed!AE$2:AE$10000,Fixed!$B$2:$B$10000,$A45)</f>
        <v>289.9744</v>
      </c>
      <c r="AF45">
        <f>SUMIFS(Fixed!AF$2:AF$10000,Fixed!$B$2:$B$10000,$A45)</f>
        <v>289.9744</v>
      </c>
      <c r="AG45">
        <f>SUMIFS(Fixed!AG$2:AG$10000,Fixed!$B$2:$B$10000,$A45)</f>
        <v>289.9744</v>
      </c>
    </row>
    <row r="46" spans="1:58">
      <c r="A46" t="s">
        <v>146</v>
      </c>
      <c r="C46">
        <f>SUMIFS(Fixed!C$2:C$10000,Fixed!$B$2:$B$10000,$A46)</f>
        <v>0</v>
      </c>
      <c r="D46">
        <f>SUMIFS(Fixed!D$2:D$10000,Fixed!$B$2:$B$10000,$A46)</f>
        <v>0</v>
      </c>
      <c r="E46">
        <f>SUMIFS(Fixed!E$2:E$10000,Fixed!$B$2:$B$10000,$A46)</f>
        <v>0</v>
      </c>
      <c r="F46">
        <f>SUMIFS(Fixed!F$2:F$10000,Fixed!$B$2:$B$10000,$A46)</f>
        <v>0</v>
      </c>
      <c r="G46">
        <f>SUMIFS(Fixed!G$2:G$10000,Fixed!$B$2:$B$10000,$A46)</f>
        <v>0</v>
      </c>
      <c r="H46">
        <f>SUMIFS(Fixed!H$2:H$10000,Fixed!$B$2:$B$10000,$A46)</f>
        <v>19.019200000000001</v>
      </c>
      <c r="I46">
        <f>SUMIFS(Fixed!I$2:I$10000,Fixed!$B$2:$B$10000,$A46)</f>
        <v>19.019200000000001</v>
      </c>
      <c r="J46">
        <f>SUMIFS(Fixed!J$2:J$10000,Fixed!$B$2:$B$10000,$A46)</f>
        <v>19.019200000000001</v>
      </c>
      <c r="K46">
        <f>SUMIFS(Fixed!K$2:K$10000,Fixed!$B$2:$B$10000,$A46)</f>
        <v>19.019200000000001</v>
      </c>
      <c r="L46">
        <f>SUMIFS(Fixed!L$2:L$10000,Fixed!$B$2:$B$10000,$A46)</f>
        <v>19.019200000000001</v>
      </c>
      <c r="M46">
        <f>SUMIFS(Fixed!M$2:M$10000,Fixed!$B$2:$B$10000,$A46)</f>
        <v>19.019200000000001</v>
      </c>
      <c r="N46">
        <f>SUMIFS(Fixed!N$2:N$10000,Fixed!$B$2:$B$10000,$A46)</f>
        <v>19.019200000000001</v>
      </c>
      <c r="O46">
        <f>SUMIFS(Fixed!O$2:O$10000,Fixed!$B$2:$B$10000,$A46)</f>
        <v>19.019200000000001</v>
      </c>
      <c r="P46">
        <f>SUMIFS(Fixed!P$2:P$10000,Fixed!$B$2:$B$10000,$A46)</f>
        <v>19.019200000000001</v>
      </c>
      <c r="Q46">
        <f>SUMIFS(Fixed!Q$2:Q$10000,Fixed!$B$2:$B$10000,$A46)</f>
        <v>19.019200000000001</v>
      </c>
      <c r="R46">
        <f>SUMIFS(Fixed!R$2:R$10000,Fixed!$B$2:$B$10000,$A46)</f>
        <v>19.019200000000001</v>
      </c>
      <c r="S46">
        <f>SUMIFS(Fixed!S$2:S$10000,Fixed!$B$2:$B$10000,$A46)</f>
        <v>19.019200000000001</v>
      </c>
      <c r="T46">
        <f>SUMIFS(Fixed!T$2:T$10000,Fixed!$B$2:$B$10000,$A46)</f>
        <v>19.019200000000001</v>
      </c>
      <c r="U46">
        <f>SUMIFS(Fixed!U$2:U$10000,Fixed!$B$2:$B$10000,$A46)</f>
        <v>19.732800000000001</v>
      </c>
      <c r="V46">
        <f>SUMIFS(Fixed!V$2:V$10000,Fixed!$B$2:$B$10000,$A46)</f>
        <v>35.843400000000003</v>
      </c>
      <c r="W46">
        <f>SUMIFS(Fixed!W$2:W$10000,Fixed!$B$2:$B$10000,$A46)</f>
        <v>67.281800000000004</v>
      </c>
      <c r="X46">
        <f>SUMIFS(Fixed!X$2:X$10000,Fixed!$B$2:$B$10000,$A46)</f>
        <v>82.504000000000005</v>
      </c>
      <c r="Y46">
        <f>SUMIFS(Fixed!Y$2:Y$10000,Fixed!$B$2:$B$10000,$A46)</f>
        <v>86.588800000000006</v>
      </c>
      <c r="Z46">
        <f>SUMIFS(Fixed!Z$2:Z$10000,Fixed!$B$2:$B$10000,$A46)</f>
        <v>90.328800000000001</v>
      </c>
      <c r="AA46">
        <f>SUMIFS(Fixed!AA$2:AA$10000,Fixed!$B$2:$B$10000,$A46)</f>
        <v>95.480099999999993</v>
      </c>
      <c r="AB46">
        <f>SUMIFS(Fixed!AB$2:AB$10000,Fixed!$B$2:$B$10000,$A46)</f>
        <v>100.93129999999999</v>
      </c>
      <c r="AC46">
        <f>SUMIFS(Fixed!AC$2:AC$10000,Fixed!$B$2:$B$10000,$A46)</f>
        <v>118.71</v>
      </c>
      <c r="AD46">
        <f>SUMIFS(Fixed!AD$2:AD$10000,Fixed!$B$2:$B$10000,$A46)</f>
        <v>124.063</v>
      </c>
      <c r="AE46">
        <f>SUMIFS(Fixed!AE$2:AE$10000,Fixed!$B$2:$B$10000,$A46)</f>
        <v>132.02699999999999</v>
      </c>
      <c r="AF46">
        <f>SUMIFS(Fixed!AF$2:AF$10000,Fixed!$B$2:$B$10000,$A46)</f>
        <v>166.25550000000001</v>
      </c>
      <c r="AG46">
        <f>SUMIFS(Fixed!AG$2:AG$10000,Fixed!$B$2:$B$10000,$A46)</f>
        <v>221.87620000000001</v>
      </c>
    </row>
    <row r="47" spans="1:58">
      <c r="A47" t="s">
        <v>147</v>
      </c>
      <c r="C47">
        <f>SUMIFS(Fixed!C$2:C$10000,Fixed!$B$2:$B$10000,$A47)</f>
        <v>0</v>
      </c>
      <c r="D47">
        <f>SUMIFS(Fixed!D$2:D$10000,Fixed!$B$2:$B$10000,$A47)</f>
        <v>0</v>
      </c>
      <c r="E47">
        <f>SUMIFS(Fixed!E$2:E$10000,Fixed!$B$2:$B$10000,$A47)</f>
        <v>0</v>
      </c>
      <c r="F47">
        <f>SUMIFS(Fixed!F$2:F$10000,Fixed!$B$2:$B$10000,$A47)</f>
        <v>0</v>
      </c>
      <c r="G47">
        <f>SUMIFS(Fixed!G$2:G$10000,Fixed!$B$2:$B$10000,$A47)</f>
        <v>0</v>
      </c>
      <c r="H47">
        <f>SUMIFS(Fixed!H$2:H$10000,Fixed!$B$2:$B$10000,$A47)</f>
        <v>0</v>
      </c>
      <c r="I47">
        <f>SUMIFS(Fixed!I$2:I$10000,Fixed!$B$2:$B$10000,$A47)</f>
        <v>0</v>
      </c>
      <c r="J47">
        <f>SUMIFS(Fixed!J$2:J$10000,Fixed!$B$2:$B$10000,$A47)</f>
        <v>0</v>
      </c>
      <c r="K47">
        <f>SUMIFS(Fixed!K$2:K$10000,Fixed!$B$2:$B$10000,$A47)</f>
        <v>0</v>
      </c>
      <c r="L47">
        <f>SUMIFS(Fixed!L$2:L$10000,Fixed!$B$2:$B$10000,$A47)</f>
        <v>0</v>
      </c>
      <c r="M47">
        <f>SUMIFS(Fixed!M$2:M$10000,Fixed!$B$2:$B$10000,$A47)</f>
        <v>0</v>
      </c>
      <c r="N47">
        <f>SUMIFS(Fixed!N$2:N$10000,Fixed!$B$2:$B$10000,$A47)</f>
        <v>0</v>
      </c>
      <c r="O47">
        <f>SUMIFS(Fixed!O$2:O$10000,Fixed!$B$2:$B$10000,$A47)</f>
        <v>0</v>
      </c>
      <c r="P47">
        <f>SUMIFS(Fixed!P$2:P$10000,Fixed!$B$2:$B$10000,$A47)</f>
        <v>0</v>
      </c>
      <c r="Q47">
        <f>SUMIFS(Fixed!Q$2:Q$10000,Fixed!$B$2:$B$10000,$A47)</f>
        <v>0</v>
      </c>
      <c r="R47">
        <f>SUMIFS(Fixed!R$2:R$10000,Fixed!$B$2:$B$10000,$A47)</f>
        <v>0</v>
      </c>
      <c r="S47">
        <f>SUMIFS(Fixed!S$2:S$10000,Fixed!$B$2:$B$10000,$A47)</f>
        <v>0</v>
      </c>
      <c r="T47">
        <f>SUMIFS(Fixed!T$2:T$10000,Fixed!$B$2:$B$10000,$A47)</f>
        <v>0</v>
      </c>
      <c r="U47">
        <f>SUMIFS(Fixed!U$2:U$10000,Fixed!$B$2:$B$10000,$A47)</f>
        <v>0</v>
      </c>
      <c r="V47">
        <f>SUMIFS(Fixed!V$2:V$10000,Fixed!$B$2:$B$10000,$A47)</f>
        <v>0</v>
      </c>
      <c r="W47">
        <f>SUMIFS(Fixed!W$2:W$10000,Fixed!$B$2:$B$10000,$A47)</f>
        <v>0</v>
      </c>
      <c r="X47">
        <f>SUMIFS(Fixed!X$2:X$10000,Fixed!$B$2:$B$10000,$A47)</f>
        <v>0</v>
      </c>
      <c r="Y47">
        <f>SUMIFS(Fixed!Y$2:Y$10000,Fixed!$B$2:$B$10000,$A47)</f>
        <v>0</v>
      </c>
      <c r="Z47">
        <f>SUMIFS(Fixed!Z$2:Z$10000,Fixed!$B$2:$B$10000,$A47)</f>
        <v>0</v>
      </c>
      <c r="AA47">
        <f>SUMIFS(Fixed!AA$2:AA$10000,Fixed!$B$2:$B$10000,$A47)</f>
        <v>0</v>
      </c>
      <c r="AB47">
        <f>SUMIFS(Fixed!AB$2:AB$10000,Fixed!$B$2:$B$10000,$A47)</f>
        <v>0</v>
      </c>
      <c r="AC47">
        <f>SUMIFS(Fixed!AC$2:AC$10000,Fixed!$B$2:$B$10000,$A47)</f>
        <v>0</v>
      </c>
      <c r="AD47">
        <f>SUMIFS(Fixed!AD$2:AD$10000,Fixed!$B$2:$B$10000,$A47)</f>
        <v>0</v>
      </c>
      <c r="AE47">
        <f>SUMIFS(Fixed!AE$2:AE$10000,Fixed!$B$2:$B$10000,$A47)</f>
        <v>0</v>
      </c>
      <c r="AF47">
        <f>SUMIFS(Fixed!AF$2:AF$10000,Fixed!$B$2:$B$10000,$A47)</f>
        <v>0</v>
      </c>
      <c r="AG47">
        <f>SUMIFS(Fixed!AG$2:AG$10000,Fixed!$B$2:$B$10000,$A47)</f>
        <v>0</v>
      </c>
    </row>
    <row r="48" spans="1:58">
      <c r="A48" t="s">
        <v>148</v>
      </c>
      <c r="C48">
        <f>SUMIFS(Fixed!C$2:C$10000,Fixed!$B$2:$B$10000,$A48)</f>
        <v>0</v>
      </c>
      <c r="D48">
        <f>SUMIFS(Fixed!D$2:D$10000,Fixed!$B$2:$B$10000,$A48)</f>
        <v>0</v>
      </c>
      <c r="E48">
        <f>SUMIFS(Fixed!E$2:E$10000,Fixed!$B$2:$B$10000,$A48)</f>
        <v>0</v>
      </c>
      <c r="F48">
        <f>SUMIFS(Fixed!F$2:F$10000,Fixed!$B$2:$B$10000,$A48)</f>
        <v>0</v>
      </c>
      <c r="G48">
        <f>SUMIFS(Fixed!G$2:G$10000,Fixed!$B$2:$B$10000,$A48)</f>
        <v>0</v>
      </c>
      <c r="H48">
        <f>SUMIFS(Fixed!H$2:H$10000,Fixed!$B$2:$B$10000,$A48)</f>
        <v>0</v>
      </c>
      <c r="I48">
        <f>SUMIFS(Fixed!I$2:I$10000,Fixed!$B$2:$B$10000,$A48)</f>
        <v>0</v>
      </c>
      <c r="J48">
        <f>SUMIFS(Fixed!J$2:J$10000,Fixed!$B$2:$B$10000,$A48)</f>
        <v>0</v>
      </c>
      <c r="K48">
        <f>SUMIFS(Fixed!K$2:K$10000,Fixed!$B$2:$B$10000,$A48)</f>
        <v>0</v>
      </c>
      <c r="L48">
        <f>SUMIFS(Fixed!L$2:L$10000,Fixed!$B$2:$B$10000,$A48)</f>
        <v>0</v>
      </c>
      <c r="M48">
        <f>SUMIFS(Fixed!M$2:M$10000,Fixed!$B$2:$B$10000,$A48)</f>
        <v>0</v>
      </c>
      <c r="N48">
        <f>SUMIFS(Fixed!N$2:N$10000,Fixed!$B$2:$B$10000,$A48)</f>
        <v>0</v>
      </c>
      <c r="O48">
        <f>SUMIFS(Fixed!O$2:O$10000,Fixed!$B$2:$B$10000,$A48)</f>
        <v>0</v>
      </c>
      <c r="P48">
        <f>SUMIFS(Fixed!P$2:P$10000,Fixed!$B$2:$B$10000,$A48)</f>
        <v>0</v>
      </c>
      <c r="Q48">
        <f>SUMIFS(Fixed!Q$2:Q$10000,Fixed!$B$2:$B$10000,$A48)</f>
        <v>0</v>
      </c>
      <c r="R48">
        <f>SUMIFS(Fixed!R$2:R$10000,Fixed!$B$2:$B$10000,$A48)</f>
        <v>0</v>
      </c>
      <c r="S48">
        <f>SUMIFS(Fixed!S$2:S$10000,Fixed!$B$2:$B$10000,$A48)</f>
        <v>0</v>
      </c>
      <c r="T48">
        <f>SUMIFS(Fixed!T$2:T$10000,Fixed!$B$2:$B$10000,$A48)</f>
        <v>0</v>
      </c>
      <c r="U48">
        <f>SUMIFS(Fixed!U$2:U$10000,Fixed!$B$2:$B$10000,$A48)</f>
        <v>0</v>
      </c>
      <c r="V48">
        <f>SUMIFS(Fixed!V$2:V$10000,Fixed!$B$2:$B$10000,$A48)</f>
        <v>0</v>
      </c>
      <c r="W48">
        <f>SUMIFS(Fixed!W$2:W$10000,Fixed!$B$2:$B$10000,$A48)</f>
        <v>0</v>
      </c>
      <c r="X48">
        <f>SUMIFS(Fixed!X$2:X$10000,Fixed!$B$2:$B$10000,$A48)</f>
        <v>0</v>
      </c>
      <c r="Y48">
        <f>SUMIFS(Fixed!Y$2:Y$10000,Fixed!$B$2:$B$10000,$A48)</f>
        <v>0</v>
      </c>
      <c r="Z48">
        <f>SUMIFS(Fixed!Z$2:Z$10000,Fixed!$B$2:$B$10000,$A48)</f>
        <v>0</v>
      </c>
      <c r="AA48">
        <f>SUMIFS(Fixed!AA$2:AA$10000,Fixed!$B$2:$B$10000,$A48)</f>
        <v>0</v>
      </c>
      <c r="AB48">
        <f>SUMIFS(Fixed!AB$2:AB$10000,Fixed!$B$2:$B$10000,$A48)</f>
        <v>0</v>
      </c>
      <c r="AC48">
        <f>SUMIFS(Fixed!AC$2:AC$10000,Fixed!$B$2:$B$10000,$A48)</f>
        <v>0</v>
      </c>
      <c r="AD48">
        <f>SUMIFS(Fixed!AD$2:AD$10000,Fixed!$B$2:$B$10000,$A48)</f>
        <v>0</v>
      </c>
      <c r="AE48">
        <f>SUMIFS(Fixed!AE$2:AE$10000,Fixed!$B$2:$B$10000,$A48)</f>
        <v>0</v>
      </c>
      <c r="AF48">
        <f>SUMIFS(Fixed!AF$2:AF$10000,Fixed!$B$2:$B$10000,$A48)</f>
        <v>0</v>
      </c>
      <c r="AG48">
        <f>SUMIFS(Fixed!AG$2:AG$10000,Fixed!$B$2:$B$10000,$A48)</f>
        <v>0</v>
      </c>
    </row>
    <row r="49" spans="1:58">
      <c r="A49" t="s">
        <v>149</v>
      </c>
      <c r="C49">
        <f>SUMIFS(Fixed!C$2:C$10000,Fixed!$B$2:$B$10000,$A49)</f>
        <v>0</v>
      </c>
      <c r="D49">
        <f>SUMIFS(Fixed!D$2:D$10000,Fixed!$B$2:$B$10000,$A49)</f>
        <v>0</v>
      </c>
      <c r="E49">
        <f>SUMIFS(Fixed!E$2:E$10000,Fixed!$B$2:$B$10000,$A49)</f>
        <v>0</v>
      </c>
      <c r="F49">
        <f>SUMIFS(Fixed!F$2:F$10000,Fixed!$B$2:$B$10000,$A49)</f>
        <v>0</v>
      </c>
      <c r="G49">
        <f>SUMIFS(Fixed!G$2:G$10000,Fixed!$B$2:$B$10000,$A49)</f>
        <v>0</v>
      </c>
      <c r="H49">
        <f>SUMIFS(Fixed!H$2:H$10000,Fixed!$B$2:$B$10000,$A49)</f>
        <v>0</v>
      </c>
      <c r="I49">
        <f>SUMIFS(Fixed!I$2:I$10000,Fixed!$B$2:$B$10000,$A49)</f>
        <v>0</v>
      </c>
      <c r="J49">
        <f>SUMIFS(Fixed!J$2:J$10000,Fixed!$B$2:$B$10000,$A49)</f>
        <v>0</v>
      </c>
      <c r="K49">
        <f>SUMIFS(Fixed!K$2:K$10000,Fixed!$B$2:$B$10000,$A49)</f>
        <v>0</v>
      </c>
      <c r="L49">
        <f>SUMIFS(Fixed!L$2:L$10000,Fixed!$B$2:$B$10000,$A49)</f>
        <v>0</v>
      </c>
      <c r="M49">
        <f>SUMIFS(Fixed!M$2:M$10000,Fixed!$B$2:$B$10000,$A49)</f>
        <v>0</v>
      </c>
      <c r="N49">
        <f>SUMIFS(Fixed!N$2:N$10000,Fixed!$B$2:$B$10000,$A49)</f>
        <v>0</v>
      </c>
      <c r="O49">
        <f>SUMIFS(Fixed!O$2:O$10000,Fixed!$B$2:$B$10000,$A49)</f>
        <v>0</v>
      </c>
      <c r="P49">
        <f>SUMIFS(Fixed!P$2:P$10000,Fixed!$B$2:$B$10000,$A49)</f>
        <v>0</v>
      </c>
      <c r="Q49">
        <f>SUMIFS(Fixed!Q$2:Q$10000,Fixed!$B$2:$B$10000,$A49)</f>
        <v>0</v>
      </c>
      <c r="R49">
        <f>SUMIFS(Fixed!R$2:R$10000,Fixed!$B$2:$B$10000,$A49)</f>
        <v>0</v>
      </c>
      <c r="S49">
        <f>SUMIFS(Fixed!S$2:S$10000,Fixed!$B$2:$B$10000,$A49)</f>
        <v>0</v>
      </c>
      <c r="T49">
        <f>SUMIFS(Fixed!T$2:T$10000,Fixed!$B$2:$B$10000,$A49)</f>
        <v>0</v>
      </c>
      <c r="U49">
        <f>SUMIFS(Fixed!U$2:U$10000,Fixed!$B$2:$B$10000,$A49)</f>
        <v>0</v>
      </c>
      <c r="V49">
        <f>SUMIFS(Fixed!V$2:V$10000,Fixed!$B$2:$B$10000,$A49)</f>
        <v>0</v>
      </c>
      <c r="W49">
        <f>SUMIFS(Fixed!W$2:W$10000,Fixed!$B$2:$B$10000,$A49)</f>
        <v>0</v>
      </c>
      <c r="X49">
        <f>SUMIFS(Fixed!X$2:X$10000,Fixed!$B$2:$B$10000,$A49)</f>
        <v>0</v>
      </c>
      <c r="Y49">
        <f>SUMIFS(Fixed!Y$2:Y$10000,Fixed!$B$2:$B$10000,$A49)</f>
        <v>0</v>
      </c>
      <c r="Z49">
        <f>SUMIFS(Fixed!Z$2:Z$10000,Fixed!$B$2:$B$10000,$A49)</f>
        <v>0</v>
      </c>
      <c r="AA49">
        <f>SUMIFS(Fixed!AA$2:AA$10000,Fixed!$B$2:$B$10000,$A49)</f>
        <v>0</v>
      </c>
      <c r="AB49">
        <f>SUMIFS(Fixed!AB$2:AB$10000,Fixed!$B$2:$B$10000,$A49)</f>
        <v>0</v>
      </c>
      <c r="AC49">
        <f>SUMIFS(Fixed!AC$2:AC$10000,Fixed!$B$2:$B$10000,$A49)</f>
        <v>0</v>
      </c>
      <c r="AD49">
        <f>SUMIFS(Fixed!AD$2:AD$10000,Fixed!$B$2:$B$10000,$A49)</f>
        <v>0</v>
      </c>
      <c r="AE49">
        <f>SUMIFS(Fixed!AE$2:AE$10000,Fixed!$B$2:$B$10000,$A49)</f>
        <v>0</v>
      </c>
      <c r="AF49">
        <f>SUMIFS(Fixed!AF$2:AF$10000,Fixed!$B$2:$B$10000,$A49)</f>
        <v>0</v>
      </c>
      <c r="AG49">
        <f>SUMIFS(Fixed!AG$2:AG$10000,Fixed!$B$2:$B$10000,$A49)</f>
        <v>0</v>
      </c>
    </row>
    <row r="50" spans="1:58">
      <c r="A50" t="s">
        <v>150</v>
      </c>
      <c r="C50">
        <f>SUMIFS(Fixed!C$2:C$10000,Fixed!$B$2:$B$10000,$A50)</f>
        <v>13.207800000000001</v>
      </c>
      <c r="D50">
        <f>SUMIFS(Fixed!D$2:D$10000,Fixed!$B$2:$B$10000,$A50)</f>
        <v>16.7087</v>
      </c>
      <c r="E50">
        <f>SUMIFS(Fixed!E$2:E$10000,Fixed!$B$2:$B$10000,$A50)</f>
        <v>19.970800000000001</v>
      </c>
      <c r="F50">
        <f>SUMIFS(Fixed!F$2:F$10000,Fixed!$B$2:$B$10000,$A50)</f>
        <v>21.1633</v>
      </c>
      <c r="G50">
        <f>SUMIFS(Fixed!G$2:G$10000,Fixed!$B$2:$B$10000,$A50)</f>
        <v>32.324399999999997</v>
      </c>
      <c r="H50">
        <f>SUMIFS(Fixed!H$2:H$10000,Fixed!$B$2:$B$10000,$A50)</f>
        <v>34.373399999999997</v>
      </c>
      <c r="I50">
        <f>SUMIFS(Fixed!I$2:I$10000,Fixed!$B$2:$B$10000,$A50)</f>
        <v>33.238199999999999</v>
      </c>
      <c r="J50">
        <f>SUMIFS(Fixed!J$2:J$10000,Fixed!$B$2:$B$10000,$A50)</f>
        <v>32.183300000000003</v>
      </c>
      <c r="K50">
        <f>SUMIFS(Fixed!K$2:K$10000,Fixed!$B$2:$B$10000,$A50)</f>
        <v>31.201899999999998</v>
      </c>
      <c r="L50">
        <f>SUMIFS(Fixed!L$2:L$10000,Fixed!$B$2:$B$10000,$A50)</f>
        <v>30.287800000000001</v>
      </c>
      <c r="M50">
        <f>SUMIFS(Fixed!M$2:M$10000,Fixed!$B$2:$B$10000,$A50)</f>
        <v>103.5484</v>
      </c>
      <c r="N50">
        <f>SUMIFS(Fixed!N$2:N$10000,Fixed!$B$2:$B$10000,$A50)</f>
        <v>102.03879999999999</v>
      </c>
      <c r="O50">
        <f>SUMIFS(Fixed!O$2:O$10000,Fixed!$B$2:$B$10000,$A50)</f>
        <v>100.52930000000001</v>
      </c>
      <c r="P50">
        <f>SUMIFS(Fixed!P$2:P$10000,Fixed!$B$2:$B$10000,$A50)</f>
        <v>99.034899999999993</v>
      </c>
      <c r="Q50">
        <f>SUMIFS(Fixed!Q$2:Q$10000,Fixed!$B$2:$B$10000,$A50)</f>
        <v>97.832899999999995</v>
      </c>
      <c r="R50">
        <f>SUMIFS(Fixed!R$2:R$10000,Fixed!$B$2:$B$10000,$A50)</f>
        <v>96.398499999999999</v>
      </c>
      <c r="S50">
        <f>SUMIFS(Fixed!S$2:S$10000,Fixed!$B$2:$B$10000,$A50)</f>
        <v>95.008200000000002</v>
      </c>
      <c r="T50">
        <f>SUMIFS(Fixed!T$2:T$10000,Fixed!$B$2:$B$10000,$A50)</f>
        <v>93.667699999999996</v>
      </c>
      <c r="U50">
        <f>SUMIFS(Fixed!U$2:U$10000,Fixed!$B$2:$B$10000,$A50)</f>
        <v>92.380700000000004</v>
      </c>
      <c r="V50">
        <f>SUMIFS(Fixed!V$2:V$10000,Fixed!$B$2:$B$10000,$A50)</f>
        <v>91.150099999999995</v>
      </c>
      <c r="W50">
        <f>SUMIFS(Fixed!W$2:W$10000,Fixed!$B$2:$B$10000,$A50)</f>
        <v>215.27590000000001</v>
      </c>
      <c r="X50">
        <f>SUMIFS(Fixed!X$2:X$10000,Fixed!$B$2:$B$10000,$A50)</f>
        <v>222.56039999999999</v>
      </c>
      <c r="Y50">
        <f>SUMIFS(Fixed!Y$2:Y$10000,Fixed!$B$2:$B$10000,$A50)</f>
        <v>230.66839999999999</v>
      </c>
      <c r="Z50">
        <f>SUMIFS(Fixed!Z$2:Z$10000,Fixed!$B$2:$B$10000,$A50)</f>
        <v>238.8167</v>
      </c>
      <c r="AA50">
        <f>SUMIFS(Fixed!AA$2:AA$10000,Fixed!$B$2:$B$10000,$A50)</f>
        <v>247.0179</v>
      </c>
      <c r="AB50">
        <f>SUMIFS(Fixed!AB$2:AB$10000,Fixed!$B$2:$B$10000,$A50)</f>
        <v>255.7312</v>
      </c>
      <c r="AC50">
        <f>SUMIFS(Fixed!AC$2:AC$10000,Fixed!$B$2:$B$10000,$A50)</f>
        <v>264.7002</v>
      </c>
      <c r="AD50">
        <f>SUMIFS(Fixed!AD$2:AD$10000,Fixed!$B$2:$B$10000,$A50)</f>
        <v>273.59960000000001</v>
      </c>
      <c r="AE50">
        <f>SUMIFS(Fixed!AE$2:AE$10000,Fixed!$B$2:$B$10000,$A50)</f>
        <v>294.26209999999998</v>
      </c>
      <c r="AF50">
        <f>SUMIFS(Fixed!AF$2:AF$10000,Fixed!$B$2:$B$10000,$A50)</f>
        <v>291.56330000000003</v>
      </c>
      <c r="AG50">
        <f>SUMIFS(Fixed!AG$2:AG$10000,Fixed!$B$2:$B$10000,$A50)</f>
        <v>333.6454</v>
      </c>
    </row>
    <row r="51" spans="1:58">
      <c r="A51" t="s">
        <v>151</v>
      </c>
      <c r="C51">
        <f>SUMIFS(Fixed!C$2:C$10000,Fixed!$B$2:$B$10000,$A51)</f>
        <v>0</v>
      </c>
      <c r="D51">
        <f>SUMIFS(Fixed!D$2:D$10000,Fixed!$B$2:$B$10000,$A51)</f>
        <v>0</v>
      </c>
      <c r="E51">
        <f>SUMIFS(Fixed!E$2:E$10000,Fixed!$B$2:$B$10000,$A51)</f>
        <v>0</v>
      </c>
      <c r="F51">
        <f>SUMIFS(Fixed!F$2:F$10000,Fixed!$B$2:$B$10000,$A51)</f>
        <v>0</v>
      </c>
      <c r="G51">
        <f>SUMIFS(Fixed!G$2:G$10000,Fixed!$B$2:$B$10000,$A51)</f>
        <v>0</v>
      </c>
      <c r="H51">
        <f>SUMIFS(Fixed!H$2:H$10000,Fixed!$B$2:$B$10000,$A51)</f>
        <v>0</v>
      </c>
      <c r="I51">
        <f>SUMIFS(Fixed!I$2:I$10000,Fixed!$B$2:$B$10000,$A51)</f>
        <v>0</v>
      </c>
      <c r="J51">
        <f>SUMIFS(Fixed!J$2:J$10000,Fixed!$B$2:$B$10000,$A51)</f>
        <v>0</v>
      </c>
      <c r="K51">
        <f>SUMIFS(Fixed!K$2:K$10000,Fixed!$B$2:$B$10000,$A51)</f>
        <v>0</v>
      </c>
      <c r="L51">
        <f>SUMIFS(Fixed!L$2:L$10000,Fixed!$B$2:$B$10000,$A51)</f>
        <v>0</v>
      </c>
      <c r="M51">
        <f>SUMIFS(Fixed!M$2:M$10000,Fixed!$B$2:$B$10000,$A51)</f>
        <v>0</v>
      </c>
      <c r="N51">
        <f>SUMIFS(Fixed!N$2:N$10000,Fixed!$B$2:$B$10000,$A51)</f>
        <v>0</v>
      </c>
      <c r="O51">
        <f>SUMIFS(Fixed!O$2:O$10000,Fixed!$B$2:$B$10000,$A51)</f>
        <v>0</v>
      </c>
      <c r="P51">
        <f>SUMIFS(Fixed!P$2:P$10000,Fixed!$B$2:$B$10000,$A51)</f>
        <v>0</v>
      </c>
      <c r="Q51">
        <f>SUMIFS(Fixed!Q$2:Q$10000,Fixed!$B$2:$B$10000,$A51)</f>
        <v>0</v>
      </c>
      <c r="R51">
        <f>SUMIFS(Fixed!R$2:R$10000,Fixed!$B$2:$B$10000,$A51)</f>
        <v>0</v>
      </c>
      <c r="S51">
        <f>SUMIFS(Fixed!S$2:S$10000,Fixed!$B$2:$B$10000,$A51)</f>
        <v>0</v>
      </c>
      <c r="T51">
        <f>SUMIFS(Fixed!T$2:T$10000,Fixed!$B$2:$B$10000,$A51)</f>
        <v>0</v>
      </c>
      <c r="U51">
        <f>SUMIFS(Fixed!U$2:U$10000,Fixed!$B$2:$B$10000,$A51)</f>
        <v>0</v>
      </c>
      <c r="V51">
        <f>SUMIFS(Fixed!V$2:V$10000,Fixed!$B$2:$B$10000,$A51)</f>
        <v>0</v>
      </c>
      <c r="W51">
        <f>SUMIFS(Fixed!W$2:W$10000,Fixed!$B$2:$B$10000,$A51)</f>
        <v>0</v>
      </c>
      <c r="X51">
        <f>SUMIFS(Fixed!X$2:X$10000,Fixed!$B$2:$B$10000,$A51)</f>
        <v>0</v>
      </c>
      <c r="Y51">
        <f>SUMIFS(Fixed!Y$2:Y$10000,Fixed!$B$2:$B$10000,$A51)</f>
        <v>0</v>
      </c>
      <c r="Z51">
        <f>SUMIFS(Fixed!Z$2:Z$10000,Fixed!$B$2:$B$10000,$A51)</f>
        <v>0</v>
      </c>
      <c r="AA51">
        <f>SUMIFS(Fixed!AA$2:AA$10000,Fixed!$B$2:$B$10000,$A51)</f>
        <v>0</v>
      </c>
      <c r="AB51">
        <f>SUMIFS(Fixed!AB$2:AB$10000,Fixed!$B$2:$B$10000,$A51)</f>
        <v>0</v>
      </c>
      <c r="AC51">
        <f>SUMIFS(Fixed!AC$2:AC$10000,Fixed!$B$2:$B$10000,$A51)</f>
        <v>0</v>
      </c>
      <c r="AD51">
        <f>SUMIFS(Fixed!AD$2:AD$10000,Fixed!$B$2:$B$10000,$A51)</f>
        <v>0</v>
      </c>
      <c r="AE51">
        <f>SUMIFS(Fixed!AE$2:AE$10000,Fixed!$B$2:$B$10000,$A51)</f>
        <v>0</v>
      </c>
      <c r="AF51">
        <f>SUMIFS(Fixed!AF$2:AF$10000,Fixed!$B$2:$B$10000,$A51)</f>
        <v>0</v>
      </c>
      <c r="AG51">
        <f>SUMIFS(Fixed!AG$2:AG$10000,Fixed!$B$2:$B$10000,$A51)</f>
        <v>0</v>
      </c>
    </row>
    <row r="52" spans="1:58">
      <c r="A52" t="s">
        <v>152</v>
      </c>
      <c r="C52">
        <f>SUMIFS(Fixed!C$2:C$10000,Fixed!$B$2:$B$10000,$A52)</f>
        <v>27.774000000000001</v>
      </c>
      <c r="D52">
        <f>SUMIFS(Fixed!D$2:D$10000,Fixed!$B$2:$B$10000,$A52)</f>
        <v>34.0075</v>
      </c>
      <c r="E52">
        <f>SUMIFS(Fixed!E$2:E$10000,Fixed!$B$2:$B$10000,$A52)</f>
        <v>33.767200000000003</v>
      </c>
      <c r="F52">
        <f>SUMIFS(Fixed!F$2:F$10000,Fixed!$B$2:$B$10000,$A52)</f>
        <v>34.529899999999998</v>
      </c>
      <c r="G52">
        <f>SUMIFS(Fixed!G$2:G$10000,Fixed!$B$2:$B$10000,$A52)</f>
        <v>34.279299999999999</v>
      </c>
      <c r="H52">
        <f>SUMIFS(Fixed!H$2:H$10000,Fixed!$B$2:$B$10000,$A52)</f>
        <v>34.028199999999998</v>
      </c>
      <c r="I52">
        <f>SUMIFS(Fixed!I$2:I$10000,Fixed!$B$2:$B$10000,$A52)</f>
        <v>33.777099999999997</v>
      </c>
      <c r="J52">
        <f>SUMIFS(Fixed!J$2:J$10000,Fixed!$B$2:$B$10000,$A52)</f>
        <v>33.526899999999998</v>
      </c>
      <c r="K52">
        <f>SUMIFS(Fixed!K$2:K$10000,Fixed!$B$2:$B$10000,$A52)</f>
        <v>33.278500000000001</v>
      </c>
      <c r="L52">
        <f>SUMIFS(Fixed!L$2:L$10000,Fixed!$B$2:$B$10000,$A52)</f>
        <v>33.032600000000002</v>
      </c>
      <c r="M52">
        <f>SUMIFS(Fixed!M$2:M$10000,Fixed!$B$2:$B$10000,$A52)</f>
        <v>31.538399999999999</v>
      </c>
      <c r="N52">
        <f>SUMIFS(Fixed!N$2:N$10000,Fixed!$B$2:$B$10000,$A52)</f>
        <v>31.282399999999999</v>
      </c>
      <c r="O52">
        <f>SUMIFS(Fixed!O$2:O$10000,Fixed!$B$2:$B$10000,$A52)</f>
        <v>31.027200000000001</v>
      </c>
      <c r="P52">
        <f>SUMIFS(Fixed!P$2:P$10000,Fixed!$B$2:$B$10000,$A52)</f>
        <v>30.775099999999998</v>
      </c>
      <c r="Q52">
        <f>SUMIFS(Fixed!Q$2:Q$10000,Fixed!$B$2:$B$10000,$A52)</f>
        <v>30.528199999999998</v>
      </c>
      <c r="R52">
        <f>SUMIFS(Fixed!R$2:R$10000,Fixed!$B$2:$B$10000,$A52)</f>
        <v>30.2879</v>
      </c>
      <c r="S52">
        <f>SUMIFS(Fixed!S$2:S$10000,Fixed!$B$2:$B$10000,$A52)</f>
        <v>30.055399999999999</v>
      </c>
      <c r="T52">
        <f>SUMIFS(Fixed!T$2:T$10000,Fixed!$B$2:$B$10000,$A52)</f>
        <v>29.831499999999998</v>
      </c>
      <c r="U52">
        <f>SUMIFS(Fixed!U$2:U$10000,Fixed!$B$2:$B$10000,$A52)</f>
        <v>29.616800000000001</v>
      </c>
      <c r="V52">
        <f>SUMIFS(Fixed!V$2:V$10000,Fixed!$B$2:$B$10000,$A52)</f>
        <v>18.415500000000002</v>
      </c>
      <c r="W52">
        <f>SUMIFS(Fixed!W$2:W$10000,Fixed!$B$2:$B$10000,$A52)</f>
        <v>14.9354</v>
      </c>
      <c r="X52">
        <f>SUMIFS(Fixed!X$2:X$10000,Fixed!$B$2:$B$10000,$A52)</f>
        <v>14.807700000000001</v>
      </c>
      <c r="Y52">
        <f>SUMIFS(Fixed!Y$2:Y$10000,Fixed!$B$2:$B$10000,$A52)</f>
        <v>14.6927</v>
      </c>
      <c r="Z52">
        <f>SUMIFS(Fixed!Z$2:Z$10000,Fixed!$B$2:$B$10000,$A52)</f>
        <v>14.5892</v>
      </c>
      <c r="AA52">
        <f>SUMIFS(Fixed!AA$2:AA$10000,Fixed!$B$2:$B$10000,$A52)</f>
        <v>14.496</v>
      </c>
      <c r="AB52">
        <f>SUMIFS(Fixed!AB$2:AB$10000,Fixed!$B$2:$B$10000,$A52)</f>
        <v>6.1853999999999996</v>
      </c>
      <c r="AC52">
        <f>SUMIFS(Fixed!AC$2:AC$10000,Fixed!$B$2:$B$10000,$A52)</f>
        <v>0.84209999999999996</v>
      </c>
      <c r="AD52">
        <f>SUMIFS(Fixed!AD$2:AD$10000,Fixed!$B$2:$B$10000,$A52)</f>
        <v>0.83809999999999996</v>
      </c>
      <c r="AE52">
        <f>SUMIFS(Fixed!AE$2:AE$10000,Fixed!$B$2:$B$10000,$A52)</f>
        <v>0</v>
      </c>
      <c r="AF52">
        <f>SUMIFS(Fixed!AF$2:AF$10000,Fixed!$B$2:$B$10000,$A52)</f>
        <v>0</v>
      </c>
      <c r="AG52">
        <f>SUMIFS(Fixed!AG$2:AG$10000,Fixed!$B$2:$B$10000,$A52)</f>
        <v>0</v>
      </c>
    </row>
    <row r="53" spans="1:58">
      <c r="A53" t="s">
        <v>135</v>
      </c>
      <c r="C53">
        <f>SUMIFS(Fixed!C$2:C$10000,Fixed!$B$2:$B$10000,$A53)</f>
        <v>58.403399999999998</v>
      </c>
      <c r="D53">
        <f>SUMIFS(Fixed!D$2:D$10000,Fixed!$B$2:$B$10000,$A53)</f>
        <v>62.359000000000002</v>
      </c>
      <c r="E53">
        <f>SUMIFS(Fixed!E$2:E$10000,Fixed!$B$2:$B$10000,$A53)</f>
        <v>64.499600000000001</v>
      </c>
      <c r="F53">
        <f>SUMIFS(Fixed!F$2:F$10000,Fixed!$B$2:$B$10000,$A53)</f>
        <v>64.499600000000001</v>
      </c>
      <c r="G53">
        <f>SUMIFS(Fixed!G$2:G$10000,Fixed!$B$2:$B$10000,$A53)</f>
        <v>64.745999999999995</v>
      </c>
      <c r="H53">
        <f>SUMIFS(Fixed!H$2:H$10000,Fixed!$B$2:$B$10000,$A53)</f>
        <v>64.745999999999995</v>
      </c>
      <c r="I53">
        <f>SUMIFS(Fixed!I$2:I$10000,Fixed!$B$2:$B$10000,$A53)</f>
        <v>64.745999999999995</v>
      </c>
      <c r="J53">
        <f>SUMIFS(Fixed!J$2:J$10000,Fixed!$B$2:$B$10000,$A53)</f>
        <v>64.745999999999995</v>
      </c>
      <c r="K53">
        <f>SUMIFS(Fixed!K$2:K$10000,Fixed!$B$2:$B$10000,$A53)</f>
        <v>64.745999999999995</v>
      </c>
      <c r="L53">
        <f>SUMIFS(Fixed!L$2:L$10000,Fixed!$B$2:$B$10000,$A53)</f>
        <v>64.063999999999993</v>
      </c>
      <c r="M53">
        <f>SUMIFS(Fixed!M$2:M$10000,Fixed!$B$2:$B$10000,$A53)</f>
        <v>64.063999999999993</v>
      </c>
      <c r="N53">
        <f>SUMIFS(Fixed!N$2:N$10000,Fixed!$B$2:$B$10000,$A53)</f>
        <v>64.063999999999993</v>
      </c>
      <c r="O53">
        <f>SUMIFS(Fixed!O$2:O$10000,Fixed!$B$2:$B$10000,$A53)</f>
        <v>64.063999999999993</v>
      </c>
      <c r="P53">
        <f>SUMIFS(Fixed!P$2:P$10000,Fixed!$B$2:$B$10000,$A53)</f>
        <v>63.573399999999999</v>
      </c>
      <c r="Q53">
        <f>SUMIFS(Fixed!Q$2:Q$10000,Fixed!$B$2:$B$10000,$A53)</f>
        <v>33.818399999999997</v>
      </c>
      <c r="R53">
        <f>SUMIFS(Fixed!R$2:R$10000,Fixed!$B$2:$B$10000,$A53)</f>
        <v>32.993400000000001</v>
      </c>
      <c r="S53">
        <f>SUMIFS(Fixed!S$2:S$10000,Fixed!$B$2:$B$10000,$A53)</f>
        <v>32.430199999999999</v>
      </c>
      <c r="T53">
        <f>SUMIFS(Fixed!T$2:T$10000,Fixed!$B$2:$B$10000,$A53)</f>
        <v>27.6738</v>
      </c>
      <c r="U53">
        <f>SUMIFS(Fixed!U$2:U$10000,Fixed!$B$2:$B$10000,$A53)</f>
        <v>24.763200000000001</v>
      </c>
      <c r="V53">
        <f>SUMIFS(Fixed!V$2:V$10000,Fixed!$B$2:$B$10000,$A53)</f>
        <v>24.763200000000001</v>
      </c>
      <c r="W53">
        <f>SUMIFS(Fixed!W$2:W$10000,Fixed!$B$2:$B$10000,$A53)</f>
        <v>24.763200000000001</v>
      </c>
      <c r="X53">
        <f>SUMIFS(Fixed!X$2:X$10000,Fixed!$B$2:$B$10000,$A53)</f>
        <v>24.763200000000001</v>
      </c>
      <c r="Y53">
        <f>SUMIFS(Fixed!Y$2:Y$10000,Fixed!$B$2:$B$10000,$A53)</f>
        <v>24.763200000000001</v>
      </c>
      <c r="Z53">
        <f>SUMIFS(Fixed!Z$2:Z$10000,Fixed!$B$2:$B$10000,$A53)</f>
        <v>24.763200000000001</v>
      </c>
      <c r="AA53">
        <f>SUMIFS(Fixed!AA$2:AA$10000,Fixed!$B$2:$B$10000,$A53)</f>
        <v>24.763200000000001</v>
      </c>
      <c r="AB53">
        <f>SUMIFS(Fixed!AB$2:AB$10000,Fixed!$B$2:$B$10000,$A53)</f>
        <v>22.776599999999998</v>
      </c>
      <c r="AC53">
        <f>SUMIFS(Fixed!AC$2:AC$10000,Fixed!$B$2:$B$10000,$A53)</f>
        <v>22.5016</v>
      </c>
      <c r="AD53">
        <f>SUMIFS(Fixed!AD$2:AD$10000,Fixed!$B$2:$B$10000,$A53)</f>
        <v>22.5016</v>
      </c>
      <c r="AE53">
        <f>SUMIFS(Fixed!AE$2:AE$10000,Fixed!$B$2:$B$10000,$A53)</f>
        <v>21.733799999999999</v>
      </c>
      <c r="AF53">
        <f>SUMIFS(Fixed!AF$2:AF$10000,Fixed!$B$2:$B$10000,$A53)</f>
        <v>21.491800000000001</v>
      </c>
      <c r="AG53">
        <f>SUMIFS(Fixed!AG$2:AG$10000,Fixed!$B$2:$B$10000,$A53)</f>
        <v>21.491800000000001</v>
      </c>
    </row>
    <row r="54" spans="1:58">
      <c r="A54" t="s">
        <v>134</v>
      </c>
      <c r="C54">
        <f>SUMIFS(Fixed!C$2:C$10000,Fixed!$B$2:$B$10000,$A54)</f>
        <v>82.095200000000006</v>
      </c>
      <c r="D54">
        <f>SUMIFS(Fixed!D$2:D$10000,Fixed!$B$2:$B$10000,$A54)</f>
        <v>82.095200000000006</v>
      </c>
      <c r="E54">
        <f>SUMIFS(Fixed!E$2:E$10000,Fixed!$B$2:$B$10000,$A54)</f>
        <v>82.095200000000006</v>
      </c>
      <c r="F54">
        <f>SUMIFS(Fixed!F$2:F$10000,Fixed!$B$2:$B$10000,$A54)</f>
        <v>82.095200000000006</v>
      </c>
      <c r="G54">
        <f>SUMIFS(Fixed!G$2:G$10000,Fixed!$B$2:$B$10000,$A54)</f>
        <v>82.095200000000006</v>
      </c>
      <c r="H54">
        <f>SUMIFS(Fixed!H$2:H$10000,Fixed!$B$2:$B$10000,$A54)</f>
        <v>82.095200000000006</v>
      </c>
      <c r="I54">
        <f>SUMIFS(Fixed!I$2:I$10000,Fixed!$B$2:$B$10000,$A54)</f>
        <v>82.095200000000006</v>
      </c>
      <c r="J54">
        <f>SUMIFS(Fixed!J$2:J$10000,Fixed!$B$2:$B$10000,$A54)</f>
        <v>82.095200000000006</v>
      </c>
      <c r="K54">
        <f>SUMIFS(Fixed!K$2:K$10000,Fixed!$B$2:$B$10000,$A54)</f>
        <v>82.095200000000006</v>
      </c>
      <c r="L54">
        <f>SUMIFS(Fixed!L$2:L$10000,Fixed!$B$2:$B$10000,$A54)</f>
        <v>82.095200000000006</v>
      </c>
      <c r="M54">
        <f>SUMIFS(Fixed!M$2:M$10000,Fixed!$B$2:$B$10000,$A54)</f>
        <v>82.095200000000006</v>
      </c>
      <c r="N54">
        <f>SUMIFS(Fixed!N$2:N$10000,Fixed!$B$2:$B$10000,$A54)</f>
        <v>57.1494</v>
      </c>
      <c r="O54">
        <f>SUMIFS(Fixed!O$2:O$10000,Fixed!$B$2:$B$10000,$A54)</f>
        <v>12.6434</v>
      </c>
      <c r="P54">
        <f>SUMIFS(Fixed!P$2:P$10000,Fixed!$B$2:$B$10000,$A54)</f>
        <v>12.6434</v>
      </c>
      <c r="Q54">
        <f>SUMIFS(Fixed!Q$2:Q$10000,Fixed!$B$2:$B$10000,$A54)</f>
        <v>12.6434</v>
      </c>
      <c r="R54">
        <f>SUMIFS(Fixed!R$2:R$10000,Fixed!$B$2:$B$10000,$A54)</f>
        <v>12.6434</v>
      </c>
      <c r="S54">
        <f>SUMIFS(Fixed!S$2:S$10000,Fixed!$B$2:$B$10000,$A54)</f>
        <v>12.6434</v>
      </c>
      <c r="T54">
        <f>SUMIFS(Fixed!T$2:T$10000,Fixed!$B$2:$B$10000,$A54)</f>
        <v>12.6434</v>
      </c>
      <c r="U54">
        <f>SUMIFS(Fixed!U$2:U$10000,Fixed!$B$2:$B$10000,$A54)</f>
        <v>12.6434</v>
      </c>
      <c r="V54">
        <f>SUMIFS(Fixed!V$2:V$10000,Fixed!$B$2:$B$10000,$A54)</f>
        <v>12.6434</v>
      </c>
      <c r="W54">
        <f>SUMIFS(Fixed!W$2:W$10000,Fixed!$B$2:$B$10000,$A54)</f>
        <v>12.6434</v>
      </c>
      <c r="X54">
        <f>SUMIFS(Fixed!X$2:X$10000,Fixed!$B$2:$B$10000,$A54)</f>
        <v>12.6434</v>
      </c>
      <c r="Y54">
        <f>SUMIFS(Fixed!Y$2:Y$10000,Fixed!$B$2:$B$10000,$A54)</f>
        <v>12.6214</v>
      </c>
      <c r="Z54">
        <f>SUMIFS(Fixed!Z$2:Z$10000,Fixed!$B$2:$B$10000,$A54)</f>
        <v>12.6214</v>
      </c>
      <c r="AA54">
        <f>SUMIFS(Fixed!AA$2:AA$10000,Fixed!$B$2:$B$10000,$A54)</f>
        <v>12.6214</v>
      </c>
      <c r="AB54">
        <f>SUMIFS(Fixed!AB$2:AB$10000,Fixed!$B$2:$B$10000,$A54)</f>
        <v>12.6214</v>
      </c>
      <c r="AC54">
        <f>SUMIFS(Fixed!AC$2:AC$10000,Fixed!$B$2:$B$10000,$A54)</f>
        <v>0</v>
      </c>
      <c r="AD54">
        <f>SUMIFS(Fixed!AD$2:AD$10000,Fixed!$B$2:$B$10000,$A54)</f>
        <v>0</v>
      </c>
      <c r="AE54">
        <f>SUMIFS(Fixed!AE$2:AE$10000,Fixed!$B$2:$B$10000,$A54)</f>
        <v>0</v>
      </c>
      <c r="AF54">
        <f>SUMIFS(Fixed!AF$2:AF$10000,Fixed!$B$2:$B$10000,$A54)</f>
        <v>0</v>
      </c>
      <c r="AG54">
        <f>SUMIFS(Fixed!AG$2:AG$10000,Fixed!$B$2:$B$10000,$A54)</f>
        <v>0</v>
      </c>
    </row>
    <row r="55" spans="1:58">
      <c r="A55" s="43" t="s">
        <v>154</v>
      </c>
      <c r="C55">
        <f>SUMIFS(Fixed!C$2:C$10000,Fixed!$B$2:$B$10000,$A55)</f>
        <v>0</v>
      </c>
      <c r="D55">
        <f>SUMIFS(Fixed!D$2:D$10000,Fixed!$B$2:$B$10000,$A55)</f>
        <v>0</v>
      </c>
      <c r="E55">
        <f>SUMIFS(Fixed!E$2:E$10000,Fixed!$B$2:$B$10000,$A55)</f>
        <v>0</v>
      </c>
      <c r="F55">
        <f>SUMIFS(Fixed!F$2:F$10000,Fixed!$B$2:$B$10000,$A55)</f>
        <v>0</v>
      </c>
      <c r="G55">
        <f>SUMIFS(Fixed!G$2:G$10000,Fixed!$B$2:$B$10000,$A55)</f>
        <v>0</v>
      </c>
      <c r="H55">
        <f>SUMIFS(Fixed!H$2:H$10000,Fixed!$B$2:$B$10000,$A55)</f>
        <v>0</v>
      </c>
      <c r="I55">
        <f>SUMIFS(Fixed!I$2:I$10000,Fixed!$B$2:$B$10000,$A55)</f>
        <v>0</v>
      </c>
      <c r="J55">
        <f>SUMIFS(Fixed!J$2:J$10000,Fixed!$B$2:$B$10000,$A55)</f>
        <v>0</v>
      </c>
      <c r="K55">
        <f>SUMIFS(Fixed!K$2:K$10000,Fixed!$B$2:$B$10000,$A55)</f>
        <v>0</v>
      </c>
      <c r="L55">
        <f>SUMIFS(Fixed!L$2:L$10000,Fixed!$B$2:$B$10000,$A55)</f>
        <v>0</v>
      </c>
      <c r="M55">
        <f>SUMIFS(Fixed!M$2:M$10000,Fixed!$B$2:$B$10000,$A55)</f>
        <v>0</v>
      </c>
      <c r="N55">
        <f>SUMIFS(Fixed!N$2:N$10000,Fixed!$B$2:$B$10000,$A55)</f>
        <v>0</v>
      </c>
      <c r="O55">
        <f>SUMIFS(Fixed!O$2:O$10000,Fixed!$B$2:$B$10000,$A55)</f>
        <v>0</v>
      </c>
      <c r="P55">
        <f>SUMIFS(Fixed!P$2:P$10000,Fixed!$B$2:$B$10000,$A55)</f>
        <v>0</v>
      </c>
      <c r="Q55">
        <f>SUMIFS(Fixed!Q$2:Q$10000,Fixed!$B$2:$B$10000,$A55)</f>
        <v>0</v>
      </c>
      <c r="R55">
        <f>SUMIFS(Fixed!R$2:R$10000,Fixed!$B$2:$B$10000,$A55)</f>
        <v>0</v>
      </c>
      <c r="S55">
        <f>SUMIFS(Fixed!S$2:S$10000,Fixed!$B$2:$B$10000,$A55)</f>
        <v>0</v>
      </c>
      <c r="T55">
        <f>SUMIFS(Fixed!T$2:T$10000,Fixed!$B$2:$B$10000,$A55)</f>
        <v>0</v>
      </c>
      <c r="U55">
        <f>SUMIFS(Fixed!U$2:U$10000,Fixed!$B$2:$B$10000,$A55)</f>
        <v>0</v>
      </c>
      <c r="V55">
        <f>SUMIFS(Fixed!V$2:V$10000,Fixed!$B$2:$B$10000,$A55)</f>
        <v>0</v>
      </c>
      <c r="W55">
        <f>SUMIFS(Fixed!W$2:W$10000,Fixed!$B$2:$B$10000,$A55)</f>
        <v>0</v>
      </c>
      <c r="X55">
        <f>SUMIFS(Fixed!X$2:X$10000,Fixed!$B$2:$B$10000,$A55)</f>
        <v>0</v>
      </c>
      <c r="Y55">
        <f>SUMIFS(Fixed!Y$2:Y$10000,Fixed!$B$2:$B$10000,$A55)</f>
        <v>0</v>
      </c>
      <c r="Z55">
        <f>SUMIFS(Fixed!Z$2:Z$10000,Fixed!$B$2:$B$10000,$A55)</f>
        <v>0</v>
      </c>
      <c r="AA55">
        <f>SUMIFS(Fixed!AA$2:AA$10000,Fixed!$B$2:$B$10000,$A55)</f>
        <v>0</v>
      </c>
      <c r="AB55">
        <f>SUMIFS(Fixed!AB$2:AB$10000,Fixed!$B$2:$B$10000,$A55)</f>
        <v>0</v>
      </c>
      <c r="AC55">
        <f>SUMIFS(Fixed!AC$2:AC$10000,Fixed!$B$2:$B$10000,$A55)</f>
        <v>0</v>
      </c>
      <c r="AD55">
        <f>SUMIFS(Fixed!AD$2:AD$10000,Fixed!$B$2:$B$10000,$A55)</f>
        <v>0</v>
      </c>
      <c r="AE55">
        <f>SUMIFS(Fixed!AE$2:AE$10000,Fixed!$B$2:$B$10000,$A55)</f>
        <v>0</v>
      </c>
      <c r="AF55">
        <f>SUMIFS(Fixed!AF$2:AF$10000,Fixed!$B$2:$B$10000,$A55)</f>
        <v>0</v>
      </c>
      <c r="AG55">
        <f>SUMIFS(Fixed!AG$2:AG$10000,Fixed!$B$2:$B$10000,$A55)</f>
        <v>0</v>
      </c>
    </row>
    <row r="56" spans="1:58">
      <c r="W56"/>
    </row>
    <row r="57" spans="1:58" ht="15" thickBot="1">
      <c r="W57"/>
    </row>
    <row r="58" spans="1:58" ht="15" thickBot="1">
      <c r="A58" s="3" t="s">
        <v>17</v>
      </c>
      <c r="C58" s="22">
        <v>2020</v>
      </c>
      <c r="D58" s="22">
        <v>2021</v>
      </c>
      <c r="E58" s="22">
        <v>2022</v>
      </c>
      <c r="F58" s="22">
        <v>2023</v>
      </c>
      <c r="G58" s="22">
        <v>2024</v>
      </c>
      <c r="H58" s="22">
        <v>2025</v>
      </c>
      <c r="I58" s="22">
        <v>2026</v>
      </c>
      <c r="J58" s="22">
        <v>2027</v>
      </c>
      <c r="K58" s="22">
        <v>2028</v>
      </c>
      <c r="L58" s="22">
        <v>2029</v>
      </c>
      <c r="M58" s="22">
        <v>2030</v>
      </c>
      <c r="N58" s="22">
        <v>2031</v>
      </c>
      <c r="O58" s="22">
        <v>2032</v>
      </c>
      <c r="P58" s="22">
        <v>2033</v>
      </c>
      <c r="Q58" s="22">
        <v>2034</v>
      </c>
      <c r="R58" s="22">
        <v>2035</v>
      </c>
      <c r="S58" s="22">
        <v>2036</v>
      </c>
      <c r="T58" s="22">
        <v>2037</v>
      </c>
      <c r="U58" s="22">
        <v>2038</v>
      </c>
      <c r="V58" s="22">
        <v>2039</v>
      </c>
      <c r="W58" s="22">
        <v>2040</v>
      </c>
      <c r="X58" s="22">
        <v>2041</v>
      </c>
      <c r="Y58" s="22">
        <v>2042</v>
      </c>
      <c r="Z58" s="22">
        <v>2043</v>
      </c>
      <c r="AA58" s="22">
        <v>2044</v>
      </c>
      <c r="AB58" s="22">
        <v>2045</v>
      </c>
      <c r="AC58" s="22">
        <v>2046</v>
      </c>
      <c r="AD58" s="22">
        <v>2047</v>
      </c>
      <c r="AE58" s="22">
        <v>2048</v>
      </c>
      <c r="AF58" s="22">
        <v>2049</v>
      </c>
      <c r="AG58" s="22">
        <v>2050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</row>
    <row r="59" spans="1:58">
      <c r="A59" t="s">
        <v>132</v>
      </c>
      <c r="C59">
        <f>SUMIFS(Capital_Investments!C$2:C$10000,Capital_Investments!$B$2:$B$10000,$A59)</f>
        <v>0</v>
      </c>
      <c r="D59">
        <f>SUMIFS(Capital_Investments!D$2:D$10000,Capital_Investments!$B$2:$B$10000,$A59)</f>
        <v>0</v>
      </c>
      <c r="E59">
        <f>SUMIFS(Capital_Investments!E$2:E$10000,Capital_Investments!$B$2:$B$10000,$A59)</f>
        <v>369</v>
      </c>
      <c r="F59">
        <f>SUMIFS(Capital_Investments!F$2:F$10000,Capital_Investments!$B$2:$B$10000,$A59)</f>
        <v>27</v>
      </c>
      <c r="G59">
        <f>SUMIFS(Capital_Investments!G$2:G$10000,Capital_Investments!$B$2:$B$10000,$A59)</f>
        <v>44.55</v>
      </c>
      <c r="H59">
        <f>SUMIFS(Capital_Investments!H$2:H$10000,Capital_Investments!$B$2:$B$10000,$A59)</f>
        <v>0</v>
      </c>
      <c r="I59">
        <f>SUMIFS(Capital_Investments!I$2:I$10000,Capital_Investments!$B$2:$B$10000,$A59)</f>
        <v>0</v>
      </c>
      <c r="J59">
        <f>SUMIFS(Capital_Investments!J$2:J$10000,Capital_Investments!$B$2:$B$10000,$A59)</f>
        <v>0</v>
      </c>
      <c r="K59">
        <f>SUMIFS(Capital_Investments!K$2:K$10000,Capital_Investments!$B$2:$B$10000,$A59)</f>
        <v>0</v>
      </c>
      <c r="L59">
        <f>SUMIFS(Capital_Investments!L$2:L$10000,Capital_Investments!$B$2:$B$10000,$A59)</f>
        <v>0</v>
      </c>
      <c r="M59">
        <f>SUMIFS(Capital_Investments!M$2:M$10000,Capital_Investments!$B$2:$B$10000,$A59)</f>
        <v>0</v>
      </c>
      <c r="N59">
        <f>SUMIFS(Capital_Investments!N$2:N$10000,Capital_Investments!$B$2:$B$10000,$A59)</f>
        <v>0</v>
      </c>
      <c r="O59">
        <f>SUMIFS(Capital_Investments!O$2:O$10000,Capital_Investments!$B$2:$B$10000,$A59)</f>
        <v>0</v>
      </c>
      <c r="P59">
        <f>SUMIFS(Capital_Investments!P$2:P$10000,Capital_Investments!$B$2:$B$10000,$A59)</f>
        <v>0</v>
      </c>
      <c r="Q59">
        <f>SUMIFS(Capital_Investments!Q$2:Q$10000,Capital_Investments!$B$2:$B$10000,$A59)</f>
        <v>0</v>
      </c>
      <c r="R59">
        <f>SUMIFS(Capital_Investments!R$2:R$10000,Capital_Investments!$B$2:$B$10000,$A59)</f>
        <v>0</v>
      </c>
      <c r="S59">
        <f>SUMIFS(Capital_Investments!S$2:S$10000,Capital_Investments!$B$2:$B$10000,$A59)</f>
        <v>0</v>
      </c>
      <c r="T59">
        <f>SUMIFS(Capital_Investments!T$2:T$10000,Capital_Investments!$B$2:$B$10000,$A59)</f>
        <v>0</v>
      </c>
      <c r="U59">
        <f>SUMIFS(Capital_Investments!U$2:U$10000,Capital_Investments!$B$2:$B$10000,$A59)</f>
        <v>0</v>
      </c>
      <c r="V59">
        <f>SUMIFS(Capital_Investments!V$2:V$10000,Capital_Investments!$B$2:$B$10000,$A59)</f>
        <v>0</v>
      </c>
      <c r="W59">
        <f>SUMIFS(Capital_Investments!W$2:W$10000,Capital_Investments!$B$2:$B$10000,$A59)</f>
        <v>0</v>
      </c>
      <c r="X59">
        <f>SUMIFS(Capital_Investments!X$2:X$10000,Capital_Investments!$B$2:$B$10000,$A59)</f>
        <v>0</v>
      </c>
      <c r="Y59">
        <f>SUMIFS(Capital_Investments!Y$2:Y$10000,Capital_Investments!$B$2:$B$10000,$A59)</f>
        <v>0</v>
      </c>
      <c r="Z59">
        <f>SUMIFS(Capital_Investments!Z$2:Z$10000,Capital_Investments!$B$2:$B$10000,$A59)</f>
        <v>0</v>
      </c>
      <c r="AA59">
        <f>SUMIFS(Capital_Investments!AA$2:AA$10000,Capital_Investments!$B$2:$B$10000,$A59)</f>
        <v>0</v>
      </c>
      <c r="AB59">
        <f>SUMIFS(Capital_Investments!AB$2:AB$10000,Capital_Investments!$B$2:$B$10000,$A59)</f>
        <v>0</v>
      </c>
      <c r="AC59">
        <f>SUMIFS(Capital_Investments!AC$2:AC$10000,Capital_Investments!$B$2:$B$10000,$A59)</f>
        <v>0</v>
      </c>
      <c r="AD59">
        <f>SUMIFS(Capital_Investments!AD$2:AD$10000,Capital_Investments!$B$2:$B$10000,$A59)</f>
        <v>0</v>
      </c>
      <c r="AE59">
        <f>SUMIFS(Capital_Investments!AE$2:AE$10000,Capital_Investments!$B$2:$B$10000,$A59)</f>
        <v>0</v>
      </c>
      <c r="AF59">
        <f>SUMIFS(Capital_Investments!AF$2:AF$10000,Capital_Investments!$B$2:$B$10000,$A59)</f>
        <v>0</v>
      </c>
      <c r="AG59">
        <f>SUMIFS(Capital_Investments!AG$2:AG$10000,Capital_Investments!$B$2:$B$10000,$A59)</f>
        <v>0</v>
      </c>
    </row>
    <row r="60" spans="1:58">
      <c r="A60" t="s">
        <v>133</v>
      </c>
      <c r="C60">
        <f>SUMIFS(Capital_Investments!C$2:C$10000,Capital_Investments!$B$2:$B$10000,$A60)</f>
        <v>0</v>
      </c>
      <c r="D60">
        <f>SUMIFS(Capital_Investments!D$2:D$10000,Capital_Investments!$B$2:$B$10000,$A60)</f>
        <v>0</v>
      </c>
      <c r="E60">
        <f>SUMIFS(Capital_Investments!E$2:E$10000,Capital_Investments!$B$2:$B$10000,$A60)</f>
        <v>0</v>
      </c>
      <c r="F60">
        <f>SUMIFS(Capital_Investments!F$2:F$10000,Capital_Investments!$B$2:$B$10000,$A60)</f>
        <v>0</v>
      </c>
      <c r="G60">
        <f>SUMIFS(Capital_Investments!G$2:G$10000,Capital_Investments!$B$2:$B$10000,$A60)</f>
        <v>0</v>
      </c>
      <c r="H60">
        <f>SUMIFS(Capital_Investments!H$2:H$10000,Capital_Investments!$B$2:$B$10000,$A60)</f>
        <v>0</v>
      </c>
      <c r="I60">
        <f>SUMIFS(Capital_Investments!I$2:I$10000,Capital_Investments!$B$2:$B$10000,$A60)</f>
        <v>0</v>
      </c>
      <c r="J60">
        <f>SUMIFS(Capital_Investments!J$2:J$10000,Capital_Investments!$B$2:$B$10000,$A60)</f>
        <v>0</v>
      </c>
      <c r="K60">
        <f>SUMIFS(Capital_Investments!K$2:K$10000,Capital_Investments!$B$2:$B$10000,$A60)</f>
        <v>0</v>
      </c>
      <c r="L60">
        <f>SUMIFS(Capital_Investments!L$2:L$10000,Capital_Investments!$B$2:$B$10000,$A60)</f>
        <v>0</v>
      </c>
      <c r="M60">
        <f>SUMIFS(Capital_Investments!M$2:M$10000,Capital_Investments!$B$2:$B$10000,$A60)</f>
        <v>0</v>
      </c>
      <c r="N60">
        <f>SUMIFS(Capital_Investments!N$2:N$10000,Capital_Investments!$B$2:$B$10000,$A60)</f>
        <v>0</v>
      </c>
      <c r="O60">
        <f>SUMIFS(Capital_Investments!O$2:O$10000,Capital_Investments!$B$2:$B$10000,$A60)</f>
        <v>0</v>
      </c>
      <c r="P60">
        <f>SUMIFS(Capital_Investments!P$2:P$10000,Capital_Investments!$B$2:$B$10000,$A60)</f>
        <v>0</v>
      </c>
      <c r="Q60">
        <f>SUMIFS(Capital_Investments!Q$2:Q$10000,Capital_Investments!$B$2:$B$10000,$A60)</f>
        <v>0</v>
      </c>
      <c r="R60">
        <f>SUMIFS(Capital_Investments!R$2:R$10000,Capital_Investments!$B$2:$B$10000,$A60)</f>
        <v>0</v>
      </c>
      <c r="S60">
        <f>SUMIFS(Capital_Investments!S$2:S$10000,Capital_Investments!$B$2:$B$10000,$A60)</f>
        <v>0</v>
      </c>
      <c r="T60">
        <f>SUMIFS(Capital_Investments!T$2:T$10000,Capital_Investments!$B$2:$B$10000,$A60)</f>
        <v>0</v>
      </c>
      <c r="U60">
        <f>SUMIFS(Capital_Investments!U$2:U$10000,Capital_Investments!$B$2:$B$10000,$A60)</f>
        <v>0</v>
      </c>
      <c r="V60">
        <f>SUMIFS(Capital_Investments!V$2:V$10000,Capital_Investments!$B$2:$B$10000,$A60)</f>
        <v>0</v>
      </c>
      <c r="W60">
        <f>SUMIFS(Capital_Investments!W$2:W$10000,Capital_Investments!$B$2:$B$10000,$A60)</f>
        <v>0</v>
      </c>
      <c r="X60">
        <f>SUMIFS(Capital_Investments!X$2:X$10000,Capital_Investments!$B$2:$B$10000,$A60)</f>
        <v>0</v>
      </c>
      <c r="Y60">
        <f>SUMIFS(Capital_Investments!Y$2:Y$10000,Capital_Investments!$B$2:$B$10000,$A60)</f>
        <v>0</v>
      </c>
      <c r="Z60">
        <f>SUMIFS(Capital_Investments!Z$2:Z$10000,Capital_Investments!$B$2:$B$10000,$A60)</f>
        <v>0</v>
      </c>
      <c r="AA60">
        <f>SUMIFS(Capital_Investments!AA$2:AA$10000,Capital_Investments!$B$2:$B$10000,$A60)</f>
        <v>0</v>
      </c>
      <c r="AB60">
        <f>SUMIFS(Capital_Investments!AB$2:AB$10000,Capital_Investments!$B$2:$B$10000,$A60)</f>
        <v>0</v>
      </c>
      <c r="AC60">
        <f>SUMIFS(Capital_Investments!AC$2:AC$10000,Capital_Investments!$B$2:$B$10000,$A60)</f>
        <v>0</v>
      </c>
      <c r="AD60">
        <f>SUMIFS(Capital_Investments!AD$2:AD$10000,Capital_Investments!$B$2:$B$10000,$A60)</f>
        <v>0</v>
      </c>
      <c r="AE60">
        <f>SUMIFS(Capital_Investments!AE$2:AE$10000,Capital_Investments!$B$2:$B$10000,$A60)</f>
        <v>0</v>
      </c>
      <c r="AF60">
        <f>SUMIFS(Capital_Investments!AF$2:AF$10000,Capital_Investments!$B$2:$B$10000,$A60)</f>
        <v>0</v>
      </c>
      <c r="AG60">
        <f>SUMIFS(Capital_Investments!AG$2:AG$10000,Capital_Investments!$B$2:$B$10000,$A60)</f>
        <v>0</v>
      </c>
    </row>
    <row r="61" spans="1:58">
      <c r="A61" t="s">
        <v>138</v>
      </c>
      <c r="C61">
        <f>SUMIFS(Capital_Investments!C$2:C$10000,Capital_Investments!$B$2:$B$10000,$A61)</f>
        <v>0</v>
      </c>
      <c r="D61">
        <f>SUMIFS(Capital_Investments!D$2:D$10000,Capital_Investments!$B$2:$B$10000,$A61)</f>
        <v>0</v>
      </c>
      <c r="E61">
        <f>SUMIFS(Capital_Investments!E$2:E$10000,Capital_Investments!$B$2:$B$10000,$A61)</f>
        <v>16.28</v>
      </c>
      <c r="F61">
        <f>SUMIFS(Capital_Investments!F$2:F$10000,Capital_Investments!$B$2:$B$10000,$A61)</f>
        <v>1236.7765999999999</v>
      </c>
      <c r="G61">
        <f>SUMIFS(Capital_Investments!G$2:G$10000,Capital_Investments!$B$2:$B$10000,$A61)</f>
        <v>29.578900000000001</v>
      </c>
      <c r="H61">
        <f>SUMIFS(Capital_Investments!H$2:H$10000,Capital_Investments!$B$2:$B$10000,$A61)</f>
        <v>157.08000000000001</v>
      </c>
      <c r="I61">
        <f>SUMIFS(Capital_Investments!I$2:I$10000,Capital_Investments!$B$2:$B$10000,$A61)</f>
        <v>3668.8451</v>
      </c>
      <c r="J61">
        <f>SUMIFS(Capital_Investments!J$2:J$10000,Capital_Investments!$B$2:$B$10000,$A61)</f>
        <v>3695.1111999999998</v>
      </c>
      <c r="K61">
        <f>SUMIFS(Capital_Investments!K$2:K$10000,Capital_Investments!$B$2:$B$10000,$A61)</f>
        <v>3786.1406000000002</v>
      </c>
      <c r="L61">
        <f>SUMIFS(Capital_Investments!L$2:L$10000,Capital_Investments!$B$2:$B$10000,$A61)</f>
        <v>853.65260000000001</v>
      </c>
      <c r="M61">
        <f>SUMIFS(Capital_Investments!M$2:M$10000,Capital_Investments!$B$2:$B$10000,$A61)</f>
        <v>0</v>
      </c>
      <c r="N61">
        <f>SUMIFS(Capital_Investments!N$2:N$10000,Capital_Investments!$B$2:$B$10000,$A61)</f>
        <v>0</v>
      </c>
      <c r="O61">
        <f>SUMIFS(Capital_Investments!O$2:O$10000,Capital_Investments!$B$2:$B$10000,$A61)</f>
        <v>0</v>
      </c>
      <c r="P61">
        <f>SUMIFS(Capital_Investments!P$2:P$10000,Capital_Investments!$B$2:$B$10000,$A61)</f>
        <v>616</v>
      </c>
      <c r="Q61">
        <f>SUMIFS(Capital_Investments!Q$2:Q$10000,Capital_Investments!$B$2:$B$10000,$A61)</f>
        <v>0</v>
      </c>
      <c r="R61">
        <f>SUMIFS(Capital_Investments!R$2:R$10000,Capital_Investments!$B$2:$B$10000,$A61)</f>
        <v>0</v>
      </c>
      <c r="S61">
        <f>SUMIFS(Capital_Investments!S$2:S$10000,Capital_Investments!$B$2:$B$10000,$A61)</f>
        <v>477.4</v>
      </c>
      <c r="T61">
        <f>SUMIFS(Capital_Investments!T$2:T$10000,Capital_Investments!$B$2:$B$10000,$A61)</f>
        <v>2684.88</v>
      </c>
      <c r="U61">
        <f>SUMIFS(Capital_Investments!U$2:U$10000,Capital_Investments!$B$2:$B$10000,$A61)</f>
        <v>0</v>
      </c>
      <c r="V61">
        <f>SUMIFS(Capital_Investments!V$2:V$10000,Capital_Investments!$B$2:$B$10000,$A61)</f>
        <v>0</v>
      </c>
      <c r="W61">
        <f>SUMIFS(Capital_Investments!W$2:W$10000,Capital_Investments!$B$2:$B$10000,$A61)</f>
        <v>0</v>
      </c>
      <c r="X61">
        <f>SUMIFS(Capital_Investments!X$2:X$10000,Capital_Investments!$B$2:$B$10000,$A61)</f>
        <v>0</v>
      </c>
      <c r="Y61">
        <f>SUMIFS(Capital_Investments!Y$2:Y$10000,Capital_Investments!$B$2:$B$10000,$A61)</f>
        <v>0</v>
      </c>
      <c r="Z61">
        <f>SUMIFS(Capital_Investments!Z$2:Z$10000,Capital_Investments!$B$2:$B$10000,$A61)</f>
        <v>0</v>
      </c>
      <c r="AA61">
        <f>SUMIFS(Capital_Investments!AA$2:AA$10000,Capital_Investments!$B$2:$B$10000,$A61)</f>
        <v>0</v>
      </c>
      <c r="AB61">
        <f>SUMIFS(Capital_Investments!AB$2:AB$10000,Capital_Investments!$B$2:$B$10000,$A61)</f>
        <v>0</v>
      </c>
      <c r="AC61">
        <f>SUMIFS(Capital_Investments!AC$2:AC$10000,Capital_Investments!$B$2:$B$10000,$A61)</f>
        <v>0</v>
      </c>
      <c r="AD61">
        <f>SUMIFS(Capital_Investments!AD$2:AD$10000,Capital_Investments!$B$2:$B$10000,$A61)</f>
        <v>0</v>
      </c>
      <c r="AE61">
        <f>SUMIFS(Capital_Investments!AE$2:AE$10000,Capital_Investments!$B$2:$B$10000,$A61)</f>
        <v>0</v>
      </c>
      <c r="AF61">
        <f>SUMIFS(Capital_Investments!AF$2:AF$10000,Capital_Investments!$B$2:$B$10000,$A61)</f>
        <v>0</v>
      </c>
      <c r="AG61">
        <f>SUMIFS(Capital_Investments!AG$2:AG$10000,Capital_Investments!$B$2:$B$10000,$A61)</f>
        <v>20.094799999999999</v>
      </c>
    </row>
    <row r="62" spans="1:58">
      <c r="A62" t="s">
        <v>141</v>
      </c>
      <c r="C62">
        <f>SUMIFS(Capital_Investments!C$2:C$10000,Capital_Investments!$B$2:$B$10000,$A62)</f>
        <v>0</v>
      </c>
      <c r="D62">
        <f>SUMIFS(Capital_Investments!D$2:D$10000,Capital_Investments!$B$2:$B$10000,$A62)</f>
        <v>0</v>
      </c>
      <c r="E62">
        <f>SUMIFS(Capital_Investments!E$2:E$10000,Capital_Investments!$B$2:$B$10000,$A62)</f>
        <v>0</v>
      </c>
      <c r="F62">
        <f>SUMIFS(Capital_Investments!F$2:F$10000,Capital_Investments!$B$2:$B$10000,$A62)</f>
        <v>0</v>
      </c>
      <c r="G62">
        <f>SUMIFS(Capital_Investments!G$2:G$10000,Capital_Investments!$B$2:$B$10000,$A62)</f>
        <v>0</v>
      </c>
      <c r="H62">
        <f>SUMIFS(Capital_Investments!H$2:H$10000,Capital_Investments!$B$2:$B$10000,$A62)</f>
        <v>0</v>
      </c>
      <c r="I62">
        <f>SUMIFS(Capital_Investments!I$2:I$10000,Capital_Investments!$B$2:$B$10000,$A62)</f>
        <v>0</v>
      </c>
      <c r="J62">
        <f>SUMIFS(Capital_Investments!J$2:J$10000,Capital_Investments!$B$2:$B$10000,$A62)</f>
        <v>0</v>
      </c>
      <c r="K62">
        <f>SUMIFS(Capital_Investments!K$2:K$10000,Capital_Investments!$B$2:$B$10000,$A62)</f>
        <v>0</v>
      </c>
      <c r="L62">
        <f>SUMIFS(Capital_Investments!L$2:L$10000,Capital_Investments!$B$2:$B$10000,$A62)</f>
        <v>0</v>
      </c>
      <c r="M62">
        <f>SUMIFS(Capital_Investments!M$2:M$10000,Capital_Investments!$B$2:$B$10000,$A62)</f>
        <v>0</v>
      </c>
      <c r="N62">
        <f>SUMIFS(Capital_Investments!N$2:N$10000,Capital_Investments!$B$2:$B$10000,$A62)</f>
        <v>0</v>
      </c>
      <c r="O62">
        <f>SUMIFS(Capital_Investments!O$2:O$10000,Capital_Investments!$B$2:$B$10000,$A62)</f>
        <v>0</v>
      </c>
      <c r="P62">
        <f>SUMIFS(Capital_Investments!P$2:P$10000,Capital_Investments!$B$2:$B$10000,$A62)</f>
        <v>0</v>
      </c>
      <c r="Q62">
        <f>SUMIFS(Capital_Investments!Q$2:Q$10000,Capital_Investments!$B$2:$B$10000,$A62)</f>
        <v>0</v>
      </c>
      <c r="R62">
        <f>SUMIFS(Capital_Investments!R$2:R$10000,Capital_Investments!$B$2:$B$10000,$A62)</f>
        <v>0</v>
      </c>
      <c r="S62">
        <f>SUMIFS(Capital_Investments!S$2:S$10000,Capital_Investments!$B$2:$B$10000,$A62)</f>
        <v>0</v>
      </c>
      <c r="T62">
        <f>SUMIFS(Capital_Investments!T$2:T$10000,Capital_Investments!$B$2:$B$10000,$A62)</f>
        <v>0</v>
      </c>
      <c r="U62">
        <f>SUMIFS(Capital_Investments!U$2:U$10000,Capital_Investments!$B$2:$B$10000,$A62)</f>
        <v>0</v>
      </c>
      <c r="V62">
        <f>SUMIFS(Capital_Investments!V$2:V$10000,Capital_Investments!$B$2:$B$10000,$A62)</f>
        <v>0</v>
      </c>
      <c r="W62">
        <f>SUMIFS(Capital_Investments!W$2:W$10000,Capital_Investments!$B$2:$B$10000,$A62)</f>
        <v>0</v>
      </c>
      <c r="X62">
        <f>SUMIFS(Capital_Investments!X$2:X$10000,Capital_Investments!$B$2:$B$10000,$A62)</f>
        <v>0</v>
      </c>
      <c r="Y62">
        <f>SUMIFS(Capital_Investments!Y$2:Y$10000,Capital_Investments!$B$2:$B$10000,$A62)</f>
        <v>0</v>
      </c>
      <c r="Z62">
        <f>SUMIFS(Capital_Investments!Z$2:Z$10000,Capital_Investments!$B$2:$B$10000,$A62)</f>
        <v>0</v>
      </c>
      <c r="AA62">
        <f>SUMIFS(Capital_Investments!AA$2:AA$10000,Capital_Investments!$B$2:$B$10000,$A62)</f>
        <v>0</v>
      </c>
      <c r="AB62">
        <f>SUMIFS(Capital_Investments!AB$2:AB$10000,Capital_Investments!$B$2:$B$10000,$A62)</f>
        <v>0</v>
      </c>
      <c r="AC62">
        <f>SUMIFS(Capital_Investments!AC$2:AC$10000,Capital_Investments!$B$2:$B$10000,$A62)</f>
        <v>0</v>
      </c>
      <c r="AD62">
        <f>SUMIFS(Capital_Investments!AD$2:AD$10000,Capital_Investments!$B$2:$B$10000,$A62)</f>
        <v>0</v>
      </c>
      <c r="AE62">
        <f>SUMIFS(Capital_Investments!AE$2:AE$10000,Capital_Investments!$B$2:$B$10000,$A62)</f>
        <v>0</v>
      </c>
      <c r="AF62">
        <f>SUMIFS(Capital_Investments!AF$2:AF$10000,Capital_Investments!$B$2:$B$10000,$A62)</f>
        <v>0</v>
      </c>
      <c r="AG62">
        <f>SUMIFS(Capital_Investments!AG$2:AG$10000,Capital_Investments!$B$2:$B$10000,$A62)</f>
        <v>0</v>
      </c>
    </row>
    <row r="63" spans="1:58">
      <c r="A63" t="s">
        <v>142</v>
      </c>
      <c r="C63">
        <f>SUMIFS(Capital_Investments!C$2:C$10000,Capital_Investments!$B$2:$B$10000,$A63)</f>
        <v>0</v>
      </c>
      <c r="D63">
        <f>SUMIFS(Capital_Investments!D$2:D$10000,Capital_Investments!$B$2:$B$10000,$A63)</f>
        <v>1595</v>
      </c>
      <c r="E63">
        <f>SUMIFS(Capital_Investments!E$2:E$10000,Capital_Investments!$B$2:$B$10000,$A63)</f>
        <v>1692.68</v>
      </c>
      <c r="F63">
        <f>SUMIFS(Capital_Investments!F$2:F$10000,Capital_Investments!$B$2:$B$10000,$A63)</f>
        <v>0</v>
      </c>
      <c r="G63">
        <f>SUMIFS(Capital_Investments!G$2:G$10000,Capital_Investments!$B$2:$B$10000,$A63)</f>
        <v>1320</v>
      </c>
      <c r="H63">
        <f>SUMIFS(Capital_Investments!H$2:H$10000,Capital_Investments!$B$2:$B$10000,$A63)</f>
        <v>0</v>
      </c>
      <c r="I63">
        <f>SUMIFS(Capital_Investments!I$2:I$10000,Capital_Investments!$B$2:$B$10000,$A63)</f>
        <v>0</v>
      </c>
      <c r="J63">
        <f>SUMIFS(Capital_Investments!J$2:J$10000,Capital_Investments!$B$2:$B$10000,$A63)</f>
        <v>0</v>
      </c>
      <c r="K63">
        <f>SUMIFS(Capital_Investments!K$2:K$10000,Capital_Investments!$B$2:$B$10000,$A63)</f>
        <v>0</v>
      </c>
      <c r="L63">
        <f>SUMIFS(Capital_Investments!L$2:L$10000,Capital_Investments!$B$2:$B$10000,$A63)</f>
        <v>0</v>
      </c>
      <c r="M63">
        <f>SUMIFS(Capital_Investments!M$2:M$10000,Capital_Investments!$B$2:$B$10000,$A63)</f>
        <v>0</v>
      </c>
      <c r="N63">
        <f>SUMIFS(Capital_Investments!N$2:N$10000,Capital_Investments!$B$2:$B$10000,$A63)</f>
        <v>1900.3413</v>
      </c>
      <c r="O63">
        <f>SUMIFS(Capital_Investments!O$2:O$10000,Capital_Investments!$B$2:$B$10000,$A63)</f>
        <v>6868.5736999999999</v>
      </c>
      <c r="P63">
        <f>SUMIFS(Capital_Investments!P$2:P$10000,Capital_Investments!$B$2:$B$10000,$A63)</f>
        <v>2417.9737</v>
      </c>
      <c r="Q63">
        <f>SUMIFS(Capital_Investments!Q$2:Q$10000,Capital_Investments!$B$2:$B$10000,$A63)</f>
        <v>2417.9737</v>
      </c>
      <c r="R63">
        <f>SUMIFS(Capital_Investments!R$2:R$10000,Capital_Investments!$B$2:$B$10000,$A63)</f>
        <v>2417.9737</v>
      </c>
      <c r="S63">
        <f>SUMIFS(Capital_Investments!S$2:S$10000,Capital_Investments!$B$2:$B$10000,$A63)</f>
        <v>4617.1466</v>
      </c>
      <c r="T63">
        <f>SUMIFS(Capital_Investments!T$2:T$10000,Capital_Investments!$B$2:$B$10000,$A63)</f>
        <v>2936.3465999999999</v>
      </c>
      <c r="U63">
        <f>SUMIFS(Capital_Investments!U$2:U$10000,Capital_Investments!$B$2:$B$10000,$A63)</f>
        <v>4412.7293</v>
      </c>
      <c r="V63">
        <f>SUMIFS(Capital_Investments!V$2:V$10000,Capital_Investments!$B$2:$B$10000,$A63)</f>
        <v>4278.4080999999996</v>
      </c>
      <c r="W63">
        <f>SUMIFS(Capital_Investments!W$2:W$10000,Capital_Investments!$B$2:$B$10000,$A63)</f>
        <v>0</v>
      </c>
      <c r="X63">
        <f>SUMIFS(Capital_Investments!X$2:X$10000,Capital_Investments!$B$2:$B$10000,$A63)</f>
        <v>1305.4465</v>
      </c>
      <c r="Y63">
        <f>SUMIFS(Capital_Investments!Y$2:Y$10000,Capital_Investments!$B$2:$B$10000,$A63)</f>
        <v>2667.3188</v>
      </c>
      <c r="Z63">
        <f>SUMIFS(Capital_Investments!Z$2:Z$10000,Capital_Investments!$B$2:$B$10000,$A63)</f>
        <v>2673.2345</v>
      </c>
      <c r="AA63">
        <f>SUMIFS(Capital_Investments!AA$2:AA$10000,Capital_Investments!$B$2:$B$10000,$A63)</f>
        <v>2678.7894000000001</v>
      </c>
      <c r="AB63">
        <f>SUMIFS(Capital_Investments!AB$2:AB$10000,Capital_Investments!$B$2:$B$10000,$A63)</f>
        <v>2760.8827000000001</v>
      </c>
      <c r="AC63">
        <f>SUMIFS(Capital_Investments!AC$2:AC$10000,Capital_Investments!$B$2:$B$10000,$A63)</f>
        <v>5065.5992999999999</v>
      </c>
      <c r="AD63">
        <f>SUMIFS(Capital_Investments!AD$2:AD$10000,Capital_Investments!$B$2:$B$10000,$A63)</f>
        <v>4485.1220000000003</v>
      </c>
      <c r="AE63">
        <f>SUMIFS(Capital_Investments!AE$2:AE$10000,Capital_Investments!$B$2:$B$10000,$A63)</f>
        <v>2534.2426999999998</v>
      </c>
      <c r="AF63">
        <f>SUMIFS(Capital_Investments!AF$2:AF$10000,Capital_Investments!$B$2:$B$10000,$A63)</f>
        <v>1254.4675</v>
      </c>
      <c r="AG63">
        <f>SUMIFS(Capital_Investments!AG$2:AG$10000,Capital_Investments!$B$2:$B$10000,$A63)</f>
        <v>0</v>
      </c>
    </row>
    <row r="64" spans="1:58">
      <c r="A64" t="s">
        <v>143</v>
      </c>
      <c r="C64">
        <f>SUMIFS(Capital_Investments!C$2:C$10000,Capital_Investments!$B$2:$B$10000,$A64)</f>
        <v>0</v>
      </c>
      <c r="D64">
        <f>SUMIFS(Capital_Investments!D$2:D$10000,Capital_Investments!$B$2:$B$10000,$A64)</f>
        <v>0</v>
      </c>
      <c r="E64">
        <f>SUMIFS(Capital_Investments!E$2:E$10000,Capital_Investments!$B$2:$B$10000,$A64)</f>
        <v>0</v>
      </c>
      <c r="F64">
        <f>SUMIFS(Capital_Investments!F$2:F$10000,Capital_Investments!$B$2:$B$10000,$A64)</f>
        <v>0</v>
      </c>
      <c r="G64">
        <f>SUMIFS(Capital_Investments!G$2:G$10000,Capital_Investments!$B$2:$B$10000,$A64)</f>
        <v>0</v>
      </c>
      <c r="H64">
        <f>SUMIFS(Capital_Investments!H$2:H$10000,Capital_Investments!$B$2:$B$10000,$A64)</f>
        <v>0</v>
      </c>
      <c r="I64">
        <f>SUMIFS(Capital_Investments!I$2:I$10000,Capital_Investments!$B$2:$B$10000,$A64)</f>
        <v>0</v>
      </c>
      <c r="J64">
        <f>SUMIFS(Capital_Investments!J$2:J$10000,Capital_Investments!$B$2:$B$10000,$A64)</f>
        <v>0</v>
      </c>
      <c r="K64">
        <f>SUMIFS(Capital_Investments!K$2:K$10000,Capital_Investments!$B$2:$B$10000,$A64)</f>
        <v>0</v>
      </c>
      <c r="L64">
        <f>SUMIFS(Capital_Investments!L$2:L$10000,Capital_Investments!$B$2:$B$10000,$A64)</f>
        <v>0</v>
      </c>
      <c r="M64">
        <f>SUMIFS(Capital_Investments!M$2:M$10000,Capital_Investments!$B$2:$B$10000,$A64)</f>
        <v>0</v>
      </c>
      <c r="N64">
        <f>SUMIFS(Capital_Investments!N$2:N$10000,Capital_Investments!$B$2:$B$10000,$A64)</f>
        <v>0</v>
      </c>
      <c r="O64">
        <f>SUMIFS(Capital_Investments!O$2:O$10000,Capital_Investments!$B$2:$B$10000,$A64)</f>
        <v>0</v>
      </c>
      <c r="P64">
        <f>SUMIFS(Capital_Investments!P$2:P$10000,Capital_Investments!$B$2:$B$10000,$A64)</f>
        <v>0</v>
      </c>
      <c r="Q64">
        <f>SUMIFS(Capital_Investments!Q$2:Q$10000,Capital_Investments!$B$2:$B$10000,$A64)</f>
        <v>0</v>
      </c>
      <c r="R64">
        <f>SUMIFS(Capital_Investments!R$2:R$10000,Capital_Investments!$B$2:$B$10000,$A64)</f>
        <v>0</v>
      </c>
      <c r="S64">
        <f>SUMIFS(Capital_Investments!S$2:S$10000,Capital_Investments!$B$2:$B$10000,$A64)</f>
        <v>0</v>
      </c>
      <c r="T64">
        <f>SUMIFS(Capital_Investments!T$2:T$10000,Capital_Investments!$B$2:$B$10000,$A64)</f>
        <v>0</v>
      </c>
      <c r="U64">
        <f>SUMIFS(Capital_Investments!U$2:U$10000,Capital_Investments!$B$2:$B$10000,$A64)</f>
        <v>0</v>
      </c>
      <c r="V64">
        <f>SUMIFS(Capital_Investments!V$2:V$10000,Capital_Investments!$B$2:$B$10000,$A64)</f>
        <v>0</v>
      </c>
      <c r="W64">
        <f>SUMIFS(Capital_Investments!W$2:W$10000,Capital_Investments!$B$2:$B$10000,$A64)</f>
        <v>0</v>
      </c>
      <c r="X64">
        <f>SUMIFS(Capital_Investments!X$2:X$10000,Capital_Investments!$B$2:$B$10000,$A64)</f>
        <v>0</v>
      </c>
      <c r="Y64">
        <f>SUMIFS(Capital_Investments!Y$2:Y$10000,Capital_Investments!$B$2:$B$10000,$A64)</f>
        <v>0</v>
      </c>
      <c r="Z64">
        <f>SUMIFS(Capital_Investments!Z$2:Z$10000,Capital_Investments!$B$2:$B$10000,$A64)</f>
        <v>0</v>
      </c>
      <c r="AA64">
        <f>SUMIFS(Capital_Investments!AA$2:AA$10000,Capital_Investments!$B$2:$B$10000,$A64)</f>
        <v>0</v>
      </c>
      <c r="AB64">
        <f>SUMIFS(Capital_Investments!AB$2:AB$10000,Capital_Investments!$B$2:$B$10000,$A64)</f>
        <v>0</v>
      </c>
      <c r="AC64">
        <f>SUMIFS(Capital_Investments!AC$2:AC$10000,Capital_Investments!$B$2:$B$10000,$A64)</f>
        <v>0</v>
      </c>
      <c r="AD64">
        <f>SUMIFS(Capital_Investments!AD$2:AD$10000,Capital_Investments!$B$2:$B$10000,$A64)</f>
        <v>0</v>
      </c>
      <c r="AE64">
        <f>SUMIFS(Capital_Investments!AE$2:AE$10000,Capital_Investments!$B$2:$B$10000,$A64)</f>
        <v>0</v>
      </c>
      <c r="AF64">
        <f>SUMIFS(Capital_Investments!AF$2:AF$10000,Capital_Investments!$B$2:$B$10000,$A64)</f>
        <v>0</v>
      </c>
      <c r="AG64">
        <f>SUMIFS(Capital_Investments!AG$2:AG$10000,Capital_Investments!$B$2:$B$10000,$A64)</f>
        <v>0</v>
      </c>
    </row>
    <row r="65" spans="1:58">
      <c r="A65" t="s">
        <v>144</v>
      </c>
      <c r="C65">
        <f>SUMIFS(Capital_Investments!C$2:C$10000,Capital_Investments!$B$2:$B$10000,$A65)</f>
        <v>0</v>
      </c>
      <c r="D65">
        <f>SUMIFS(Capital_Investments!D$2:D$10000,Capital_Investments!$B$2:$B$10000,$A65)</f>
        <v>0</v>
      </c>
      <c r="E65">
        <f>SUMIFS(Capital_Investments!E$2:E$10000,Capital_Investments!$B$2:$B$10000,$A65)</f>
        <v>0</v>
      </c>
      <c r="F65">
        <f>SUMIFS(Capital_Investments!F$2:F$10000,Capital_Investments!$B$2:$B$10000,$A65)</f>
        <v>0</v>
      </c>
      <c r="G65">
        <f>SUMIFS(Capital_Investments!G$2:G$10000,Capital_Investments!$B$2:$B$10000,$A65)</f>
        <v>0</v>
      </c>
      <c r="H65">
        <f>SUMIFS(Capital_Investments!H$2:H$10000,Capital_Investments!$B$2:$B$10000,$A65)</f>
        <v>0</v>
      </c>
      <c r="I65">
        <f>SUMIFS(Capital_Investments!I$2:I$10000,Capital_Investments!$B$2:$B$10000,$A65)</f>
        <v>0</v>
      </c>
      <c r="J65">
        <f>SUMIFS(Capital_Investments!J$2:J$10000,Capital_Investments!$B$2:$B$10000,$A65)</f>
        <v>0</v>
      </c>
      <c r="K65">
        <f>SUMIFS(Capital_Investments!K$2:K$10000,Capital_Investments!$B$2:$B$10000,$A65)</f>
        <v>0</v>
      </c>
      <c r="L65">
        <f>SUMIFS(Capital_Investments!L$2:L$10000,Capital_Investments!$B$2:$B$10000,$A65)</f>
        <v>0</v>
      </c>
      <c r="M65">
        <f>SUMIFS(Capital_Investments!M$2:M$10000,Capital_Investments!$B$2:$B$10000,$A65)</f>
        <v>0</v>
      </c>
      <c r="N65">
        <f>SUMIFS(Capital_Investments!N$2:N$10000,Capital_Investments!$B$2:$B$10000,$A65)</f>
        <v>0</v>
      </c>
      <c r="O65">
        <f>SUMIFS(Capital_Investments!O$2:O$10000,Capital_Investments!$B$2:$B$10000,$A65)</f>
        <v>0</v>
      </c>
      <c r="P65">
        <f>SUMIFS(Capital_Investments!P$2:P$10000,Capital_Investments!$B$2:$B$10000,$A65)</f>
        <v>0</v>
      </c>
      <c r="Q65">
        <f>SUMIFS(Capital_Investments!Q$2:Q$10000,Capital_Investments!$B$2:$B$10000,$A65)</f>
        <v>0</v>
      </c>
      <c r="R65">
        <f>SUMIFS(Capital_Investments!R$2:R$10000,Capital_Investments!$B$2:$B$10000,$A65)</f>
        <v>0</v>
      </c>
      <c r="S65">
        <f>SUMIFS(Capital_Investments!S$2:S$10000,Capital_Investments!$B$2:$B$10000,$A65)</f>
        <v>0</v>
      </c>
      <c r="T65">
        <f>SUMIFS(Capital_Investments!T$2:T$10000,Capital_Investments!$B$2:$B$10000,$A65)</f>
        <v>0</v>
      </c>
      <c r="U65">
        <f>SUMIFS(Capital_Investments!U$2:U$10000,Capital_Investments!$B$2:$B$10000,$A65)</f>
        <v>0</v>
      </c>
      <c r="V65">
        <f>SUMIFS(Capital_Investments!V$2:V$10000,Capital_Investments!$B$2:$B$10000,$A65)</f>
        <v>0</v>
      </c>
      <c r="W65">
        <f>SUMIFS(Capital_Investments!W$2:W$10000,Capital_Investments!$B$2:$B$10000,$A65)</f>
        <v>0</v>
      </c>
      <c r="X65">
        <f>SUMIFS(Capital_Investments!X$2:X$10000,Capital_Investments!$B$2:$B$10000,$A65)</f>
        <v>0</v>
      </c>
      <c r="Y65">
        <f>SUMIFS(Capital_Investments!Y$2:Y$10000,Capital_Investments!$B$2:$B$10000,$A65)</f>
        <v>0</v>
      </c>
      <c r="Z65">
        <f>SUMIFS(Capital_Investments!Z$2:Z$10000,Capital_Investments!$B$2:$B$10000,$A65)</f>
        <v>0</v>
      </c>
      <c r="AA65">
        <f>SUMIFS(Capital_Investments!AA$2:AA$10000,Capital_Investments!$B$2:$B$10000,$A65)</f>
        <v>0</v>
      </c>
      <c r="AB65">
        <f>SUMIFS(Capital_Investments!AB$2:AB$10000,Capital_Investments!$B$2:$B$10000,$A65)</f>
        <v>0</v>
      </c>
      <c r="AC65">
        <f>SUMIFS(Capital_Investments!AC$2:AC$10000,Capital_Investments!$B$2:$B$10000,$A65)</f>
        <v>0</v>
      </c>
      <c r="AD65">
        <f>SUMIFS(Capital_Investments!AD$2:AD$10000,Capital_Investments!$B$2:$B$10000,$A65)</f>
        <v>0</v>
      </c>
      <c r="AE65">
        <f>SUMIFS(Capital_Investments!AE$2:AE$10000,Capital_Investments!$B$2:$B$10000,$A65)</f>
        <v>0</v>
      </c>
      <c r="AF65">
        <f>SUMIFS(Capital_Investments!AF$2:AF$10000,Capital_Investments!$B$2:$B$10000,$A65)</f>
        <v>0</v>
      </c>
      <c r="AG65">
        <f>SUMIFS(Capital_Investments!AG$2:AG$10000,Capital_Investments!$B$2:$B$10000,$A65)</f>
        <v>0</v>
      </c>
    </row>
    <row r="66" spans="1:58">
      <c r="A66" t="s">
        <v>145</v>
      </c>
      <c r="C66">
        <f>SUMIFS(Capital_Investments!C$2:C$10000,Capital_Investments!$B$2:$B$10000,$A66)</f>
        <v>4389.9543999999996</v>
      </c>
      <c r="D66">
        <f>SUMIFS(Capital_Investments!D$2:D$10000,Capital_Investments!$B$2:$B$10000,$A66)</f>
        <v>7663.7159000000001</v>
      </c>
      <c r="E66">
        <f>SUMIFS(Capital_Investments!E$2:E$10000,Capital_Investments!$B$2:$B$10000,$A66)</f>
        <v>47.7</v>
      </c>
      <c r="F66">
        <f>SUMIFS(Capital_Investments!F$2:F$10000,Capital_Investments!$B$2:$B$10000,$A66)</f>
        <v>140.4</v>
      </c>
      <c r="G66">
        <f>SUMIFS(Capital_Investments!G$2:G$10000,Capital_Investments!$B$2:$B$10000,$A66)</f>
        <v>105.6</v>
      </c>
      <c r="H66">
        <f>SUMIFS(Capital_Investments!H$2:H$10000,Capital_Investments!$B$2:$B$10000,$A66)</f>
        <v>0</v>
      </c>
      <c r="I66">
        <f>SUMIFS(Capital_Investments!I$2:I$10000,Capital_Investments!$B$2:$B$10000,$A66)</f>
        <v>0</v>
      </c>
      <c r="J66">
        <f>SUMIFS(Capital_Investments!J$2:J$10000,Capital_Investments!$B$2:$B$10000,$A66)</f>
        <v>0</v>
      </c>
      <c r="K66">
        <f>SUMIFS(Capital_Investments!K$2:K$10000,Capital_Investments!$B$2:$B$10000,$A66)</f>
        <v>0</v>
      </c>
      <c r="L66">
        <f>SUMIFS(Capital_Investments!L$2:L$10000,Capital_Investments!$B$2:$B$10000,$A66)</f>
        <v>0</v>
      </c>
      <c r="M66">
        <f>SUMIFS(Capital_Investments!M$2:M$10000,Capital_Investments!$B$2:$B$10000,$A66)</f>
        <v>0</v>
      </c>
      <c r="N66">
        <f>SUMIFS(Capital_Investments!N$2:N$10000,Capital_Investments!$B$2:$B$10000,$A66)</f>
        <v>0</v>
      </c>
      <c r="O66">
        <f>SUMIFS(Capital_Investments!O$2:O$10000,Capital_Investments!$B$2:$B$10000,$A66)</f>
        <v>0</v>
      </c>
      <c r="P66">
        <f>SUMIFS(Capital_Investments!P$2:P$10000,Capital_Investments!$B$2:$B$10000,$A66)</f>
        <v>0</v>
      </c>
      <c r="Q66">
        <f>SUMIFS(Capital_Investments!Q$2:Q$10000,Capital_Investments!$B$2:$B$10000,$A66)</f>
        <v>0</v>
      </c>
      <c r="R66">
        <f>SUMIFS(Capital_Investments!R$2:R$10000,Capital_Investments!$B$2:$B$10000,$A66)</f>
        <v>0</v>
      </c>
      <c r="S66">
        <f>SUMIFS(Capital_Investments!S$2:S$10000,Capital_Investments!$B$2:$B$10000,$A66)</f>
        <v>0</v>
      </c>
      <c r="T66">
        <f>SUMIFS(Capital_Investments!T$2:T$10000,Capital_Investments!$B$2:$B$10000,$A66)</f>
        <v>0</v>
      </c>
      <c r="U66">
        <f>SUMIFS(Capital_Investments!U$2:U$10000,Capital_Investments!$B$2:$B$10000,$A66)</f>
        <v>0</v>
      </c>
      <c r="V66">
        <f>SUMIFS(Capital_Investments!V$2:V$10000,Capital_Investments!$B$2:$B$10000,$A66)</f>
        <v>0</v>
      </c>
      <c r="W66">
        <f>SUMIFS(Capital_Investments!W$2:W$10000,Capital_Investments!$B$2:$B$10000,$A66)</f>
        <v>0</v>
      </c>
      <c r="X66">
        <f>SUMIFS(Capital_Investments!X$2:X$10000,Capital_Investments!$B$2:$B$10000,$A66)</f>
        <v>0</v>
      </c>
      <c r="Y66">
        <f>SUMIFS(Capital_Investments!Y$2:Y$10000,Capital_Investments!$B$2:$B$10000,$A66)</f>
        <v>0</v>
      </c>
      <c r="Z66">
        <f>SUMIFS(Capital_Investments!Z$2:Z$10000,Capital_Investments!$B$2:$B$10000,$A66)</f>
        <v>0</v>
      </c>
      <c r="AA66">
        <f>SUMIFS(Capital_Investments!AA$2:AA$10000,Capital_Investments!$B$2:$B$10000,$A66)</f>
        <v>0</v>
      </c>
      <c r="AB66">
        <f>SUMIFS(Capital_Investments!AB$2:AB$10000,Capital_Investments!$B$2:$B$10000,$A66)</f>
        <v>0</v>
      </c>
      <c r="AC66">
        <f>SUMIFS(Capital_Investments!AC$2:AC$10000,Capital_Investments!$B$2:$B$10000,$A66)</f>
        <v>0</v>
      </c>
      <c r="AD66">
        <f>SUMIFS(Capital_Investments!AD$2:AD$10000,Capital_Investments!$B$2:$B$10000,$A66)</f>
        <v>0</v>
      </c>
      <c r="AE66">
        <f>SUMIFS(Capital_Investments!AE$2:AE$10000,Capital_Investments!$B$2:$B$10000,$A66)</f>
        <v>0</v>
      </c>
      <c r="AF66">
        <f>SUMIFS(Capital_Investments!AF$2:AF$10000,Capital_Investments!$B$2:$B$10000,$A66)</f>
        <v>0</v>
      </c>
      <c r="AG66">
        <f>SUMIFS(Capital_Investments!AG$2:AG$10000,Capital_Investments!$B$2:$B$10000,$A66)</f>
        <v>0</v>
      </c>
    </row>
    <row r="67" spans="1:58">
      <c r="A67" t="s">
        <v>146</v>
      </c>
      <c r="C67">
        <f>SUMIFS(Capital_Investments!C$2:C$10000,Capital_Investments!$B$2:$B$10000,$A67)</f>
        <v>0</v>
      </c>
      <c r="D67">
        <f>SUMIFS(Capital_Investments!D$2:D$10000,Capital_Investments!$B$2:$B$10000,$A67)</f>
        <v>0</v>
      </c>
      <c r="E67">
        <f>SUMIFS(Capital_Investments!E$2:E$10000,Capital_Investments!$B$2:$B$10000,$A67)</f>
        <v>0</v>
      </c>
      <c r="F67">
        <f>SUMIFS(Capital_Investments!F$2:F$10000,Capital_Investments!$B$2:$B$10000,$A67)</f>
        <v>0</v>
      </c>
      <c r="G67">
        <f>SUMIFS(Capital_Investments!G$2:G$10000,Capital_Investments!$B$2:$B$10000,$A67)</f>
        <v>0</v>
      </c>
      <c r="H67">
        <f>SUMIFS(Capital_Investments!H$2:H$10000,Capital_Investments!$B$2:$B$10000,$A67)</f>
        <v>1056</v>
      </c>
      <c r="I67">
        <f>SUMIFS(Capital_Investments!I$2:I$10000,Capital_Investments!$B$2:$B$10000,$A67)</f>
        <v>0</v>
      </c>
      <c r="J67">
        <f>SUMIFS(Capital_Investments!J$2:J$10000,Capital_Investments!$B$2:$B$10000,$A67)</f>
        <v>0</v>
      </c>
      <c r="K67">
        <f>SUMIFS(Capital_Investments!K$2:K$10000,Capital_Investments!$B$2:$B$10000,$A67)</f>
        <v>0</v>
      </c>
      <c r="L67">
        <f>SUMIFS(Capital_Investments!L$2:L$10000,Capital_Investments!$B$2:$B$10000,$A67)</f>
        <v>0</v>
      </c>
      <c r="M67">
        <f>SUMIFS(Capital_Investments!M$2:M$10000,Capital_Investments!$B$2:$B$10000,$A67)</f>
        <v>0</v>
      </c>
      <c r="N67">
        <f>SUMIFS(Capital_Investments!N$2:N$10000,Capital_Investments!$B$2:$B$10000,$A67)</f>
        <v>0</v>
      </c>
      <c r="O67">
        <f>SUMIFS(Capital_Investments!O$2:O$10000,Capital_Investments!$B$2:$B$10000,$A67)</f>
        <v>0</v>
      </c>
      <c r="P67">
        <f>SUMIFS(Capital_Investments!P$2:P$10000,Capital_Investments!$B$2:$B$10000,$A67)</f>
        <v>0</v>
      </c>
      <c r="Q67">
        <f>SUMIFS(Capital_Investments!Q$2:Q$10000,Capital_Investments!$B$2:$B$10000,$A67)</f>
        <v>0</v>
      </c>
      <c r="R67">
        <f>SUMIFS(Capital_Investments!R$2:R$10000,Capital_Investments!$B$2:$B$10000,$A67)</f>
        <v>0</v>
      </c>
      <c r="S67">
        <f>SUMIFS(Capital_Investments!S$2:S$10000,Capital_Investments!$B$2:$B$10000,$A67)</f>
        <v>0</v>
      </c>
      <c r="T67">
        <f>SUMIFS(Capital_Investments!T$2:T$10000,Capital_Investments!$B$2:$B$10000,$A67)</f>
        <v>0</v>
      </c>
      <c r="U67">
        <f>SUMIFS(Capital_Investments!U$2:U$10000,Capital_Investments!$B$2:$B$10000,$A67)</f>
        <v>39.620399999999997</v>
      </c>
      <c r="V67">
        <f>SUMIFS(Capital_Investments!V$2:V$10000,Capital_Investments!$B$2:$B$10000,$A67)</f>
        <v>894.50739999999996</v>
      </c>
      <c r="W67">
        <f>SUMIFS(Capital_Investments!W$2:W$10000,Capital_Investments!$B$2:$B$10000,$A67)</f>
        <v>1745.5572</v>
      </c>
      <c r="X67">
        <f>SUMIFS(Capital_Investments!X$2:X$10000,Capital_Investments!$B$2:$B$10000,$A67)</f>
        <v>845.17989999999998</v>
      </c>
      <c r="Y67">
        <f>SUMIFS(Capital_Investments!Y$2:Y$10000,Capital_Investments!$B$2:$B$10000,$A67)</f>
        <v>226.7963</v>
      </c>
      <c r="Z67">
        <f>SUMIFS(Capital_Investments!Z$2:Z$10000,Capital_Investments!$B$2:$B$10000,$A67)</f>
        <v>207.66030000000001</v>
      </c>
      <c r="AA67">
        <f>SUMIFS(Capital_Investments!AA$2:AA$10000,Capital_Investments!$B$2:$B$10000,$A67)</f>
        <v>286.0111</v>
      </c>
      <c r="AB67">
        <f>SUMIFS(Capital_Investments!AB$2:AB$10000,Capital_Investments!$B$2:$B$10000,$A67)</f>
        <v>302.67009999999999</v>
      </c>
      <c r="AC67">
        <f>SUMIFS(Capital_Investments!AC$2:AC$10000,Capital_Investments!$B$2:$B$10000,$A67)</f>
        <v>987.12159999999994</v>
      </c>
      <c r="AD67">
        <f>SUMIFS(Capital_Investments!AD$2:AD$10000,Capital_Investments!$B$2:$B$10000,$A67)</f>
        <v>297.21319999999997</v>
      </c>
      <c r="AE67">
        <f>SUMIFS(Capital_Investments!AE$2:AE$10000,Capital_Investments!$B$2:$B$10000,$A67)</f>
        <v>442.18540000000002</v>
      </c>
      <c r="AF67">
        <f>SUMIFS(Capital_Investments!AF$2:AF$10000,Capital_Investments!$B$2:$B$10000,$A67)</f>
        <v>1900.4671000000001</v>
      </c>
      <c r="AG67">
        <f>SUMIFS(Capital_Investments!AG$2:AG$10000,Capital_Investments!$B$2:$B$10000,$A67)</f>
        <v>4144.2266</v>
      </c>
    </row>
    <row r="68" spans="1:58">
      <c r="A68" t="s">
        <v>147</v>
      </c>
      <c r="C68">
        <f>SUMIFS(Capital_Investments!C$2:C$10000,Capital_Investments!$B$2:$B$10000,$A68)</f>
        <v>0</v>
      </c>
      <c r="D68">
        <f>SUMIFS(Capital_Investments!D$2:D$10000,Capital_Investments!$B$2:$B$10000,$A68)</f>
        <v>0</v>
      </c>
      <c r="E68">
        <f>SUMIFS(Capital_Investments!E$2:E$10000,Capital_Investments!$B$2:$B$10000,$A68)</f>
        <v>0</v>
      </c>
      <c r="F68">
        <f>SUMIFS(Capital_Investments!F$2:F$10000,Capital_Investments!$B$2:$B$10000,$A68)</f>
        <v>0</v>
      </c>
      <c r="G68">
        <f>SUMIFS(Capital_Investments!G$2:G$10000,Capital_Investments!$B$2:$B$10000,$A68)</f>
        <v>0</v>
      </c>
      <c r="H68">
        <f>SUMIFS(Capital_Investments!H$2:H$10000,Capital_Investments!$B$2:$B$10000,$A68)</f>
        <v>0</v>
      </c>
      <c r="I68">
        <f>SUMIFS(Capital_Investments!I$2:I$10000,Capital_Investments!$B$2:$B$10000,$A68)</f>
        <v>0</v>
      </c>
      <c r="J68">
        <f>SUMIFS(Capital_Investments!J$2:J$10000,Capital_Investments!$B$2:$B$10000,$A68)</f>
        <v>0</v>
      </c>
      <c r="K68">
        <f>SUMIFS(Capital_Investments!K$2:K$10000,Capital_Investments!$B$2:$B$10000,$A68)</f>
        <v>0</v>
      </c>
      <c r="L68">
        <f>SUMIFS(Capital_Investments!L$2:L$10000,Capital_Investments!$B$2:$B$10000,$A68)</f>
        <v>0</v>
      </c>
      <c r="M68">
        <f>SUMIFS(Capital_Investments!M$2:M$10000,Capital_Investments!$B$2:$B$10000,$A68)</f>
        <v>0</v>
      </c>
      <c r="N68">
        <f>SUMIFS(Capital_Investments!N$2:N$10000,Capital_Investments!$B$2:$B$10000,$A68)</f>
        <v>0</v>
      </c>
      <c r="O68">
        <f>SUMIFS(Capital_Investments!O$2:O$10000,Capital_Investments!$B$2:$B$10000,$A68)</f>
        <v>0</v>
      </c>
      <c r="P68">
        <f>SUMIFS(Capital_Investments!P$2:P$10000,Capital_Investments!$B$2:$B$10000,$A68)</f>
        <v>0</v>
      </c>
      <c r="Q68">
        <f>SUMIFS(Capital_Investments!Q$2:Q$10000,Capital_Investments!$B$2:$B$10000,$A68)</f>
        <v>0</v>
      </c>
      <c r="R68">
        <f>SUMIFS(Capital_Investments!R$2:R$10000,Capital_Investments!$B$2:$B$10000,$A68)</f>
        <v>0</v>
      </c>
      <c r="S68">
        <f>SUMIFS(Capital_Investments!S$2:S$10000,Capital_Investments!$B$2:$B$10000,$A68)</f>
        <v>0</v>
      </c>
      <c r="T68">
        <f>SUMIFS(Capital_Investments!T$2:T$10000,Capital_Investments!$B$2:$B$10000,$A68)</f>
        <v>0</v>
      </c>
      <c r="U68">
        <f>SUMIFS(Capital_Investments!U$2:U$10000,Capital_Investments!$B$2:$B$10000,$A68)</f>
        <v>0</v>
      </c>
      <c r="V68">
        <f>SUMIFS(Capital_Investments!V$2:V$10000,Capital_Investments!$B$2:$B$10000,$A68)</f>
        <v>0</v>
      </c>
      <c r="W68">
        <f>SUMIFS(Capital_Investments!W$2:W$10000,Capital_Investments!$B$2:$B$10000,$A68)</f>
        <v>0</v>
      </c>
      <c r="X68">
        <f>SUMIFS(Capital_Investments!X$2:X$10000,Capital_Investments!$B$2:$B$10000,$A68)</f>
        <v>0</v>
      </c>
      <c r="Y68">
        <f>SUMIFS(Capital_Investments!Y$2:Y$10000,Capital_Investments!$B$2:$B$10000,$A68)</f>
        <v>0</v>
      </c>
      <c r="Z68">
        <f>SUMIFS(Capital_Investments!Z$2:Z$10000,Capital_Investments!$B$2:$B$10000,$A68)</f>
        <v>0</v>
      </c>
      <c r="AA68">
        <f>SUMIFS(Capital_Investments!AA$2:AA$10000,Capital_Investments!$B$2:$B$10000,$A68)</f>
        <v>0</v>
      </c>
      <c r="AB68">
        <f>SUMIFS(Capital_Investments!AB$2:AB$10000,Capital_Investments!$B$2:$B$10000,$A68)</f>
        <v>0</v>
      </c>
      <c r="AC68">
        <f>SUMIFS(Capital_Investments!AC$2:AC$10000,Capital_Investments!$B$2:$B$10000,$A68)</f>
        <v>0</v>
      </c>
      <c r="AD68">
        <f>SUMIFS(Capital_Investments!AD$2:AD$10000,Capital_Investments!$B$2:$B$10000,$A68)</f>
        <v>0</v>
      </c>
      <c r="AE68">
        <f>SUMIFS(Capital_Investments!AE$2:AE$10000,Capital_Investments!$B$2:$B$10000,$A68)</f>
        <v>0</v>
      </c>
      <c r="AF68">
        <f>SUMIFS(Capital_Investments!AF$2:AF$10000,Capital_Investments!$B$2:$B$10000,$A68)</f>
        <v>0</v>
      </c>
      <c r="AG68">
        <f>SUMIFS(Capital_Investments!AG$2:AG$10000,Capital_Investments!$B$2:$B$10000,$A68)</f>
        <v>0</v>
      </c>
    </row>
    <row r="69" spans="1:58">
      <c r="A69" t="s">
        <v>148</v>
      </c>
      <c r="C69">
        <f>SUMIFS(Capital_Investments!C$2:C$10000,Capital_Investments!$B$2:$B$10000,$A69)</f>
        <v>0</v>
      </c>
      <c r="D69">
        <f>SUMIFS(Capital_Investments!D$2:D$10000,Capital_Investments!$B$2:$B$10000,$A69)</f>
        <v>0</v>
      </c>
      <c r="E69">
        <f>SUMIFS(Capital_Investments!E$2:E$10000,Capital_Investments!$B$2:$B$10000,$A69)</f>
        <v>0</v>
      </c>
      <c r="F69">
        <f>SUMIFS(Capital_Investments!F$2:F$10000,Capital_Investments!$B$2:$B$10000,$A69)</f>
        <v>0</v>
      </c>
      <c r="G69">
        <f>SUMIFS(Capital_Investments!G$2:G$10000,Capital_Investments!$B$2:$B$10000,$A69)</f>
        <v>0</v>
      </c>
      <c r="H69">
        <f>SUMIFS(Capital_Investments!H$2:H$10000,Capital_Investments!$B$2:$B$10000,$A69)</f>
        <v>0</v>
      </c>
      <c r="I69">
        <f>SUMIFS(Capital_Investments!I$2:I$10000,Capital_Investments!$B$2:$B$10000,$A69)</f>
        <v>0</v>
      </c>
      <c r="J69">
        <f>SUMIFS(Capital_Investments!J$2:J$10000,Capital_Investments!$B$2:$B$10000,$A69)</f>
        <v>0</v>
      </c>
      <c r="K69">
        <f>SUMIFS(Capital_Investments!K$2:K$10000,Capital_Investments!$B$2:$B$10000,$A69)</f>
        <v>0</v>
      </c>
      <c r="L69">
        <f>SUMIFS(Capital_Investments!L$2:L$10000,Capital_Investments!$B$2:$B$10000,$A69)</f>
        <v>0</v>
      </c>
      <c r="M69">
        <f>SUMIFS(Capital_Investments!M$2:M$10000,Capital_Investments!$B$2:$B$10000,$A69)</f>
        <v>0</v>
      </c>
      <c r="N69">
        <f>SUMIFS(Capital_Investments!N$2:N$10000,Capital_Investments!$B$2:$B$10000,$A69)</f>
        <v>0</v>
      </c>
      <c r="O69">
        <f>SUMIFS(Capital_Investments!O$2:O$10000,Capital_Investments!$B$2:$B$10000,$A69)</f>
        <v>0</v>
      </c>
      <c r="P69">
        <f>SUMIFS(Capital_Investments!P$2:P$10000,Capital_Investments!$B$2:$B$10000,$A69)</f>
        <v>0</v>
      </c>
      <c r="Q69">
        <f>SUMIFS(Capital_Investments!Q$2:Q$10000,Capital_Investments!$B$2:$B$10000,$A69)</f>
        <v>0</v>
      </c>
      <c r="R69">
        <f>SUMIFS(Capital_Investments!R$2:R$10000,Capital_Investments!$B$2:$B$10000,$A69)</f>
        <v>0</v>
      </c>
      <c r="S69">
        <f>SUMIFS(Capital_Investments!S$2:S$10000,Capital_Investments!$B$2:$B$10000,$A69)</f>
        <v>0</v>
      </c>
      <c r="T69">
        <f>SUMIFS(Capital_Investments!T$2:T$10000,Capital_Investments!$B$2:$B$10000,$A69)</f>
        <v>0</v>
      </c>
      <c r="U69">
        <f>SUMIFS(Capital_Investments!U$2:U$10000,Capital_Investments!$B$2:$B$10000,$A69)</f>
        <v>0</v>
      </c>
      <c r="V69">
        <f>SUMIFS(Capital_Investments!V$2:V$10000,Capital_Investments!$B$2:$B$10000,$A69)</f>
        <v>0</v>
      </c>
      <c r="W69">
        <f>SUMIFS(Capital_Investments!W$2:W$10000,Capital_Investments!$B$2:$B$10000,$A69)</f>
        <v>0</v>
      </c>
      <c r="X69">
        <f>SUMIFS(Capital_Investments!X$2:X$10000,Capital_Investments!$B$2:$B$10000,$A69)</f>
        <v>0</v>
      </c>
      <c r="Y69">
        <f>SUMIFS(Capital_Investments!Y$2:Y$10000,Capital_Investments!$B$2:$B$10000,$A69)</f>
        <v>0</v>
      </c>
      <c r="Z69">
        <f>SUMIFS(Capital_Investments!Z$2:Z$10000,Capital_Investments!$B$2:$B$10000,$A69)</f>
        <v>0</v>
      </c>
      <c r="AA69">
        <f>SUMIFS(Capital_Investments!AA$2:AA$10000,Capital_Investments!$B$2:$B$10000,$A69)</f>
        <v>0</v>
      </c>
      <c r="AB69">
        <f>SUMIFS(Capital_Investments!AB$2:AB$10000,Capital_Investments!$B$2:$B$10000,$A69)</f>
        <v>0</v>
      </c>
      <c r="AC69">
        <f>SUMIFS(Capital_Investments!AC$2:AC$10000,Capital_Investments!$B$2:$B$10000,$A69)</f>
        <v>0</v>
      </c>
      <c r="AD69">
        <f>SUMIFS(Capital_Investments!AD$2:AD$10000,Capital_Investments!$B$2:$B$10000,$A69)</f>
        <v>0</v>
      </c>
      <c r="AE69">
        <f>SUMIFS(Capital_Investments!AE$2:AE$10000,Capital_Investments!$B$2:$B$10000,$A69)</f>
        <v>0</v>
      </c>
      <c r="AF69">
        <f>SUMIFS(Capital_Investments!AF$2:AF$10000,Capital_Investments!$B$2:$B$10000,$A69)</f>
        <v>0</v>
      </c>
      <c r="AG69">
        <f>SUMIFS(Capital_Investments!AG$2:AG$10000,Capital_Investments!$B$2:$B$10000,$A69)</f>
        <v>0</v>
      </c>
    </row>
    <row r="70" spans="1:58">
      <c r="A70" t="s">
        <v>149</v>
      </c>
      <c r="C70">
        <f>SUMIFS(Capital_Investments!C$2:C$10000,Capital_Investments!$B$2:$B$10000,$A70)</f>
        <v>0</v>
      </c>
      <c r="D70">
        <f>SUMIFS(Capital_Investments!D$2:D$10000,Capital_Investments!$B$2:$B$10000,$A70)</f>
        <v>0</v>
      </c>
      <c r="E70">
        <f>SUMIFS(Capital_Investments!E$2:E$10000,Capital_Investments!$B$2:$B$10000,$A70)</f>
        <v>0</v>
      </c>
      <c r="F70">
        <f>SUMIFS(Capital_Investments!F$2:F$10000,Capital_Investments!$B$2:$B$10000,$A70)</f>
        <v>0</v>
      </c>
      <c r="G70">
        <f>SUMIFS(Capital_Investments!G$2:G$10000,Capital_Investments!$B$2:$B$10000,$A70)</f>
        <v>0</v>
      </c>
      <c r="H70">
        <f>SUMIFS(Capital_Investments!H$2:H$10000,Capital_Investments!$B$2:$B$10000,$A70)</f>
        <v>0</v>
      </c>
      <c r="I70">
        <f>SUMIFS(Capital_Investments!I$2:I$10000,Capital_Investments!$B$2:$B$10000,$A70)</f>
        <v>0</v>
      </c>
      <c r="J70">
        <f>SUMIFS(Capital_Investments!J$2:J$10000,Capital_Investments!$B$2:$B$10000,$A70)</f>
        <v>0</v>
      </c>
      <c r="K70">
        <f>SUMIFS(Capital_Investments!K$2:K$10000,Capital_Investments!$B$2:$B$10000,$A70)</f>
        <v>0</v>
      </c>
      <c r="L70">
        <f>SUMIFS(Capital_Investments!L$2:L$10000,Capital_Investments!$B$2:$B$10000,$A70)</f>
        <v>0</v>
      </c>
      <c r="M70">
        <f>SUMIFS(Capital_Investments!M$2:M$10000,Capital_Investments!$B$2:$B$10000,$A70)</f>
        <v>0</v>
      </c>
      <c r="N70">
        <f>SUMIFS(Capital_Investments!N$2:N$10000,Capital_Investments!$B$2:$B$10000,$A70)</f>
        <v>0</v>
      </c>
      <c r="O70">
        <f>SUMIFS(Capital_Investments!O$2:O$10000,Capital_Investments!$B$2:$B$10000,$A70)</f>
        <v>0</v>
      </c>
      <c r="P70">
        <f>SUMIFS(Capital_Investments!P$2:P$10000,Capital_Investments!$B$2:$B$10000,$A70)</f>
        <v>0</v>
      </c>
      <c r="Q70">
        <f>SUMIFS(Capital_Investments!Q$2:Q$10000,Capital_Investments!$B$2:$B$10000,$A70)</f>
        <v>0</v>
      </c>
      <c r="R70">
        <f>SUMIFS(Capital_Investments!R$2:R$10000,Capital_Investments!$B$2:$B$10000,$A70)</f>
        <v>0</v>
      </c>
      <c r="S70">
        <f>SUMIFS(Capital_Investments!S$2:S$10000,Capital_Investments!$B$2:$B$10000,$A70)</f>
        <v>0</v>
      </c>
      <c r="T70">
        <f>SUMIFS(Capital_Investments!T$2:T$10000,Capital_Investments!$B$2:$B$10000,$A70)</f>
        <v>0</v>
      </c>
      <c r="U70">
        <f>SUMIFS(Capital_Investments!U$2:U$10000,Capital_Investments!$B$2:$B$10000,$A70)</f>
        <v>0</v>
      </c>
      <c r="V70">
        <f>SUMIFS(Capital_Investments!V$2:V$10000,Capital_Investments!$B$2:$B$10000,$A70)</f>
        <v>0</v>
      </c>
      <c r="W70">
        <f>SUMIFS(Capital_Investments!W$2:W$10000,Capital_Investments!$B$2:$B$10000,$A70)</f>
        <v>0</v>
      </c>
      <c r="X70">
        <f>SUMIFS(Capital_Investments!X$2:X$10000,Capital_Investments!$B$2:$B$10000,$A70)</f>
        <v>0</v>
      </c>
      <c r="Y70">
        <f>SUMIFS(Capital_Investments!Y$2:Y$10000,Capital_Investments!$B$2:$B$10000,$A70)</f>
        <v>0</v>
      </c>
      <c r="Z70">
        <f>SUMIFS(Capital_Investments!Z$2:Z$10000,Capital_Investments!$B$2:$B$10000,$A70)</f>
        <v>0</v>
      </c>
      <c r="AA70">
        <f>SUMIFS(Capital_Investments!AA$2:AA$10000,Capital_Investments!$B$2:$B$10000,$A70)</f>
        <v>0</v>
      </c>
      <c r="AB70">
        <f>SUMIFS(Capital_Investments!AB$2:AB$10000,Capital_Investments!$B$2:$B$10000,$A70)</f>
        <v>0</v>
      </c>
      <c r="AC70">
        <f>SUMIFS(Capital_Investments!AC$2:AC$10000,Capital_Investments!$B$2:$B$10000,$A70)</f>
        <v>0</v>
      </c>
      <c r="AD70">
        <f>SUMIFS(Capital_Investments!AD$2:AD$10000,Capital_Investments!$B$2:$B$10000,$A70)</f>
        <v>0</v>
      </c>
      <c r="AE70">
        <f>SUMIFS(Capital_Investments!AE$2:AE$10000,Capital_Investments!$B$2:$B$10000,$A70)</f>
        <v>0</v>
      </c>
      <c r="AF70">
        <f>SUMIFS(Capital_Investments!AF$2:AF$10000,Capital_Investments!$B$2:$B$10000,$A70)</f>
        <v>0</v>
      </c>
      <c r="AG70">
        <f>SUMIFS(Capital_Investments!AG$2:AG$10000,Capital_Investments!$B$2:$B$10000,$A70)</f>
        <v>0</v>
      </c>
    </row>
    <row r="71" spans="1:58">
      <c r="A71" t="s">
        <v>150</v>
      </c>
      <c r="C71">
        <f>SUMIFS(Capital_Investments!C$2:C$10000,Capital_Investments!$B$2:$B$10000,$A71)</f>
        <v>0</v>
      </c>
      <c r="D71">
        <f>SUMIFS(Capital_Investments!D$2:D$10000,Capital_Investments!$B$2:$B$10000,$A71)</f>
        <v>288.55009999999999</v>
      </c>
      <c r="E71">
        <f>SUMIFS(Capital_Investments!E$2:E$10000,Capital_Investments!$B$2:$B$10000,$A71)</f>
        <v>279.3372</v>
      </c>
      <c r="F71">
        <f>SUMIFS(Capital_Investments!F$2:F$10000,Capital_Investments!$B$2:$B$10000,$A71)</f>
        <v>138.0787</v>
      </c>
      <c r="G71">
        <f>SUMIFS(Capital_Investments!G$2:G$10000,Capital_Investments!$B$2:$B$10000,$A71)</f>
        <v>848.31359999999995</v>
      </c>
      <c r="H71">
        <f>SUMIFS(Capital_Investments!H$2:H$10000,Capital_Investments!$B$2:$B$10000,$A71)</f>
        <v>224.32859999999999</v>
      </c>
      <c r="I71">
        <f>SUMIFS(Capital_Investments!I$2:I$10000,Capital_Investments!$B$2:$B$10000,$A71)</f>
        <v>0</v>
      </c>
      <c r="J71">
        <f>SUMIFS(Capital_Investments!J$2:J$10000,Capital_Investments!$B$2:$B$10000,$A71)</f>
        <v>0</v>
      </c>
      <c r="K71">
        <f>SUMIFS(Capital_Investments!K$2:K$10000,Capital_Investments!$B$2:$B$10000,$A71)</f>
        <v>0</v>
      </c>
      <c r="L71">
        <f>SUMIFS(Capital_Investments!L$2:L$10000,Capital_Investments!$B$2:$B$10000,$A71)</f>
        <v>0</v>
      </c>
      <c r="M71">
        <f>SUMIFS(Capital_Investments!M$2:M$10000,Capital_Investments!$B$2:$B$10000,$A71)</f>
        <v>5575.0879000000004</v>
      </c>
      <c r="N71">
        <f>SUMIFS(Capital_Investments!N$2:N$10000,Capital_Investments!$B$2:$B$10000,$A71)</f>
        <v>0</v>
      </c>
      <c r="O71">
        <f>SUMIFS(Capital_Investments!O$2:O$10000,Capital_Investments!$B$2:$B$10000,$A71)</f>
        <v>0</v>
      </c>
      <c r="P71">
        <f>SUMIFS(Capital_Investments!P$2:P$10000,Capital_Investments!$B$2:$B$10000,$A71)</f>
        <v>0</v>
      </c>
      <c r="Q71">
        <f>SUMIFS(Capital_Investments!Q$2:Q$10000,Capital_Investments!$B$2:$B$10000,$A71)</f>
        <v>18.686199999999999</v>
      </c>
      <c r="R71">
        <f>SUMIFS(Capital_Investments!R$2:R$10000,Capital_Investments!$B$2:$B$10000,$A71)</f>
        <v>0</v>
      </c>
      <c r="S71">
        <f>SUMIFS(Capital_Investments!S$2:S$10000,Capital_Investments!$B$2:$B$10000,$A71)</f>
        <v>0</v>
      </c>
      <c r="T71">
        <f>SUMIFS(Capital_Investments!T$2:T$10000,Capital_Investments!$B$2:$B$10000,$A71)</f>
        <v>0</v>
      </c>
      <c r="U71">
        <f>SUMIFS(Capital_Investments!U$2:U$10000,Capital_Investments!$B$2:$B$10000,$A71)</f>
        <v>0</v>
      </c>
      <c r="V71">
        <f>SUMIFS(Capital_Investments!V$2:V$10000,Capital_Investments!$B$2:$B$10000,$A71)</f>
        <v>0</v>
      </c>
      <c r="W71">
        <f>SUMIFS(Capital_Investments!W$2:W$10000,Capital_Investments!$B$2:$B$10000,$A71)</f>
        <v>8131.4795000000004</v>
      </c>
      <c r="X71">
        <f>SUMIFS(Capital_Investments!X$2:X$10000,Capital_Investments!$B$2:$B$10000,$A71)</f>
        <v>695.33389999999997</v>
      </c>
      <c r="Y71">
        <f>SUMIFS(Capital_Investments!Y$2:Y$10000,Capital_Investments!$B$2:$B$10000,$A71)</f>
        <v>726.72540000000004</v>
      </c>
      <c r="Z71">
        <f>SUMIFS(Capital_Investments!Z$2:Z$10000,Capital_Investments!$B$2:$B$10000,$A71)</f>
        <v>710.11699999999996</v>
      </c>
      <c r="AA71">
        <f>SUMIFS(Capital_Investments!AA$2:AA$10000,Capital_Investments!$B$2:$B$10000,$A71)</f>
        <v>704.17280000000005</v>
      </c>
      <c r="AB71">
        <f>SUMIFS(Capital_Investments!AB$2:AB$10000,Capital_Investments!$B$2:$B$10000,$A71)</f>
        <v>737.95690000000002</v>
      </c>
      <c r="AC71">
        <f>SUMIFS(Capital_Investments!AC$2:AC$10000,Capital_Investments!$B$2:$B$10000,$A71)</f>
        <v>961.11500000000001</v>
      </c>
      <c r="AD71">
        <f>SUMIFS(Capital_Investments!AD$2:AD$10000,Capital_Investments!$B$2:$B$10000,$A71)</f>
        <v>722.18320000000006</v>
      </c>
      <c r="AE71">
        <f>SUMIFS(Capital_Investments!AE$2:AE$10000,Capital_Investments!$B$2:$B$10000,$A71)</f>
        <v>1372.8465000000001</v>
      </c>
      <c r="AF71">
        <f>SUMIFS(Capital_Investments!AF$2:AF$10000,Capital_Investments!$B$2:$B$10000,$A71)</f>
        <v>0</v>
      </c>
      <c r="AG71">
        <f>SUMIFS(Capital_Investments!AG$2:AG$10000,Capital_Investments!$B$2:$B$10000,$A71)</f>
        <v>3521.9793</v>
      </c>
    </row>
    <row r="72" spans="1:58">
      <c r="A72" t="s">
        <v>151</v>
      </c>
      <c r="C72">
        <f>SUMIFS(Capital_Investments!C$2:C$10000,Capital_Investments!$B$2:$B$10000,$A72)</f>
        <v>0</v>
      </c>
      <c r="D72">
        <f>SUMIFS(Capital_Investments!D$2:D$10000,Capital_Investments!$B$2:$B$10000,$A72)</f>
        <v>0</v>
      </c>
      <c r="E72">
        <f>SUMIFS(Capital_Investments!E$2:E$10000,Capital_Investments!$B$2:$B$10000,$A72)</f>
        <v>0</v>
      </c>
      <c r="F72">
        <f>SUMIFS(Capital_Investments!F$2:F$10000,Capital_Investments!$B$2:$B$10000,$A72)</f>
        <v>0</v>
      </c>
      <c r="G72">
        <f>SUMIFS(Capital_Investments!G$2:G$10000,Capital_Investments!$B$2:$B$10000,$A72)</f>
        <v>0</v>
      </c>
      <c r="H72">
        <f>SUMIFS(Capital_Investments!H$2:H$10000,Capital_Investments!$B$2:$B$10000,$A72)</f>
        <v>0</v>
      </c>
      <c r="I72">
        <f>SUMIFS(Capital_Investments!I$2:I$10000,Capital_Investments!$B$2:$B$10000,$A72)</f>
        <v>0</v>
      </c>
      <c r="J72">
        <f>SUMIFS(Capital_Investments!J$2:J$10000,Capital_Investments!$B$2:$B$10000,$A72)</f>
        <v>0</v>
      </c>
      <c r="K72">
        <f>SUMIFS(Capital_Investments!K$2:K$10000,Capital_Investments!$B$2:$B$10000,$A72)</f>
        <v>0</v>
      </c>
      <c r="L72">
        <f>SUMIFS(Capital_Investments!L$2:L$10000,Capital_Investments!$B$2:$B$10000,$A72)</f>
        <v>0</v>
      </c>
      <c r="M72">
        <f>SUMIFS(Capital_Investments!M$2:M$10000,Capital_Investments!$B$2:$B$10000,$A72)</f>
        <v>0</v>
      </c>
      <c r="N72">
        <f>SUMIFS(Capital_Investments!N$2:N$10000,Capital_Investments!$B$2:$B$10000,$A72)</f>
        <v>0</v>
      </c>
      <c r="O72">
        <f>SUMIFS(Capital_Investments!O$2:O$10000,Capital_Investments!$B$2:$B$10000,$A72)</f>
        <v>0</v>
      </c>
      <c r="P72">
        <f>SUMIFS(Capital_Investments!P$2:P$10000,Capital_Investments!$B$2:$B$10000,$A72)</f>
        <v>0</v>
      </c>
      <c r="Q72">
        <f>SUMIFS(Capital_Investments!Q$2:Q$10000,Capital_Investments!$B$2:$B$10000,$A72)</f>
        <v>0</v>
      </c>
      <c r="R72">
        <f>SUMIFS(Capital_Investments!R$2:R$10000,Capital_Investments!$B$2:$B$10000,$A72)</f>
        <v>0</v>
      </c>
      <c r="S72">
        <f>SUMIFS(Capital_Investments!S$2:S$10000,Capital_Investments!$B$2:$B$10000,$A72)</f>
        <v>0</v>
      </c>
      <c r="T72">
        <f>SUMIFS(Capital_Investments!T$2:T$10000,Capital_Investments!$B$2:$B$10000,$A72)</f>
        <v>0</v>
      </c>
      <c r="U72">
        <f>SUMIFS(Capital_Investments!U$2:U$10000,Capital_Investments!$B$2:$B$10000,$A72)</f>
        <v>0</v>
      </c>
      <c r="V72">
        <f>SUMIFS(Capital_Investments!V$2:V$10000,Capital_Investments!$B$2:$B$10000,$A72)</f>
        <v>0</v>
      </c>
      <c r="W72">
        <f>SUMIFS(Capital_Investments!W$2:W$10000,Capital_Investments!$B$2:$B$10000,$A72)</f>
        <v>0</v>
      </c>
      <c r="X72">
        <f>SUMIFS(Capital_Investments!X$2:X$10000,Capital_Investments!$B$2:$B$10000,$A72)</f>
        <v>0</v>
      </c>
      <c r="Y72">
        <f>SUMIFS(Capital_Investments!Y$2:Y$10000,Capital_Investments!$B$2:$B$10000,$A72)</f>
        <v>0</v>
      </c>
      <c r="Z72">
        <f>SUMIFS(Capital_Investments!Z$2:Z$10000,Capital_Investments!$B$2:$B$10000,$A72)</f>
        <v>0</v>
      </c>
      <c r="AA72">
        <f>SUMIFS(Capital_Investments!AA$2:AA$10000,Capital_Investments!$B$2:$B$10000,$A72)</f>
        <v>0</v>
      </c>
      <c r="AB72">
        <f>SUMIFS(Capital_Investments!AB$2:AB$10000,Capital_Investments!$B$2:$B$10000,$A72)</f>
        <v>0</v>
      </c>
      <c r="AC72">
        <f>SUMIFS(Capital_Investments!AC$2:AC$10000,Capital_Investments!$B$2:$B$10000,$A72)</f>
        <v>0</v>
      </c>
      <c r="AD72">
        <f>SUMIFS(Capital_Investments!AD$2:AD$10000,Capital_Investments!$B$2:$B$10000,$A72)</f>
        <v>0</v>
      </c>
      <c r="AE72">
        <f>SUMIFS(Capital_Investments!AE$2:AE$10000,Capital_Investments!$B$2:$B$10000,$A72)</f>
        <v>0</v>
      </c>
      <c r="AF72">
        <f>SUMIFS(Capital_Investments!AF$2:AF$10000,Capital_Investments!$B$2:$B$10000,$A72)</f>
        <v>0</v>
      </c>
      <c r="AG72">
        <f>SUMIFS(Capital_Investments!AG$2:AG$10000,Capital_Investments!$B$2:$B$10000,$A72)</f>
        <v>0</v>
      </c>
    </row>
    <row r="73" spans="1:58">
      <c r="A73" t="s">
        <v>152</v>
      </c>
      <c r="C73">
        <f>SUMIFS(Capital_Investments!C$2:C$10000,Capital_Investments!$B$2:$B$10000,$A73)</f>
        <v>357.99759999999998</v>
      </c>
      <c r="D73">
        <f>SUMIFS(Capital_Investments!D$2:D$10000,Capital_Investments!$B$2:$B$10000,$A73)</f>
        <v>225.77699999999999</v>
      </c>
      <c r="E73">
        <f>SUMIFS(Capital_Investments!E$2:E$10000,Capital_Investments!$B$2:$B$10000,$A73)</f>
        <v>0</v>
      </c>
      <c r="F73">
        <f>SUMIFS(Capital_Investments!F$2:F$10000,Capital_Investments!$B$2:$B$10000,$A73)</f>
        <v>33.935299999999998</v>
      </c>
      <c r="G73">
        <f>SUMIFS(Capital_Investments!G$2:G$10000,Capital_Investments!$B$2:$B$10000,$A73)</f>
        <v>0</v>
      </c>
      <c r="H73">
        <f>SUMIFS(Capital_Investments!H$2:H$10000,Capital_Investments!$B$2:$B$10000,$A73)</f>
        <v>0</v>
      </c>
      <c r="I73">
        <f>SUMIFS(Capital_Investments!I$2:I$10000,Capital_Investments!$B$2:$B$10000,$A73)</f>
        <v>0</v>
      </c>
      <c r="J73">
        <f>SUMIFS(Capital_Investments!J$2:J$10000,Capital_Investments!$B$2:$B$10000,$A73)</f>
        <v>0</v>
      </c>
      <c r="K73">
        <f>SUMIFS(Capital_Investments!K$2:K$10000,Capital_Investments!$B$2:$B$10000,$A73)</f>
        <v>0</v>
      </c>
      <c r="L73">
        <f>SUMIFS(Capital_Investments!L$2:L$10000,Capital_Investments!$B$2:$B$10000,$A73)</f>
        <v>0</v>
      </c>
      <c r="M73">
        <f>SUMIFS(Capital_Investments!M$2:M$10000,Capital_Investments!$B$2:$B$10000,$A73)</f>
        <v>0</v>
      </c>
      <c r="N73">
        <f>SUMIFS(Capital_Investments!N$2:N$10000,Capital_Investments!$B$2:$B$10000,$A73)</f>
        <v>0</v>
      </c>
      <c r="O73">
        <f>SUMIFS(Capital_Investments!O$2:O$10000,Capital_Investments!$B$2:$B$10000,$A73)</f>
        <v>0</v>
      </c>
      <c r="P73">
        <f>SUMIFS(Capital_Investments!P$2:P$10000,Capital_Investments!$B$2:$B$10000,$A73)</f>
        <v>0</v>
      </c>
      <c r="Q73">
        <f>SUMIFS(Capital_Investments!Q$2:Q$10000,Capital_Investments!$B$2:$B$10000,$A73)</f>
        <v>0</v>
      </c>
      <c r="R73">
        <f>SUMIFS(Capital_Investments!R$2:R$10000,Capital_Investments!$B$2:$B$10000,$A73)</f>
        <v>0</v>
      </c>
      <c r="S73">
        <f>SUMIFS(Capital_Investments!S$2:S$10000,Capital_Investments!$B$2:$B$10000,$A73)</f>
        <v>0</v>
      </c>
      <c r="T73">
        <f>SUMIFS(Capital_Investments!T$2:T$10000,Capital_Investments!$B$2:$B$10000,$A73)</f>
        <v>0</v>
      </c>
      <c r="U73">
        <f>SUMIFS(Capital_Investments!U$2:U$10000,Capital_Investments!$B$2:$B$10000,$A73)</f>
        <v>0</v>
      </c>
      <c r="V73">
        <f>SUMIFS(Capital_Investments!V$2:V$10000,Capital_Investments!$B$2:$B$10000,$A73)</f>
        <v>0</v>
      </c>
      <c r="W73">
        <f>SUMIFS(Capital_Investments!W$2:W$10000,Capital_Investments!$B$2:$B$10000,$A73)</f>
        <v>0</v>
      </c>
      <c r="X73">
        <f>SUMIFS(Capital_Investments!X$2:X$10000,Capital_Investments!$B$2:$B$10000,$A73)</f>
        <v>0</v>
      </c>
      <c r="Y73">
        <f>SUMIFS(Capital_Investments!Y$2:Y$10000,Capital_Investments!$B$2:$B$10000,$A73)</f>
        <v>0</v>
      </c>
      <c r="Z73">
        <f>SUMIFS(Capital_Investments!Z$2:Z$10000,Capital_Investments!$B$2:$B$10000,$A73)</f>
        <v>0</v>
      </c>
      <c r="AA73">
        <f>SUMIFS(Capital_Investments!AA$2:AA$10000,Capital_Investments!$B$2:$B$10000,$A73)</f>
        <v>0</v>
      </c>
      <c r="AB73">
        <f>SUMIFS(Capital_Investments!AB$2:AB$10000,Capital_Investments!$B$2:$B$10000,$A73)</f>
        <v>0</v>
      </c>
      <c r="AC73">
        <f>SUMIFS(Capital_Investments!AC$2:AC$10000,Capital_Investments!$B$2:$B$10000,$A73)</f>
        <v>0</v>
      </c>
      <c r="AD73">
        <f>SUMIFS(Capital_Investments!AD$2:AD$10000,Capital_Investments!$B$2:$B$10000,$A73)</f>
        <v>0</v>
      </c>
      <c r="AE73">
        <f>SUMIFS(Capital_Investments!AE$2:AE$10000,Capital_Investments!$B$2:$B$10000,$A73)</f>
        <v>0</v>
      </c>
      <c r="AF73">
        <f>SUMIFS(Capital_Investments!AF$2:AF$10000,Capital_Investments!$B$2:$B$10000,$A73)</f>
        <v>0</v>
      </c>
      <c r="AG73">
        <f>SUMIFS(Capital_Investments!AG$2:AG$10000,Capital_Investments!$B$2:$B$10000,$A73)</f>
        <v>0</v>
      </c>
    </row>
    <row r="74" spans="1:58">
      <c r="A74" t="s">
        <v>135</v>
      </c>
      <c r="C74">
        <f>SUMIFS(Capital_Investments!C$2:C$10000,Capital_Investments!$B$2:$B$10000,$A74)</f>
        <v>0</v>
      </c>
      <c r="D74">
        <f>SUMIFS(Capital_Investments!D$2:D$10000,Capital_Investments!$B$2:$B$10000,$A74)</f>
        <v>233.74</v>
      </c>
      <c r="E74">
        <f>SUMIFS(Capital_Investments!E$2:E$10000,Capital_Investments!$B$2:$B$10000,$A74)</f>
        <v>126.49</v>
      </c>
      <c r="F74">
        <f>SUMIFS(Capital_Investments!F$2:F$10000,Capital_Investments!$B$2:$B$10000,$A74)</f>
        <v>0</v>
      </c>
      <c r="G74">
        <f>SUMIFS(Capital_Investments!G$2:G$10000,Capital_Investments!$B$2:$B$10000,$A74)</f>
        <v>14.56</v>
      </c>
      <c r="H74">
        <f>SUMIFS(Capital_Investments!H$2:H$10000,Capital_Investments!$B$2:$B$10000,$A74)</f>
        <v>0</v>
      </c>
      <c r="I74">
        <f>SUMIFS(Capital_Investments!I$2:I$10000,Capital_Investments!$B$2:$B$10000,$A74)</f>
        <v>0</v>
      </c>
      <c r="J74">
        <f>SUMIFS(Capital_Investments!J$2:J$10000,Capital_Investments!$B$2:$B$10000,$A74)</f>
        <v>0</v>
      </c>
      <c r="K74">
        <f>SUMIFS(Capital_Investments!K$2:K$10000,Capital_Investments!$B$2:$B$10000,$A74)</f>
        <v>0</v>
      </c>
      <c r="L74">
        <f>SUMIFS(Capital_Investments!L$2:L$10000,Capital_Investments!$B$2:$B$10000,$A74)</f>
        <v>0</v>
      </c>
      <c r="M74">
        <f>SUMIFS(Capital_Investments!M$2:M$10000,Capital_Investments!$B$2:$B$10000,$A74)</f>
        <v>0</v>
      </c>
      <c r="N74">
        <f>SUMIFS(Capital_Investments!N$2:N$10000,Capital_Investments!$B$2:$B$10000,$A74)</f>
        <v>0</v>
      </c>
      <c r="O74">
        <f>SUMIFS(Capital_Investments!O$2:O$10000,Capital_Investments!$B$2:$B$10000,$A74)</f>
        <v>0</v>
      </c>
      <c r="P74">
        <f>SUMIFS(Capital_Investments!P$2:P$10000,Capital_Investments!$B$2:$B$10000,$A74)</f>
        <v>0</v>
      </c>
      <c r="Q74">
        <f>SUMIFS(Capital_Investments!Q$2:Q$10000,Capital_Investments!$B$2:$B$10000,$A74)</f>
        <v>0</v>
      </c>
      <c r="R74">
        <f>SUMIFS(Capital_Investments!R$2:R$10000,Capital_Investments!$B$2:$B$10000,$A74)</f>
        <v>0</v>
      </c>
      <c r="S74">
        <f>SUMIFS(Capital_Investments!S$2:S$10000,Capital_Investments!$B$2:$B$10000,$A74)</f>
        <v>0</v>
      </c>
      <c r="T74">
        <f>SUMIFS(Capital_Investments!T$2:T$10000,Capital_Investments!$B$2:$B$10000,$A74)</f>
        <v>0</v>
      </c>
      <c r="U74">
        <f>SUMIFS(Capital_Investments!U$2:U$10000,Capital_Investments!$B$2:$B$10000,$A74)</f>
        <v>0</v>
      </c>
      <c r="V74">
        <f>SUMIFS(Capital_Investments!V$2:V$10000,Capital_Investments!$B$2:$B$10000,$A74)</f>
        <v>0</v>
      </c>
      <c r="W74">
        <f>SUMIFS(Capital_Investments!W$2:W$10000,Capital_Investments!$B$2:$B$10000,$A74)</f>
        <v>0</v>
      </c>
      <c r="X74">
        <f>SUMIFS(Capital_Investments!X$2:X$10000,Capital_Investments!$B$2:$B$10000,$A74)</f>
        <v>0</v>
      </c>
      <c r="Y74">
        <f>SUMIFS(Capital_Investments!Y$2:Y$10000,Capital_Investments!$B$2:$B$10000,$A74)</f>
        <v>0</v>
      </c>
      <c r="Z74">
        <f>SUMIFS(Capital_Investments!Z$2:Z$10000,Capital_Investments!$B$2:$B$10000,$A74)</f>
        <v>0</v>
      </c>
      <c r="AA74">
        <f>SUMIFS(Capital_Investments!AA$2:AA$10000,Capital_Investments!$B$2:$B$10000,$A74)</f>
        <v>0</v>
      </c>
      <c r="AB74">
        <f>SUMIFS(Capital_Investments!AB$2:AB$10000,Capital_Investments!$B$2:$B$10000,$A74)</f>
        <v>0</v>
      </c>
      <c r="AC74">
        <f>SUMIFS(Capital_Investments!AC$2:AC$10000,Capital_Investments!$B$2:$B$10000,$A74)</f>
        <v>0</v>
      </c>
      <c r="AD74">
        <f>SUMIFS(Capital_Investments!AD$2:AD$10000,Capital_Investments!$B$2:$B$10000,$A74)</f>
        <v>0</v>
      </c>
      <c r="AE74">
        <f>SUMIFS(Capital_Investments!AE$2:AE$10000,Capital_Investments!$B$2:$B$10000,$A74)</f>
        <v>0</v>
      </c>
      <c r="AF74">
        <f>SUMIFS(Capital_Investments!AF$2:AF$10000,Capital_Investments!$B$2:$B$10000,$A74)</f>
        <v>0</v>
      </c>
      <c r="AG74">
        <f>SUMIFS(Capital_Investments!AG$2:AG$10000,Capital_Investments!$B$2:$B$10000,$A74)</f>
        <v>0</v>
      </c>
    </row>
    <row r="75" spans="1:58">
      <c r="A75" t="s">
        <v>134</v>
      </c>
      <c r="C75">
        <f>SUMIFS(Capital_Investments!C$2:C$10000,Capital_Investments!$B$2:$B$10000,$A75)</f>
        <v>0</v>
      </c>
      <c r="D75">
        <f>SUMIFS(Capital_Investments!D$2:D$10000,Capital_Investments!$B$2:$B$10000,$A75)</f>
        <v>0</v>
      </c>
      <c r="E75">
        <f>SUMIFS(Capital_Investments!E$2:E$10000,Capital_Investments!$B$2:$B$10000,$A75)</f>
        <v>0</v>
      </c>
      <c r="F75">
        <f>SUMIFS(Capital_Investments!F$2:F$10000,Capital_Investments!$B$2:$B$10000,$A75)</f>
        <v>0</v>
      </c>
      <c r="G75">
        <f>SUMIFS(Capital_Investments!G$2:G$10000,Capital_Investments!$B$2:$B$10000,$A75)</f>
        <v>0</v>
      </c>
      <c r="H75">
        <f>SUMIFS(Capital_Investments!H$2:H$10000,Capital_Investments!$B$2:$B$10000,$A75)</f>
        <v>0</v>
      </c>
      <c r="I75">
        <f>SUMIFS(Capital_Investments!I$2:I$10000,Capital_Investments!$B$2:$B$10000,$A75)</f>
        <v>0</v>
      </c>
      <c r="J75">
        <f>SUMIFS(Capital_Investments!J$2:J$10000,Capital_Investments!$B$2:$B$10000,$A75)</f>
        <v>0</v>
      </c>
      <c r="K75">
        <f>SUMIFS(Capital_Investments!K$2:K$10000,Capital_Investments!$B$2:$B$10000,$A75)</f>
        <v>0</v>
      </c>
      <c r="L75">
        <f>SUMIFS(Capital_Investments!L$2:L$10000,Capital_Investments!$B$2:$B$10000,$A75)</f>
        <v>0</v>
      </c>
      <c r="M75">
        <f>SUMIFS(Capital_Investments!M$2:M$10000,Capital_Investments!$B$2:$B$10000,$A75)</f>
        <v>0</v>
      </c>
      <c r="N75">
        <f>SUMIFS(Capital_Investments!N$2:N$10000,Capital_Investments!$B$2:$B$10000,$A75)</f>
        <v>0</v>
      </c>
      <c r="O75">
        <f>SUMIFS(Capital_Investments!O$2:O$10000,Capital_Investments!$B$2:$B$10000,$A75)</f>
        <v>0</v>
      </c>
      <c r="P75">
        <f>SUMIFS(Capital_Investments!P$2:P$10000,Capital_Investments!$B$2:$B$10000,$A75)</f>
        <v>0</v>
      </c>
      <c r="Q75">
        <f>SUMIFS(Capital_Investments!Q$2:Q$10000,Capital_Investments!$B$2:$B$10000,$A75)</f>
        <v>0</v>
      </c>
      <c r="R75">
        <f>SUMIFS(Capital_Investments!R$2:R$10000,Capital_Investments!$B$2:$B$10000,$A75)</f>
        <v>0</v>
      </c>
      <c r="S75">
        <f>SUMIFS(Capital_Investments!S$2:S$10000,Capital_Investments!$B$2:$B$10000,$A75)</f>
        <v>0</v>
      </c>
      <c r="T75">
        <f>SUMIFS(Capital_Investments!T$2:T$10000,Capital_Investments!$B$2:$B$10000,$A75)</f>
        <v>0</v>
      </c>
      <c r="U75">
        <f>SUMIFS(Capital_Investments!U$2:U$10000,Capital_Investments!$B$2:$B$10000,$A75)</f>
        <v>0</v>
      </c>
      <c r="V75">
        <f>SUMIFS(Capital_Investments!V$2:V$10000,Capital_Investments!$B$2:$B$10000,$A75)</f>
        <v>0</v>
      </c>
      <c r="W75">
        <f>SUMIFS(Capital_Investments!W$2:W$10000,Capital_Investments!$B$2:$B$10000,$A75)</f>
        <v>0</v>
      </c>
      <c r="X75">
        <f>SUMIFS(Capital_Investments!X$2:X$10000,Capital_Investments!$B$2:$B$10000,$A75)</f>
        <v>0</v>
      </c>
      <c r="Y75">
        <f>SUMIFS(Capital_Investments!Y$2:Y$10000,Capital_Investments!$B$2:$B$10000,$A75)</f>
        <v>0</v>
      </c>
      <c r="Z75">
        <f>SUMIFS(Capital_Investments!Z$2:Z$10000,Capital_Investments!$B$2:$B$10000,$A75)</f>
        <v>0</v>
      </c>
      <c r="AA75">
        <f>SUMIFS(Capital_Investments!AA$2:AA$10000,Capital_Investments!$B$2:$B$10000,$A75)</f>
        <v>0</v>
      </c>
      <c r="AB75">
        <f>SUMIFS(Capital_Investments!AB$2:AB$10000,Capital_Investments!$B$2:$B$10000,$A75)</f>
        <v>0</v>
      </c>
      <c r="AC75">
        <f>SUMIFS(Capital_Investments!AC$2:AC$10000,Capital_Investments!$B$2:$B$10000,$A75)</f>
        <v>0</v>
      </c>
      <c r="AD75">
        <f>SUMIFS(Capital_Investments!AD$2:AD$10000,Capital_Investments!$B$2:$B$10000,$A75)</f>
        <v>0</v>
      </c>
      <c r="AE75">
        <f>SUMIFS(Capital_Investments!AE$2:AE$10000,Capital_Investments!$B$2:$B$10000,$A75)</f>
        <v>0</v>
      </c>
      <c r="AF75">
        <f>SUMIFS(Capital_Investments!AF$2:AF$10000,Capital_Investments!$B$2:$B$10000,$A75)</f>
        <v>0</v>
      </c>
      <c r="AG75">
        <f>SUMIFS(Capital_Investments!AG$2:AG$10000,Capital_Investments!$B$2:$B$10000,$A75)</f>
        <v>0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1:58">
      <c r="A76" s="43" t="s">
        <v>154</v>
      </c>
      <c r="C76">
        <f>SUMIFS(Capital_Investments!C$2:C$10000,Capital_Investments!$B$2:$B$10000,$A76)</f>
        <v>0</v>
      </c>
      <c r="D76">
        <f>SUMIFS(Capital_Investments!D$2:D$10000,Capital_Investments!$B$2:$B$10000,$A76)</f>
        <v>0</v>
      </c>
      <c r="E76">
        <f>SUMIFS(Capital_Investments!E$2:E$10000,Capital_Investments!$B$2:$B$10000,$A76)</f>
        <v>0</v>
      </c>
      <c r="F76">
        <f>SUMIFS(Capital_Investments!F$2:F$10000,Capital_Investments!$B$2:$B$10000,$A76)</f>
        <v>0</v>
      </c>
      <c r="G76">
        <f>SUMIFS(Capital_Investments!G$2:G$10000,Capital_Investments!$B$2:$B$10000,$A76)</f>
        <v>0</v>
      </c>
      <c r="H76">
        <f>SUMIFS(Capital_Investments!H$2:H$10000,Capital_Investments!$B$2:$B$10000,$A76)</f>
        <v>459.69720000000001</v>
      </c>
      <c r="I76">
        <f>SUMIFS(Capital_Investments!I$2:I$10000,Capital_Investments!$B$2:$B$10000,$A76)</f>
        <v>1316.7722000000001</v>
      </c>
      <c r="J76">
        <f>SUMIFS(Capital_Investments!J$2:J$10000,Capital_Investments!$B$2:$B$10000,$A76)</f>
        <v>1316.7722000000001</v>
      </c>
      <c r="K76">
        <f>SUMIFS(Capital_Investments!K$2:K$10000,Capital_Investments!$B$2:$B$10000,$A76)</f>
        <v>1316.7722000000001</v>
      </c>
      <c r="L76">
        <f>SUMIFS(Capital_Investments!L$2:L$10000,Capital_Investments!$B$2:$B$10000,$A76)</f>
        <v>1316.7722000000001</v>
      </c>
      <c r="M76">
        <f>SUMIFS(Capital_Investments!M$2:M$10000,Capital_Investments!$B$2:$B$10000,$A76)</f>
        <v>1316.7722000000001</v>
      </c>
      <c r="N76">
        <f>SUMIFS(Capital_Investments!N$2:N$10000,Capital_Investments!$B$2:$B$10000,$A76)</f>
        <v>1573.5395000000001</v>
      </c>
      <c r="O76">
        <f>SUMIFS(Capital_Investments!O$2:O$10000,Capital_Investments!$B$2:$B$10000,$A76)</f>
        <v>1573.5395000000001</v>
      </c>
      <c r="P76">
        <f>SUMIFS(Capital_Investments!P$2:P$10000,Capital_Investments!$B$2:$B$10000,$A76)</f>
        <v>1573.5395000000001</v>
      </c>
      <c r="Q76">
        <f>SUMIFS(Capital_Investments!Q$2:Q$10000,Capital_Investments!$B$2:$B$10000,$A76)</f>
        <v>1573.5395000000001</v>
      </c>
      <c r="R76">
        <f>SUMIFS(Capital_Investments!R$2:R$10000,Capital_Investments!$B$2:$B$10000,$A76)</f>
        <v>1573.5395000000001</v>
      </c>
      <c r="S76">
        <f>SUMIFS(Capital_Investments!S$2:S$10000,Capital_Investments!$B$2:$B$10000,$A76)</f>
        <v>1910.8798999999999</v>
      </c>
      <c r="T76">
        <f>SUMIFS(Capital_Investments!T$2:T$10000,Capital_Investments!$B$2:$B$10000,$A76)</f>
        <v>1910.8798999999999</v>
      </c>
      <c r="U76">
        <f>SUMIFS(Capital_Investments!U$2:U$10000,Capital_Investments!$B$2:$B$10000,$A76)</f>
        <v>1910.8798999999999</v>
      </c>
      <c r="V76">
        <f>SUMIFS(Capital_Investments!V$2:V$10000,Capital_Investments!$B$2:$B$10000,$A76)</f>
        <v>1910.8798999999999</v>
      </c>
      <c r="W76">
        <f>SUMIFS(Capital_Investments!W$2:W$10000,Capital_Investments!$B$2:$B$10000,$A76)</f>
        <v>1910.8798999999999</v>
      </c>
      <c r="X76">
        <f>SUMIFS(Capital_Investments!X$2:X$10000,Capital_Investments!$B$2:$B$10000,$A76)</f>
        <v>1921.3886</v>
      </c>
      <c r="Y76">
        <f>SUMIFS(Capital_Investments!Y$2:Y$10000,Capital_Investments!$B$2:$B$10000,$A76)</f>
        <v>2075.5421999999999</v>
      </c>
      <c r="Z76">
        <f>SUMIFS(Capital_Investments!Z$2:Z$10000,Capital_Investments!$B$2:$B$10000,$A76)</f>
        <v>2080.1632</v>
      </c>
      <c r="AA76">
        <f>SUMIFS(Capital_Investments!AA$2:AA$10000,Capital_Investments!$B$2:$B$10000,$A76)</f>
        <v>2084.5023999999999</v>
      </c>
      <c r="AB76">
        <f>SUMIFS(Capital_Investments!AB$2:AB$10000,Capital_Investments!$B$2:$B$10000,$A76)</f>
        <v>2088.5700000000002</v>
      </c>
      <c r="AC76">
        <f>SUMIFS(Capital_Investments!AC$2:AC$10000,Capital_Investments!$B$2:$B$10000,$A76)</f>
        <v>2163.3755000000001</v>
      </c>
      <c r="AD76">
        <f>SUMIFS(Capital_Investments!AD$2:AD$10000,Capital_Investments!$B$2:$B$10000,$A76)</f>
        <v>2166.6012999999998</v>
      </c>
      <c r="AE76">
        <f>SUMIFS(Capital_Investments!AE$2:AE$10000,Capital_Investments!$B$2:$B$10000,$A76)</f>
        <v>2169.6396</v>
      </c>
      <c r="AF76">
        <f>SUMIFS(Capital_Investments!AF$2:AF$10000,Capital_Investments!$B$2:$B$10000,$A76)</f>
        <v>2172.4953999999998</v>
      </c>
      <c r="AG76">
        <f>SUMIFS(Capital_Investments!AG$2:AG$10000,Capital_Investments!$B$2:$B$10000,$A76)</f>
        <v>3100.4506000000001</v>
      </c>
    </row>
    <row r="77" spans="1:58">
      <c r="W77"/>
    </row>
    <row r="78" spans="1:58" ht="15" thickBot="1">
      <c r="W78"/>
    </row>
    <row r="79" spans="1:58" ht="15" thickBot="1">
      <c r="A79" s="3" t="s">
        <v>16</v>
      </c>
      <c r="C79" s="22">
        <v>2020</v>
      </c>
      <c r="D79" s="22">
        <v>2021</v>
      </c>
      <c r="E79" s="22">
        <v>2022</v>
      </c>
      <c r="F79" s="22">
        <v>2023</v>
      </c>
      <c r="G79" s="22">
        <v>2024</v>
      </c>
      <c r="H79" s="22">
        <v>2025</v>
      </c>
      <c r="I79" s="22">
        <v>2026</v>
      </c>
      <c r="J79" s="22">
        <v>2027</v>
      </c>
      <c r="K79" s="22">
        <v>2028</v>
      </c>
      <c r="L79" s="22">
        <v>2029</v>
      </c>
      <c r="M79" s="22">
        <v>2030</v>
      </c>
      <c r="N79" s="22">
        <v>2031</v>
      </c>
      <c r="O79" s="22">
        <v>2032</v>
      </c>
      <c r="P79" s="22">
        <v>2033</v>
      </c>
      <c r="Q79" s="22">
        <v>2034</v>
      </c>
      <c r="R79" s="22">
        <v>2035</v>
      </c>
      <c r="S79" s="22">
        <v>2036</v>
      </c>
      <c r="T79" s="22">
        <v>2037</v>
      </c>
      <c r="U79" s="22">
        <v>2038</v>
      </c>
      <c r="V79" s="22">
        <v>2039</v>
      </c>
      <c r="W79" s="22">
        <v>2040</v>
      </c>
      <c r="X79" s="22">
        <v>2041</v>
      </c>
      <c r="Y79" s="22">
        <v>2042</v>
      </c>
      <c r="Z79" s="22">
        <v>2043</v>
      </c>
      <c r="AA79" s="22">
        <v>2044</v>
      </c>
      <c r="AB79" s="22">
        <v>2045</v>
      </c>
      <c r="AC79" s="22">
        <v>2046</v>
      </c>
      <c r="AD79" s="22">
        <v>2047</v>
      </c>
      <c r="AE79" s="22">
        <v>2048</v>
      </c>
      <c r="AF79" s="22">
        <v>2049</v>
      </c>
      <c r="AG79" s="22">
        <v>2050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>
      <c r="A80" t="s">
        <v>132</v>
      </c>
      <c r="C80">
        <f>SUMIFS(Annualized_Investments!C$2:C$9989,Annualized_Investments!$B$2:$B$9989,$A80)</f>
        <v>0</v>
      </c>
      <c r="D80">
        <f>SUMIFS(Annualized_Investments!D$2:D$9989,Annualized_Investments!$B$2:$B$9989,$A80)</f>
        <v>0</v>
      </c>
      <c r="E80">
        <f>SUMIFS(Annualized_Investments!E$2:E$9989,Annualized_Investments!$B$2:$B$9989,$A80)</f>
        <v>20.480610924099999</v>
      </c>
      <c r="F80">
        <f>SUMIFS(Annualized_Investments!F$2:F$9989,Annualized_Investments!$B$2:$B$9989,$A80)</f>
        <v>21.979192211200001</v>
      </c>
      <c r="G80">
        <f>SUMIFS(Annualized_Investments!G$2:G$9989,Annualized_Investments!$B$2:$B$9989,$A80)</f>
        <v>24.451851334899999</v>
      </c>
      <c r="H80">
        <f>SUMIFS(Annualized_Investments!H$2:H$9989,Annualized_Investments!$B$2:$B$9989,$A80)</f>
        <v>24.451851334899999</v>
      </c>
      <c r="I80">
        <f>SUMIFS(Annualized_Investments!I$2:I$9989,Annualized_Investments!$B$2:$B$9989,$A80)</f>
        <v>24.451851334899999</v>
      </c>
      <c r="J80">
        <f>SUMIFS(Annualized_Investments!J$2:J$9989,Annualized_Investments!$B$2:$B$9989,$A80)</f>
        <v>24.451851334899999</v>
      </c>
      <c r="K80">
        <f>SUMIFS(Annualized_Investments!K$2:K$9989,Annualized_Investments!$B$2:$B$9989,$A80)</f>
        <v>24.451851334899999</v>
      </c>
      <c r="L80">
        <f>SUMIFS(Annualized_Investments!L$2:L$9989,Annualized_Investments!$B$2:$B$9989,$A80)</f>
        <v>24.451851334899999</v>
      </c>
      <c r="M80">
        <f>SUMIFS(Annualized_Investments!M$2:M$9989,Annualized_Investments!$B$2:$B$9989,$A80)</f>
        <v>24.451851334899999</v>
      </c>
      <c r="N80">
        <f>SUMIFS(Annualized_Investments!N$2:N$9989,Annualized_Investments!$B$2:$B$9989,$A80)</f>
        <v>24.451851334899999</v>
      </c>
      <c r="O80">
        <f>SUMIFS(Annualized_Investments!O$2:O$9989,Annualized_Investments!$B$2:$B$9989,$A80)</f>
        <v>24.451851334899999</v>
      </c>
      <c r="P80">
        <f>SUMIFS(Annualized_Investments!P$2:P$9989,Annualized_Investments!$B$2:$B$9989,$A80)</f>
        <v>24.451851334899999</v>
      </c>
      <c r="Q80">
        <f>SUMIFS(Annualized_Investments!Q$2:Q$9989,Annualized_Investments!$B$2:$B$9989,$A80)</f>
        <v>24.451851334899999</v>
      </c>
      <c r="R80">
        <f>SUMIFS(Annualized_Investments!R$2:R$9989,Annualized_Investments!$B$2:$B$9989,$A80)</f>
        <v>24.451851334899999</v>
      </c>
      <c r="S80">
        <f>SUMIFS(Annualized_Investments!S$2:S$9989,Annualized_Investments!$B$2:$B$9989,$A80)</f>
        <v>24.451851334899999</v>
      </c>
      <c r="T80">
        <f>SUMIFS(Annualized_Investments!T$2:T$9989,Annualized_Investments!$B$2:$B$9989,$A80)</f>
        <v>24.451851334899999</v>
      </c>
      <c r="U80">
        <f>SUMIFS(Annualized_Investments!U$2:U$9989,Annualized_Investments!$B$2:$B$9989,$A80)</f>
        <v>24.451851334899999</v>
      </c>
      <c r="V80">
        <f>SUMIFS(Annualized_Investments!V$2:V$9989,Annualized_Investments!$B$2:$B$9989,$A80)</f>
        <v>24.451851334899999</v>
      </c>
      <c r="W80">
        <f>SUMIFS(Annualized_Investments!W$2:W$9989,Annualized_Investments!$B$2:$B$9989,$A80)</f>
        <v>24.451851334899999</v>
      </c>
      <c r="X80">
        <f>SUMIFS(Annualized_Investments!X$2:X$9989,Annualized_Investments!$B$2:$B$9989,$A80)</f>
        <v>24.451851334899999</v>
      </c>
      <c r="Y80">
        <f>SUMIFS(Annualized_Investments!Y$2:Y$9989,Annualized_Investments!$B$2:$B$9989,$A80)</f>
        <v>24.451851334899999</v>
      </c>
      <c r="Z80">
        <f>SUMIFS(Annualized_Investments!Z$2:Z$9989,Annualized_Investments!$B$2:$B$9989,$A80)</f>
        <v>24.451851334899999</v>
      </c>
      <c r="AA80">
        <f>SUMIFS(Annualized_Investments!AA$2:AA$9989,Annualized_Investments!$B$2:$B$9989,$A80)</f>
        <v>24.451851334899999</v>
      </c>
      <c r="AB80">
        <f>SUMIFS(Annualized_Investments!AB$2:AB$9989,Annualized_Investments!$B$2:$B$9989,$A80)</f>
        <v>24.451851334899999</v>
      </c>
      <c r="AC80">
        <f>SUMIFS(Annualized_Investments!AC$2:AC$9989,Annualized_Investments!$B$2:$B$9989,$A80)</f>
        <v>24.451851334899999</v>
      </c>
      <c r="AD80">
        <f>SUMIFS(Annualized_Investments!AD$2:AD$9989,Annualized_Investments!$B$2:$B$9989,$A80)</f>
        <v>24.451851334899999</v>
      </c>
      <c r="AE80">
        <f>SUMIFS(Annualized_Investments!AE$2:AE$9989,Annualized_Investments!$B$2:$B$9989,$A80)</f>
        <v>24.451851334899999</v>
      </c>
      <c r="AF80">
        <f>SUMIFS(Annualized_Investments!AF$2:AF$9989,Annualized_Investments!$B$2:$B$9989,$A80)</f>
        <v>24.451851334899999</v>
      </c>
      <c r="AG80">
        <f>SUMIFS(Annualized_Investments!AG$2:AG$9989,Annualized_Investments!$B$2:$B$9989,$A80)</f>
        <v>24.451851334899999</v>
      </c>
    </row>
    <row r="81" spans="1:33">
      <c r="A81" t="s">
        <v>133</v>
      </c>
      <c r="C81">
        <f>SUMIFS(Annualized_Investments!C$2:C$9989,Annualized_Investments!$B$2:$B$9989,$A81)</f>
        <v>0</v>
      </c>
      <c r="D81">
        <f>SUMIFS(Annualized_Investments!D$2:D$9989,Annualized_Investments!$B$2:$B$9989,$A81)</f>
        <v>0</v>
      </c>
      <c r="E81">
        <f>SUMIFS(Annualized_Investments!E$2:E$9989,Annualized_Investments!$B$2:$B$9989,$A81)</f>
        <v>0</v>
      </c>
      <c r="F81">
        <f>SUMIFS(Annualized_Investments!F$2:F$9989,Annualized_Investments!$B$2:$B$9989,$A81)</f>
        <v>0</v>
      </c>
      <c r="G81">
        <f>SUMIFS(Annualized_Investments!G$2:G$9989,Annualized_Investments!$B$2:$B$9989,$A81)</f>
        <v>0</v>
      </c>
      <c r="H81">
        <f>SUMIFS(Annualized_Investments!H$2:H$9989,Annualized_Investments!$B$2:$B$9989,$A81)</f>
        <v>0</v>
      </c>
      <c r="I81">
        <f>SUMIFS(Annualized_Investments!I$2:I$9989,Annualized_Investments!$B$2:$B$9989,$A81)</f>
        <v>0</v>
      </c>
      <c r="J81">
        <f>SUMIFS(Annualized_Investments!J$2:J$9989,Annualized_Investments!$B$2:$B$9989,$A81)</f>
        <v>0</v>
      </c>
      <c r="K81">
        <f>SUMIFS(Annualized_Investments!K$2:K$9989,Annualized_Investments!$B$2:$B$9989,$A81)</f>
        <v>0</v>
      </c>
      <c r="L81">
        <f>SUMIFS(Annualized_Investments!L$2:L$9989,Annualized_Investments!$B$2:$B$9989,$A81)</f>
        <v>0</v>
      </c>
      <c r="M81">
        <f>SUMIFS(Annualized_Investments!M$2:M$9989,Annualized_Investments!$B$2:$B$9989,$A81)</f>
        <v>0</v>
      </c>
      <c r="N81">
        <f>SUMIFS(Annualized_Investments!N$2:N$9989,Annualized_Investments!$B$2:$B$9989,$A81)</f>
        <v>0</v>
      </c>
      <c r="O81">
        <f>SUMIFS(Annualized_Investments!O$2:O$9989,Annualized_Investments!$B$2:$B$9989,$A81)</f>
        <v>0</v>
      </c>
      <c r="P81">
        <f>SUMIFS(Annualized_Investments!P$2:P$9989,Annualized_Investments!$B$2:$B$9989,$A81)</f>
        <v>0</v>
      </c>
      <c r="Q81">
        <f>SUMIFS(Annualized_Investments!Q$2:Q$9989,Annualized_Investments!$B$2:$B$9989,$A81)</f>
        <v>0</v>
      </c>
      <c r="R81">
        <f>SUMIFS(Annualized_Investments!R$2:R$9989,Annualized_Investments!$B$2:$B$9989,$A81)</f>
        <v>0</v>
      </c>
      <c r="S81">
        <f>SUMIFS(Annualized_Investments!S$2:S$9989,Annualized_Investments!$B$2:$B$9989,$A81)</f>
        <v>0</v>
      </c>
      <c r="T81">
        <f>SUMIFS(Annualized_Investments!T$2:T$9989,Annualized_Investments!$B$2:$B$9989,$A81)</f>
        <v>0</v>
      </c>
      <c r="U81">
        <f>SUMIFS(Annualized_Investments!U$2:U$9989,Annualized_Investments!$B$2:$B$9989,$A81)</f>
        <v>0</v>
      </c>
      <c r="V81">
        <f>SUMIFS(Annualized_Investments!V$2:V$9989,Annualized_Investments!$B$2:$B$9989,$A81)</f>
        <v>0</v>
      </c>
      <c r="W81">
        <f>SUMIFS(Annualized_Investments!W$2:W$9989,Annualized_Investments!$B$2:$B$9989,$A81)</f>
        <v>0</v>
      </c>
      <c r="X81">
        <f>SUMIFS(Annualized_Investments!X$2:X$9989,Annualized_Investments!$B$2:$B$9989,$A81)</f>
        <v>0</v>
      </c>
      <c r="Y81">
        <f>SUMIFS(Annualized_Investments!Y$2:Y$9989,Annualized_Investments!$B$2:$B$9989,$A81)</f>
        <v>0</v>
      </c>
      <c r="Z81">
        <f>SUMIFS(Annualized_Investments!Z$2:Z$9989,Annualized_Investments!$B$2:$B$9989,$A81)</f>
        <v>0</v>
      </c>
      <c r="AA81">
        <f>SUMIFS(Annualized_Investments!AA$2:AA$9989,Annualized_Investments!$B$2:$B$9989,$A81)</f>
        <v>0</v>
      </c>
      <c r="AB81">
        <f>SUMIFS(Annualized_Investments!AB$2:AB$9989,Annualized_Investments!$B$2:$B$9989,$A81)</f>
        <v>0</v>
      </c>
      <c r="AC81">
        <f>SUMIFS(Annualized_Investments!AC$2:AC$9989,Annualized_Investments!$B$2:$B$9989,$A81)</f>
        <v>0</v>
      </c>
      <c r="AD81">
        <f>SUMIFS(Annualized_Investments!AD$2:AD$9989,Annualized_Investments!$B$2:$B$9989,$A81)</f>
        <v>0</v>
      </c>
      <c r="AE81">
        <f>SUMIFS(Annualized_Investments!AE$2:AE$9989,Annualized_Investments!$B$2:$B$9989,$A81)</f>
        <v>0</v>
      </c>
      <c r="AF81">
        <f>SUMIFS(Annualized_Investments!AF$2:AF$9989,Annualized_Investments!$B$2:$B$9989,$A81)</f>
        <v>0</v>
      </c>
      <c r="AG81">
        <f>SUMIFS(Annualized_Investments!AG$2:AG$9989,Annualized_Investments!$B$2:$B$9989,$A81)</f>
        <v>0</v>
      </c>
    </row>
    <row r="82" spans="1:33">
      <c r="A82" t="s">
        <v>138</v>
      </c>
      <c r="C82">
        <f>SUMIFS(Annualized_Investments!C$2:C$9989,Annualized_Investments!$B$2:$B$9989,$A82)</f>
        <v>0</v>
      </c>
      <c r="D82">
        <f>SUMIFS(Annualized_Investments!D$2:D$9989,Annualized_Investments!$B$2:$B$9989,$A82)</f>
        <v>0</v>
      </c>
      <c r="E82">
        <f>SUMIFS(Annualized_Investments!E$2:E$9989,Annualized_Investments!$B$2:$B$9989,$A82)</f>
        <v>0.90358901309999995</v>
      </c>
      <c r="F82">
        <f>SUMIFS(Annualized_Investments!F$2:F$9989,Annualized_Investments!$B$2:$B$9989,$A82)</f>
        <v>69.548413795200005</v>
      </c>
      <c r="G82">
        <f>SUMIFS(Annualized_Investments!G$2:G$9989,Annualized_Investments!$B$2:$B$9989,$A82)</f>
        <v>71.190131796499998</v>
      </c>
      <c r="H82">
        <f>SUMIFS(Annualized_Investments!H$2:H$9989,Annualized_Investments!$B$2:$B$9989,$A82)</f>
        <v>79.908544706900003</v>
      </c>
      <c r="I82">
        <f>SUMIFS(Annualized_Investments!I$2:I$9989,Annualized_Investments!$B$2:$B$9989,$A82)</f>
        <v>283.54049330790002</v>
      </c>
      <c r="J82">
        <f>SUMIFS(Annualized_Investments!J$2:J$9989,Annualized_Investments!$B$2:$B$9989,$A82)</f>
        <v>488.63028953650002</v>
      </c>
      <c r="K82">
        <f>SUMIFS(Annualized_Investments!K$2:K$9989,Annualized_Investments!$B$2:$B$9989,$A82)</f>
        <v>698.77249152130003</v>
      </c>
      <c r="L82">
        <f>SUMIFS(Annualized_Investments!L$2:L$9989,Annualized_Investments!$B$2:$B$9989,$A82)</f>
        <v>746.15278085709997</v>
      </c>
      <c r="M82">
        <f>SUMIFS(Annualized_Investments!M$2:M$9989,Annualized_Investments!$B$2:$B$9989,$A82)</f>
        <v>746.15278085709997</v>
      </c>
      <c r="N82">
        <f>SUMIFS(Annualized_Investments!N$2:N$9989,Annualized_Investments!$B$2:$B$9989,$A82)</f>
        <v>746.15278085709997</v>
      </c>
      <c r="O82">
        <f>SUMIFS(Annualized_Investments!O$2:O$9989,Annualized_Investments!$B$2:$B$9989,$A82)</f>
        <v>746.15278085709997</v>
      </c>
      <c r="P82">
        <f>SUMIFS(Annualized_Investments!P$2:P$9989,Annualized_Investments!$B$2:$B$9989,$A82)</f>
        <v>780.3426354078</v>
      </c>
      <c r="Q82">
        <f>SUMIFS(Annualized_Investments!Q$2:Q$9989,Annualized_Investments!$B$2:$B$9989,$A82)</f>
        <v>780.3426354078</v>
      </c>
      <c r="R82">
        <f>SUMIFS(Annualized_Investments!R$2:R$9989,Annualized_Investments!$B$2:$B$9989,$A82)</f>
        <v>780.3426354078</v>
      </c>
      <c r="S82">
        <f>SUMIFS(Annualized_Investments!S$2:S$9989,Annualized_Investments!$B$2:$B$9989,$A82)</f>
        <v>806.83977268470005</v>
      </c>
      <c r="T82">
        <f>SUMIFS(Annualized_Investments!T$2:T$9989,Annualized_Investments!$B$2:$B$9989,$A82)</f>
        <v>955.85869587649995</v>
      </c>
      <c r="U82">
        <f>SUMIFS(Annualized_Investments!U$2:U$9989,Annualized_Investments!$B$2:$B$9989,$A82)</f>
        <v>955.85869587649995</v>
      </c>
      <c r="V82">
        <f>SUMIFS(Annualized_Investments!V$2:V$9989,Annualized_Investments!$B$2:$B$9989,$A82)</f>
        <v>955.85869587649995</v>
      </c>
      <c r="W82">
        <f>SUMIFS(Annualized_Investments!W$2:W$9989,Annualized_Investments!$B$2:$B$9989,$A82)</f>
        <v>955.85869587649995</v>
      </c>
      <c r="X82">
        <f>SUMIFS(Annualized_Investments!X$2:X$9989,Annualized_Investments!$B$2:$B$9989,$A82)</f>
        <v>955.85869587649995</v>
      </c>
      <c r="Y82">
        <f>SUMIFS(Annualized_Investments!Y$2:Y$9989,Annualized_Investments!$B$2:$B$9989,$A82)</f>
        <v>955.85869587649995</v>
      </c>
      <c r="Z82">
        <f>SUMIFS(Annualized_Investments!Z$2:Z$9989,Annualized_Investments!$B$2:$B$9989,$A82)</f>
        <v>955.85869587649995</v>
      </c>
      <c r="AA82">
        <f>SUMIFS(Annualized_Investments!AA$2:AA$9989,Annualized_Investments!$B$2:$B$9989,$A82)</f>
        <v>955.85869587649995</v>
      </c>
      <c r="AB82">
        <f>SUMIFS(Annualized_Investments!AB$2:AB$9989,Annualized_Investments!$B$2:$B$9989,$A82)</f>
        <v>955.85869587649995</v>
      </c>
      <c r="AC82">
        <f>SUMIFS(Annualized_Investments!AC$2:AC$9989,Annualized_Investments!$B$2:$B$9989,$A82)</f>
        <v>955.85869587649995</v>
      </c>
      <c r="AD82">
        <f>SUMIFS(Annualized_Investments!AD$2:AD$9989,Annualized_Investments!$B$2:$B$9989,$A82)</f>
        <v>955.85869587649995</v>
      </c>
      <c r="AE82">
        <f>SUMIFS(Annualized_Investments!AE$2:AE$9989,Annualized_Investments!$B$2:$B$9989,$A82)</f>
        <v>955.85869587649995</v>
      </c>
      <c r="AF82">
        <f>SUMIFS(Annualized_Investments!AF$2:AF$9989,Annualized_Investments!$B$2:$B$9989,$A82)</f>
        <v>955.85869587649995</v>
      </c>
      <c r="AG82">
        <f>SUMIFS(Annualized_Investments!AG$2:AG$9989,Annualized_Investments!$B$2:$B$9989,$A82)</f>
        <v>956.97401777460004</v>
      </c>
    </row>
    <row r="83" spans="1:33">
      <c r="A83" t="s">
        <v>141</v>
      </c>
      <c r="C83">
        <f>SUMIFS(Annualized_Investments!C$2:C$9989,Annualized_Investments!$B$2:$B$9989,$A83)</f>
        <v>0</v>
      </c>
      <c r="D83">
        <f>SUMIFS(Annualized_Investments!D$2:D$9989,Annualized_Investments!$B$2:$B$9989,$A83)</f>
        <v>0</v>
      </c>
      <c r="E83">
        <f>SUMIFS(Annualized_Investments!E$2:E$9989,Annualized_Investments!$B$2:$B$9989,$A83)</f>
        <v>0</v>
      </c>
      <c r="F83">
        <f>SUMIFS(Annualized_Investments!F$2:F$9989,Annualized_Investments!$B$2:$B$9989,$A83)</f>
        <v>0</v>
      </c>
      <c r="G83">
        <f>SUMIFS(Annualized_Investments!G$2:G$9989,Annualized_Investments!$B$2:$B$9989,$A83)</f>
        <v>0</v>
      </c>
      <c r="H83">
        <f>SUMIFS(Annualized_Investments!H$2:H$9989,Annualized_Investments!$B$2:$B$9989,$A83)</f>
        <v>0</v>
      </c>
      <c r="I83">
        <f>SUMIFS(Annualized_Investments!I$2:I$9989,Annualized_Investments!$B$2:$B$9989,$A83)</f>
        <v>0</v>
      </c>
      <c r="J83">
        <f>SUMIFS(Annualized_Investments!J$2:J$9989,Annualized_Investments!$B$2:$B$9989,$A83)</f>
        <v>0</v>
      </c>
      <c r="K83">
        <f>SUMIFS(Annualized_Investments!K$2:K$9989,Annualized_Investments!$B$2:$B$9989,$A83)</f>
        <v>0</v>
      </c>
      <c r="L83">
        <f>SUMIFS(Annualized_Investments!L$2:L$9989,Annualized_Investments!$B$2:$B$9989,$A83)</f>
        <v>0</v>
      </c>
      <c r="M83">
        <f>SUMIFS(Annualized_Investments!M$2:M$9989,Annualized_Investments!$B$2:$B$9989,$A83)</f>
        <v>0</v>
      </c>
      <c r="N83">
        <f>SUMIFS(Annualized_Investments!N$2:N$9989,Annualized_Investments!$B$2:$B$9989,$A83)</f>
        <v>0</v>
      </c>
      <c r="O83">
        <f>SUMIFS(Annualized_Investments!O$2:O$9989,Annualized_Investments!$B$2:$B$9989,$A83)</f>
        <v>0</v>
      </c>
      <c r="P83">
        <f>SUMIFS(Annualized_Investments!P$2:P$9989,Annualized_Investments!$B$2:$B$9989,$A83)</f>
        <v>0</v>
      </c>
      <c r="Q83">
        <f>SUMIFS(Annualized_Investments!Q$2:Q$9989,Annualized_Investments!$B$2:$B$9989,$A83)</f>
        <v>0</v>
      </c>
      <c r="R83">
        <f>SUMIFS(Annualized_Investments!R$2:R$9989,Annualized_Investments!$B$2:$B$9989,$A83)</f>
        <v>0</v>
      </c>
      <c r="S83">
        <f>SUMIFS(Annualized_Investments!S$2:S$9989,Annualized_Investments!$B$2:$B$9989,$A83)</f>
        <v>0</v>
      </c>
      <c r="T83">
        <f>SUMIFS(Annualized_Investments!T$2:T$9989,Annualized_Investments!$B$2:$B$9989,$A83)</f>
        <v>0</v>
      </c>
      <c r="U83">
        <f>SUMIFS(Annualized_Investments!U$2:U$9989,Annualized_Investments!$B$2:$B$9989,$A83)</f>
        <v>0</v>
      </c>
      <c r="V83">
        <f>SUMIFS(Annualized_Investments!V$2:V$9989,Annualized_Investments!$B$2:$B$9989,$A83)</f>
        <v>0</v>
      </c>
      <c r="W83">
        <f>SUMIFS(Annualized_Investments!W$2:W$9989,Annualized_Investments!$B$2:$B$9989,$A83)</f>
        <v>0</v>
      </c>
      <c r="X83">
        <f>SUMIFS(Annualized_Investments!X$2:X$9989,Annualized_Investments!$B$2:$B$9989,$A83)</f>
        <v>0</v>
      </c>
      <c r="Y83">
        <f>SUMIFS(Annualized_Investments!Y$2:Y$9989,Annualized_Investments!$B$2:$B$9989,$A83)</f>
        <v>0</v>
      </c>
      <c r="Z83">
        <f>SUMIFS(Annualized_Investments!Z$2:Z$9989,Annualized_Investments!$B$2:$B$9989,$A83)</f>
        <v>0</v>
      </c>
      <c r="AA83">
        <f>SUMIFS(Annualized_Investments!AA$2:AA$9989,Annualized_Investments!$B$2:$B$9989,$A83)</f>
        <v>0</v>
      </c>
      <c r="AB83">
        <f>SUMIFS(Annualized_Investments!AB$2:AB$9989,Annualized_Investments!$B$2:$B$9989,$A83)</f>
        <v>0</v>
      </c>
      <c r="AC83">
        <f>SUMIFS(Annualized_Investments!AC$2:AC$9989,Annualized_Investments!$B$2:$B$9989,$A83)</f>
        <v>0</v>
      </c>
      <c r="AD83">
        <f>SUMIFS(Annualized_Investments!AD$2:AD$9989,Annualized_Investments!$B$2:$B$9989,$A83)</f>
        <v>0</v>
      </c>
      <c r="AE83">
        <f>SUMIFS(Annualized_Investments!AE$2:AE$9989,Annualized_Investments!$B$2:$B$9989,$A83)</f>
        <v>0</v>
      </c>
      <c r="AF83">
        <f>SUMIFS(Annualized_Investments!AF$2:AF$9989,Annualized_Investments!$B$2:$B$9989,$A83)</f>
        <v>0</v>
      </c>
      <c r="AG83">
        <f>SUMIFS(Annualized_Investments!AG$2:AG$9989,Annualized_Investments!$B$2:$B$9989,$A83)</f>
        <v>0</v>
      </c>
    </row>
    <row r="84" spans="1:33">
      <c r="A84" t="s">
        <v>142</v>
      </c>
      <c r="C84">
        <f>SUMIFS(Annualized_Investments!C$2:C$9989,Annualized_Investments!$B$2:$B$9989,$A84)</f>
        <v>0</v>
      </c>
      <c r="D84">
        <f>SUMIFS(Annualized_Investments!D$2:D$9989,Annualized_Investments!$B$2:$B$9989,$A84)</f>
        <v>107.780161326</v>
      </c>
      <c r="E84">
        <f>SUMIFS(Annualized_Investments!E$2:E$9989,Annualized_Investments!$B$2:$B$9989,$A84)</f>
        <v>222.16092839379999</v>
      </c>
      <c r="F84">
        <f>SUMIFS(Annualized_Investments!F$2:F$9989,Annualized_Investments!$B$2:$B$9989,$A84)</f>
        <v>222.16092839379999</v>
      </c>
      <c r="G84">
        <f>SUMIFS(Annualized_Investments!G$2:G$9989,Annualized_Investments!$B$2:$B$9989,$A84)</f>
        <v>311.35830328430001</v>
      </c>
      <c r="H84">
        <f>SUMIFS(Annualized_Investments!H$2:H$9989,Annualized_Investments!$B$2:$B$9989,$A84)</f>
        <v>311.35830328430001</v>
      </c>
      <c r="I84">
        <f>SUMIFS(Annualized_Investments!I$2:I$9989,Annualized_Investments!$B$2:$B$9989,$A84)</f>
        <v>311.35830328430001</v>
      </c>
      <c r="J84">
        <f>SUMIFS(Annualized_Investments!J$2:J$9989,Annualized_Investments!$B$2:$B$9989,$A84)</f>
        <v>311.35830328430001</v>
      </c>
      <c r="K84">
        <f>SUMIFS(Annualized_Investments!K$2:K$9989,Annualized_Investments!$B$2:$B$9989,$A84)</f>
        <v>311.35830328430001</v>
      </c>
      <c r="L84">
        <f>SUMIFS(Annualized_Investments!L$2:L$9989,Annualized_Investments!$B$2:$B$9989,$A84)</f>
        <v>311.35830328430001</v>
      </c>
      <c r="M84">
        <f>SUMIFS(Annualized_Investments!M$2:M$9989,Annualized_Investments!$B$2:$B$9989,$A84)</f>
        <v>311.35830328430001</v>
      </c>
      <c r="N84">
        <f>SUMIFS(Annualized_Investments!N$2:N$9989,Annualized_Investments!$B$2:$B$9989,$A84)</f>
        <v>439.7715270388</v>
      </c>
      <c r="O84">
        <f>SUMIFS(Annualized_Investments!O$2:O$9989,Annualized_Investments!$B$2:$B$9989,$A84)</f>
        <v>903.90693861579996</v>
      </c>
      <c r="P84">
        <f>SUMIFS(Annualized_Investments!P$2:P$9989,Annualized_Investments!$B$2:$B$9989,$A84)</f>
        <v>1067.2985345205</v>
      </c>
      <c r="Q84">
        <f>SUMIFS(Annualized_Investments!Q$2:Q$9989,Annualized_Investments!$B$2:$B$9989,$A84)</f>
        <v>1230.6901304252001</v>
      </c>
      <c r="R84">
        <f>SUMIFS(Annualized_Investments!R$2:R$9989,Annualized_Investments!$B$2:$B$9989,$A84)</f>
        <v>1394.0817263297999</v>
      </c>
      <c r="S84">
        <f>SUMIFS(Annualized_Investments!S$2:S$9989,Annualized_Investments!$B$2:$B$9989,$A84)</f>
        <v>1706.0797234544</v>
      </c>
      <c r="T84">
        <f>SUMIFS(Annualized_Investments!T$2:T$9989,Annualized_Investments!$B$2:$B$9989,$A84)</f>
        <v>1904.4997298850999</v>
      </c>
      <c r="U84">
        <f>SUMIFS(Annualized_Investments!U$2:U$9989,Annualized_Investments!$B$2:$B$9989,$A84)</f>
        <v>2202.6844796291998</v>
      </c>
      <c r="V84">
        <f>SUMIFS(Annualized_Investments!V$2:V$9989,Annualized_Investments!$B$2:$B$9989,$A84)</f>
        <v>2491.7926396520002</v>
      </c>
      <c r="W84">
        <f>SUMIFS(Annualized_Investments!W$2:W$9989,Annualized_Investments!$B$2:$B$9989,$A84)</f>
        <v>2491.7926396520002</v>
      </c>
      <c r="X84">
        <f>SUMIFS(Annualized_Investments!X$2:X$9989,Annualized_Investments!$B$2:$B$9989,$A84)</f>
        <v>2580.0065796974</v>
      </c>
      <c r="Y84">
        <f>SUMIFS(Annualized_Investments!Y$2:Y$9989,Annualized_Investments!$B$2:$B$9989,$A84)</f>
        <v>2760.2473637549001</v>
      </c>
      <c r="Z84">
        <f>SUMIFS(Annualized_Investments!Z$2:Z$9989,Annualized_Investments!$B$2:$B$9989,$A84)</f>
        <v>2940.8878939568999</v>
      </c>
      <c r="AA84">
        <f>SUMIFS(Annualized_Investments!AA$2:AA$9989,Annualized_Investments!$B$2:$B$9989,$A84)</f>
        <v>3121.9037896875002</v>
      </c>
      <c r="AB84">
        <f>SUMIFS(Annualized_Investments!AB$2:AB$9989,Annualized_Investments!$B$2:$B$9989,$A84)</f>
        <v>3308.467039097</v>
      </c>
      <c r="AC84">
        <f>SUMIFS(Annualized_Investments!AC$2:AC$9989,Annualized_Investments!$B$2:$B$9989,$A84)</f>
        <v>3542.9885139884</v>
      </c>
      <c r="AD84">
        <f>SUMIFS(Annualized_Investments!AD$2:AD$9989,Annualized_Investments!$B$2:$B$9989,$A84)</f>
        <v>3731.6843442413001</v>
      </c>
      <c r="AE84">
        <f>SUMIFS(Annualized_Investments!AE$2:AE$9989,Annualized_Investments!$B$2:$B$9989,$A84)</f>
        <v>3902.9326746771999</v>
      </c>
      <c r="AF84">
        <f>SUMIFS(Annualized_Investments!AF$2:AF$9989,Annualized_Investments!$B$2:$B$9989,$A84)</f>
        <v>3898.5043966695998</v>
      </c>
      <c r="AG84">
        <f>SUMIFS(Annualized_Investments!AG$2:AG$9989,Annualized_Investments!$B$2:$B$9989,$A84)</f>
        <v>3898.5043966695998</v>
      </c>
    </row>
    <row r="85" spans="1:33">
      <c r="A85" t="s">
        <v>143</v>
      </c>
      <c r="C85">
        <f>SUMIFS(Annualized_Investments!C$2:C$9989,Annualized_Investments!$B$2:$B$9989,$A85)</f>
        <v>0</v>
      </c>
      <c r="D85">
        <f>SUMIFS(Annualized_Investments!D$2:D$9989,Annualized_Investments!$B$2:$B$9989,$A85)</f>
        <v>0</v>
      </c>
      <c r="E85">
        <f>SUMIFS(Annualized_Investments!E$2:E$9989,Annualized_Investments!$B$2:$B$9989,$A85)</f>
        <v>0</v>
      </c>
      <c r="F85">
        <f>SUMIFS(Annualized_Investments!F$2:F$9989,Annualized_Investments!$B$2:$B$9989,$A85)</f>
        <v>0</v>
      </c>
      <c r="G85">
        <f>SUMIFS(Annualized_Investments!G$2:G$9989,Annualized_Investments!$B$2:$B$9989,$A85)</f>
        <v>0</v>
      </c>
      <c r="H85">
        <f>SUMIFS(Annualized_Investments!H$2:H$9989,Annualized_Investments!$B$2:$B$9989,$A85)</f>
        <v>0</v>
      </c>
      <c r="I85">
        <f>SUMIFS(Annualized_Investments!I$2:I$9989,Annualized_Investments!$B$2:$B$9989,$A85)</f>
        <v>0</v>
      </c>
      <c r="J85">
        <f>SUMIFS(Annualized_Investments!J$2:J$9989,Annualized_Investments!$B$2:$B$9989,$A85)</f>
        <v>0</v>
      </c>
      <c r="K85">
        <f>SUMIFS(Annualized_Investments!K$2:K$9989,Annualized_Investments!$B$2:$B$9989,$A85)</f>
        <v>0</v>
      </c>
      <c r="L85">
        <f>SUMIFS(Annualized_Investments!L$2:L$9989,Annualized_Investments!$B$2:$B$9989,$A85)</f>
        <v>0</v>
      </c>
      <c r="M85">
        <f>SUMIFS(Annualized_Investments!M$2:M$9989,Annualized_Investments!$B$2:$B$9989,$A85)</f>
        <v>0</v>
      </c>
      <c r="N85">
        <f>SUMIFS(Annualized_Investments!N$2:N$9989,Annualized_Investments!$B$2:$B$9989,$A85)</f>
        <v>0</v>
      </c>
      <c r="O85">
        <f>SUMIFS(Annualized_Investments!O$2:O$9989,Annualized_Investments!$B$2:$B$9989,$A85)</f>
        <v>0</v>
      </c>
      <c r="P85">
        <f>SUMIFS(Annualized_Investments!P$2:P$9989,Annualized_Investments!$B$2:$B$9989,$A85)</f>
        <v>0</v>
      </c>
      <c r="Q85">
        <f>SUMIFS(Annualized_Investments!Q$2:Q$9989,Annualized_Investments!$B$2:$B$9989,$A85)</f>
        <v>0</v>
      </c>
      <c r="R85">
        <f>SUMIFS(Annualized_Investments!R$2:R$9989,Annualized_Investments!$B$2:$B$9989,$A85)</f>
        <v>0</v>
      </c>
      <c r="S85">
        <f>SUMIFS(Annualized_Investments!S$2:S$9989,Annualized_Investments!$B$2:$B$9989,$A85)</f>
        <v>0</v>
      </c>
      <c r="T85">
        <f>SUMIFS(Annualized_Investments!T$2:T$9989,Annualized_Investments!$B$2:$B$9989,$A85)</f>
        <v>0</v>
      </c>
      <c r="U85">
        <f>SUMIFS(Annualized_Investments!U$2:U$9989,Annualized_Investments!$B$2:$B$9989,$A85)</f>
        <v>0</v>
      </c>
      <c r="V85">
        <f>SUMIFS(Annualized_Investments!V$2:V$9989,Annualized_Investments!$B$2:$B$9989,$A85)</f>
        <v>0</v>
      </c>
      <c r="W85">
        <f>SUMIFS(Annualized_Investments!W$2:W$9989,Annualized_Investments!$B$2:$B$9989,$A85)</f>
        <v>0</v>
      </c>
      <c r="X85">
        <f>SUMIFS(Annualized_Investments!X$2:X$9989,Annualized_Investments!$B$2:$B$9989,$A85)</f>
        <v>0</v>
      </c>
      <c r="Y85">
        <f>SUMIFS(Annualized_Investments!Y$2:Y$9989,Annualized_Investments!$B$2:$B$9989,$A85)</f>
        <v>0</v>
      </c>
      <c r="Z85">
        <f>SUMIFS(Annualized_Investments!Z$2:Z$9989,Annualized_Investments!$B$2:$B$9989,$A85)</f>
        <v>0</v>
      </c>
      <c r="AA85">
        <f>SUMIFS(Annualized_Investments!AA$2:AA$9989,Annualized_Investments!$B$2:$B$9989,$A85)</f>
        <v>0</v>
      </c>
      <c r="AB85">
        <f>SUMIFS(Annualized_Investments!AB$2:AB$9989,Annualized_Investments!$B$2:$B$9989,$A85)</f>
        <v>0</v>
      </c>
      <c r="AC85">
        <f>SUMIFS(Annualized_Investments!AC$2:AC$9989,Annualized_Investments!$B$2:$B$9989,$A85)</f>
        <v>0</v>
      </c>
      <c r="AD85">
        <f>SUMIFS(Annualized_Investments!AD$2:AD$9989,Annualized_Investments!$B$2:$B$9989,$A85)</f>
        <v>0</v>
      </c>
      <c r="AE85">
        <f>SUMIFS(Annualized_Investments!AE$2:AE$9989,Annualized_Investments!$B$2:$B$9989,$A85)</f>
        <v>0</v>
      </c>
      <c r="AF85">
        <f>SUMIFS(Annualized_Investments!AF$2:AF$9989,Annualized_Investments!$B$2:$B$9989,$A85)</f>
        <v>0</v>
      </c>
      <c r="AG85">
        <f>SUMIFS(Annualized_Investments!AG$2:AG$9989,Annualized_Investments!$B$2:$B$9989,$A85)</f>
        <v>0</v>
      </c>
    </row>
    <row r="86" spans="1:33">
      <c r="A86" t="s">
        <v>144</v>
      </c>
      <c r="C86">
        <f>SUMIFS(Annualized_Investments!C$2:C$9989,Annualized_Investments!$B$2:$B$9989,$A86)</f>
        <v>0</v>
      </c>
      <c r="D86">
        <f>SUMIFS(Annualized_Investments!D$2:D$9989,Annualized_Investments!$B$2:$B$9989,$A86)</f>
        <v>0</v>
      </c>
      <c r="E86">
        <f>SUMIFS(Annualized_Investments!E$2:E$9989,Annualized_Investments!$B$2:$B$9989,$A86)</f>
        <v>0</v>
      </c>
      <c r="F86">
        <f>SUMIFS(Annualized_Investments!F$2:F$9989,Annualized_Investments!$B$2:$B$9989,$A86)</f>
        <v>0</v>
      </c>
      <c r="G86">
        <f>SUMIFS(Annualized_Investments!G$2:G$9989,Annualized_Investments!$B$2:$B$9989,$A86)</f>
        <v>0</v>
      </c>
      <c r="H86">
        <f>SUMIFS(Annualized_Investments!H$2:H$9989,Annualized_Investments!$B$2:$B$9989,$A86)</f>
        <v>0</v>
      </c>
      <c r="I86">
        <f>SUMIFS(Annualized_Investments!I$2:I$9989,Annualized_Investments!$B$2:$B$9989,$A86)</f>
        <v>0</v>
      </c>
      <c r="J86">
        <f>SUMIFS(Annualized_Investments!J$2:J$9989,Annualized_Investments!$B$2:$B$9989,$A86)</f>
        <v>0</v>
      </c>
      <c r="K86">
        <f>SUMIFS(Annualized_Investments!K$2:K$9989,Annualized_Investments!$B$2:$B$9989,$A86)</f>
        <v>0</v>
      </c>
      <c r="L86">
        <f>SUMIFS(Annualized_Investments!L$2:L$9989,Annualized_Investments!$B$2:$B$9989,$A86)</f>
        <v>0</v>
      </c>
      <c r="M86">
        <f>SUMIFS(Annualized_Investments!M$2:M$9989,Annualized_Investments!$B$2:$B$9989,$A86)</f>
        <v>0</v>
      </c>
      <c r="N86">
        <f>SUMIFS(Annualized_Investments!N$2:N$9989,Annualized_Investments!$B$2:$B$9989,$A86)</f>
        <v>0</v>
      </c>
      <c r="O86">
        <f>SUMIFS(Annualized_Investments!O$2:O$9989,Annualized_Investments!$B$2:$B$9989,$A86)</f>
        <v>0</v>
      </c>
      <c r="P86">
        <f>SUMIFS(Annualized_Investments!P$2:P$9989,Annualized_Investments!$B$2:$B$9989,$A86)</f>
        <v>0</v>
      </c>
      <c r="Q86">
        <f>SUMIFS(Annualized_Investments!Q$2:Q$9989,Annualized_Investments!$B$2:$B$9989,$A86)</f>
        <v>0</v>
      </c>
      <c r="R86">
        <f>SUMIFS(Annualized_Investments!R$2:R$9989,Annualized_Investments!$B$2:$B$9989,$A86)</f>
        <v>0</v>
      </c>
      <c r="S86">
        <f>SUMIFS(Annualized_Investments!S$2:S$9989,Annualized_Investments!$B$2:$B$9989,$A86)</f>
        <v>0</v>
      </c>
      <c r="T86">
        <f>SUMIFS(Annualized_Investments!T$2:T$9989,Annualized_Investments!$B$2:$B$9989,$A86)</f>
        <v>0</v>
      </c>
      <c r="U86">
        <f>SUMIFS(Annualized_Investments!U$2:U$9989,Annualized_Investments!$B$2:$B$9989,$A86)</f>
        <v>0</v>
      </c>
      <c r="V86">
        <f>SUMIFS(Annualized_Investments!V$2:V$9989,Annualized_Investments!$B$2:$B$9989,$A86)</f>
        <v>0</v>
      </c>
      <c r="W86">
        <f>SUMIFS(Annualized_Investments!W$2:W$9989,Annualized_Investments!$B$2:$B$9989,$A86)</f>
        <v>0</v>
      </c>
      <c r="X86">
        <f>SUMIFS(Annualized_Investments!X$2:X$9989,Annualized_Investments!$B$2:$B$9989,$A86)</f>
        <v>0</v>
      </c>
      <c r="Y86">
        <f>SUMIFS(Annualized_Investments!Y$2:Y$9989,Annualized_Investments!$B$2:$B$9989,$A86)</f>
        <v>0</v>
      </c>
      <c r="Z86">
        <f>SUMIFS(Annualized_Investments!Z$2:Z$9989,Annualized_Investments!$B$2:$B$9989,$A86)</f>
        <v>0</v>
      </c>
      <c r="AA86">
        <f>SUMIFS(Annualized_Investments!AA$2:AA$9989,Annualized_Investments!$B$2:$B$9989,$A86)</f>
        <v>0</v>
      </c>
      <c r="AB86">
        <f>SUMIFS(Annualized_Investments!AB$2:AB$9989,Annualized_Investments!$B$2:$B$9989,$A86)</f>
        <v>0</v>
      </c>
      <c r="AC86">
        <f>SUMIFS(Annualized_Investments!AC$2:AC$9989,Annualized_Investments!$B$2:$B$9989,$A86)</f>
        <v>0</v>
      </c>
      <c r="AD86">
        <f>SUMIFS(Annualized_Investments!AD$2:AD$9989,Annualized_Investments!$B$2:$B$9989,$A86)</f>
        <v>0</v>
      </c>
      <c r="AE86">
        <f>SUMIFS(Annualized_Investments!AE$2:AE$9989,Annualized_Investments!$B$2:$B$9989,$A86)</f>
        <v>0</v>
      </c>
      <c r="AF86">
        <f>SUMIFS(Annualized_Investments!AF$2:AF$9989,Annualized_Investments!$B$2:$B$9989,$A86)</f>
        <v>0</v>
      </c>
      <c r="AG86">
        <f>SUMIFS(Annualized_Investments!AG$2:AG$9989,Annualized_Investments!$B$2:$B$9989,$A86)</f>
        <v>0</v>
      </c>
    </row>
    <row r="87" spans="1:33">
      <c r="A87" t="s">
        <v>145</v>
      </c>
      <c r="C87">
        <f>SUMIFS(Annualized_Investments!C$2:C$9989,Annualized_Investments!$B$2:$B$9989,$A87)</f>
        <v>210.6473130039</v>
      </c>
      <c r="D87">
        <f>SUMIFS(Annualized_Investments!D$2:D$9989,Annualized_Investments!$B$2:$B$9989,$A87)</f>
        <v>578.38260473260004</v>
      </c>
      <c r="E87">
        <f>SUMIFS(Annualized_Investments!E$2:E$9989,Annualized_Investments!$B$2:$B$9989,$A87)</f>
        <v>580.67143871919995</v>
      </c>
      <c r="F87">
        <f>SUMIFS(Annualized_Investments!F$2:F$9989,Annualized_Investments!$B$2:$B$9989,$A87)</f>
        <v>587.40838403819998</v>
      </c>
      <c r="G87">
        <f>SUMIFS(Annualized_Investments!G$2:G$9989,Annualized_Investments!$B$2:$B$9989,$A87)</f>
        <v>592.47548820980001</v>
      </c>
      <c r="H87">
        <f>SUMIFS(Annualized_Investments!H$2:H$9989,Annualized_Investments!$B$2:$B$9989,$A87)</f>
        <v>592.47548820980001</v>
      </c>
      <c r="I87">
        <f>SUMIFS(Annualized_Investments!I$2:I$9989,Annualized_Investments!$B$2:$B$9989,$A87)</f>
        <v>592.47548820980001</v>
      </c>
      <c r="J87">
        <f>SUMIFS(Annualized_Investments!J$2:J$9989,Annualized_Investments!$B$2:$B$9989,$A87)</f>
        <v>592.47548820980001</v>
      </c>
      <c r="K87">
        <f>SUMIFS(Annualized_Investments!K$2:K$9989,Annualized_Investments!$B$2:$B$9989,$A87)</f>
        <v>592.47548820980001</v>
      </c>
      <c r="L87">
        <f>SUMIFS(Annualized_Investments!L$2:L$9989,Annualized_Investments!$B$2:$B$9989,$A87)</f>
        <v>592.47548820980001</v>
      </c>
      <c r="M87">
        <f>SUMIFS(Annualized_Investments!M$2:M$9989,Annualized_Investments!$B$2:$B$9989,$A87)</f>
        <v>592.47548820980001</v>
      </c>
      <c r="N87">
        <f>SUMIFS(Annualized_Investments!N$2:N$9989,Annualized_Investments!$B$2:$B$9989,$A87)</f>
        <v>592.47548820980001</v>
      </c>
      <c r="O87">
        <f>SUMIFS(Annualized_Investments!O$2:O$9989,Annualized_Investments!$B$2:$B$9989,$A87)</f>
        <v>592.47548820980001</v>
      </c>
      <c r="P87">
        <f>SUMIFS(Annualized_Investments!P$2:P$9989,Annualized_Investments!$B$2:$B$9989,$A87)</f>
        <v>592.47548820980001</v>
      </c>
      <c r="Q87">
        <f>SUMIFS(Annualized_Investments!Q$2:Q$9989,Annualized_Investments!$B$2:$B$9989,$A87)</f>
        <v>592.47548820980001</v>
      </c>
      <c r="R87">
        <f>SUMIFS(Annualized_Investments!R$2:R$9989,Annualized_Investments!$B$2:$B$9989,$A87)</f>
        <v>592.47548820980001</v>
      </c>
      <c r="S87">
        <f>SUMIFS(Annualized_Investments!S$2:S$9989,Annualized_Investments!$B$2:$B$9989,$A87)</f>
        <v>592.47548820980001</v>
      </c>
      <c r="T87">
        <f>SUMIFS(Annualized_Investments!T$2:T$9989,Annualized_Investments!$B$2:$B$9989,$A87)</f>
        <v>592.47548820980001</v>
      </c>
      <c r="U87">
        <f>SUMIFS(Annualized_Investments!U$2:U$9989,Annualized_Investments!$B$2:$B$9989,$A87)</f>
        <v>592.47548820980001</v>
      </c>
      <c r="V87">
        <f>SUMIFS(Annualized_Investments!V$2:V$9989,Annualized_Investments!$B$2:$B$9989,$A87)</f>
        <v>592.47548820980001</v>
      </c>
      <c r="W87">
        <f>SUMIFS(Annualized_Investments!W$2:W$9989,Annualized_Investments!$B$2:$B$9989,$A87)</f>
        <v>592.47548820980001</v>
      </c>
      <c r="X87">
        <f>SUMIFS(Annualized_Investments!X$2:X$9989,Annualized_Investments!$B$2:$B$9989,$A87)</f>
        <v>592.47548820980001</v>
      </c>
      <c r="Y87">
        <f>SUMIFS(Annualized_Investments!Y$2:Y$9989,Annualized_Investments!$B$2:$B$9989,$A87)</f>
        <v>592.47548820980001</v>
      </c>
      <c r="Z87">
        <f>SUMIFS(Annualized_Investments!Z$2:Z$9989,Annualized_Investments!$B$2:$B$9989,$A87)</f>
        <v>592.47548820980001</v>
      </c>
      <c r="AA87">
        <f>SUMIFS(Annualized_Investments!AA$2:AA$9989,Annualized_Investments!$B$2:$B$9989,$A87)</f>
        <v>592.47548820980001</v>
      </c>
      <c r="AB87">
        <f>SUMIFS(Annualized_Investments!AB$2:AB$9989,Annualized_Investments!$B$2:$B$9989,$A87)</f>
        <v>592.47548820980001</v>
      </c>
      <c r="AC87">
        <f>SUMIFS(Annualized_Investments!AC$2:AC$9989,Annualized_Investments!$B$2:$B$9989,$A87)</f>
        <v>592.47548820980001</v>
      </c>
      <c r="AD87">
        <f>SUMIFS(Annualized_Investments!AD$2:AD$9989,Annualized_Investments!$B$2:$B$9989,$A87)</f>
        <v>592.47548820980001</v>
      </c>
      <c r="AE87">
        <f>SUMIFS(Annualized_Investments!AE$2:AE$9989,Annualized_Investments!$B$2:$B$9989,$A87)</f>
        <v>592.47548820980001</v>
      </c>
      <c r="AF87">
        <f>SUMIFS(Annualized_Investments!AF$2:AF$9989,Annualized_Investments!$B$2:$B$9989,$A87)</f>
        <v>592.47548820980001</v>
      </c>
      <c r="AG87">
        <f>SUMIFS(Annualized_Investments!AG$2:AG$9989,Annualized_Investments!$B$2:$B$9989,$A87)</f>
        <v>592.47548820980001</v>
      </c>
    </row>
    <row r="88" spans="1:33">
      <c r="A88" t="s">
        <v>146</v>
      </c>
      <c r="C88">
        <f>SUMIFS(Annualized_Investments!C$2:C$9989,Annualized_Investments!$B$2:$B$9989,$A88)</f>
        <v>0</v>
      </c>
      <c r="D88">
        <f>SUMIFS(Annualized_Investments!D$2:D$9989,Annualized_Investments!$B$2:$B$9989,$A88)</f>
        <v>0</v>
      </c>
      <c r="E88">
        <f>SUMIFS(Annualized_Investments!E$2:E$9989,Annualized_Investments!$B$2:$B$9989,$A88)</f>
        <v>0</v>
      </c>
      <c r="F88">
        <f>SUMIFS(Annualized_Investments!F$2:F$9989,Annualized_Investments!$B$2:$B$9989,$A88)</f>
        <v>0</v>
      </c>
      <c r="G88">
        <f>SUMIFS(Annualized_Investments!G$2:G$9989,Annualized_Investments!$B$2:$B$9989,$A88)</f>
        <v>0</v>
      </c>
      <c r="H88">
        <f>SUMIFS(Annualized_Investments!H$2:H$9989,Annualized_Investments!$B$2:$B$9989,$A88)</f>
        <v>71.357899912400001</v>
      </c>
      <c r="I88">
        <f>SUMIFS(Annualized_Investments!I$2:I$9989,Annualized_Investments!$B$2:$B$9989,$A88)</f>
        <v>71.357899912400001</v>
      </c>
      <c r="J88">
        <f>SUMIFS(Annualized_Investments!J$2:J$9989,Annualized_Investments!$B$2:$B$9989,$A88)</f>
        <v>71.357899912400001</v>
      </c>
      <c r="K88">
        <f>SUMIFS(Annualized_Investments!K$2:K$9989,Annualized_Investments!$B$2:$B$9989,$A88)</f>
        <v>71.357899912400001</v>
      </c>
      <c r="L88">
        <f>SUMIFS(Annualized_Investments!L$2:L$9989,Annualized_Investments!$B$2:$B$9989,$A88)</f>
        <v>71.357899912400001</v>
      </c>
      <c r="M88">
        <f>SUMIFS(Annualized_Investments!M$2:M$9989,Annualized_Investments!$B$2:$B$9989,$A88)</f>
        <v>71.357899912400001</v>
      </c>
      <c r="N88">
        <f>SUMIFS(Annualized_Investments!N$2:N$9989,Annualized_Investments!$B$2:$B$9989,$A88)</f>
        <v>71.357899912400001</v>
      </c>
      <c r="O88">
        <f>SUMIFS(Annualized_Investments!O$2:O$9989,Annualized_Investments!$B$2:$B$9989,$A88)</f>
        <v>71.357899912400001</v>
      </c>
      <c r="P88">
        <f>SUMIFS(Annualized_Investments!P$2:P$9989,Annualized_Investments!$B$2:$B$9989,$A88)</f>
        <v>71.357899912400001</v>
      </c>
      <c r="Q88">
        <f>SUMIFS(Annualized_Investments!Q$2:Q$9989,Annualized_Investments!$B$2:$B$9989,$A88)</f>
        <v>71.357899912400001</v>
      </c>
      <c r="R88">
        <f>SUMIFS(Annualized_Investments!R$2:R$9989,Annualized_Investments!$B$2:$B$9989,$A88)</f>
        <v>71.357899912400001</v>
      </c>
      <c r="S88">
        <f>SUMIFS(Annualized_Investments!S$2:S$9989,Annualized_Investments!$B$2:$B$9989,$A88)</f>
        <v>71.357899912400001</v>
      </c>
      <c r="T88">
        <f>SUMIFS(Annualized_Investments!T$2:T$9989,Annualized_Investments!$B$2:$B$9989,$A88)</f>
        <v>71.357899912400001</v>
      </c>
      <c r="U88">
        <f>SUMIFS(Annualized_Investments!U$2:U$9989,Annualized_Investments!$B$2:$B$9989,$A88)</f>
        <v>74.035199664000004</v>
      </c>
      <c r="V88">
        <f>SUMIFS(Annualized_Investments!V$2:V$9989,Annualized_Investments!$B$2:$B$9989,$A88)</f>
        <v>134.48043595190001</v>
      </c>
      <c r="W88">
        <f>SUMIFS(Annualized_Investments!W$2:W$9989,Annualized_Investments!$B$2:$B$9989,$A88)</f>
        <v>252.4343147104</v>
      </c>
      <c r="X88">
        <f>SUMIFS(Annualized_Investments!X$2:X$9989,Annualized_Investments!$B$2:$B$9989,$A88)</f>
        <v>309.546305915</v>
      </c>
      <c r="Y88">
        <f>SUMIFS(Annualized_Investments!Y$2:Y$9989,Annualized_Investments!$B$2:$B$9989,$A88)</f>
        <v>324.8717866687</v>
      </c>
      <c r="Z88">
        <f>SUMIFS(Annualized_Investments!Z$2:Z$9989,Annualized_Investments!$B$2:$B$9989,$A88)</f>
        <v>338.90417578159997</v>
      </c>
      <c r="AA88">
        <f>SUMIFS(Annualized_Investments!AA$2:AA$9989,Annualized_Investments!$B$2:$B$9989,$A88)</f>
        <v>358.2310237433</v>
      </c>
      <c r="AB88">
        <f>SUMIFS(Annualized_Investments!AB$2:AB$9989,Annualized_Investments!$B$2:$B$9989,$A88)</f>
        <v>378.68358312049997</v>
      </c>
      <c r="AC88">
        <f>SUMIFS(Annualized_Investments!AC$2:AC$9989,Annualized_Investments!$B$2:$B$9989,$A88)</f>
        <v>445.38710995209999</v>
      </c>
      <c r="AD88">
        <f>SUMIFS(Annualized_Investments!AD$2:AD$9989,Annualized_Investments!$B$2:$B$9989,$A88)</f>
        <v>465.4709260299</v>
      </c>
      <c r="AE88">
        <f>SUMIFS(Annualized_Investments!AE$2:AE$9989,Annualized_Investments!$B$2:$B$9989,$A88)</f>
        <v>495.35106004120001</v>
      </c>
      <c r="AF88">
        <f>SUMIFS(Annualized_Investments!AF$2:AF$9989,Annualized_Investments!$B$2:$B$9989,$A88)</f>
        <v>623.77278457579996</v>
      </c>
      <c r="AG88">
        <f>SUMIFS(Annualized_Investments!AG$2:AG$9989,Annualized_Investments!$B$2:$B$9989,$A88)</f>
        <v>832.45589502040002</v>
      </c>
    </row>
    <row r="89" spans="1:33">
      <c r="A89" t="s">
        <v>147</v>
      </c>
      <c r="C89">
        <f>SUMIFS(Annualized_Investments!C$2:C$9989,Annualized_Investments!$B$2:$B$9989,$A89)</f>
        <v>0</v>
      </c>
      <c r="D89">
        <f>SUMIFS(Annualized_Investments!D$2:D$9989,Annualized_Investments!$B$2:$B$9989,$A89)</f>
        <v>0</v>
      </c>
      <c r="E89">
        <f>SUMIFS(Annualized_Investments!E$2:E$9989,Annualized_Investments!$B$2:$B$9989,$A89)</f>
        <v>0</v>
      </c>
      <c r="F89">
        <f>SUMIFS(Annualized_Investments!F$2:F$9989,Annualized_Investments!$B$2:$B$9989,$A89)</f>
        <v>0</v>
      </c>
      <c r="G89">
        <f>SUMIFS(Annualized_Investments!G$2:G$9989,Annualized_Investments!$B$2:$B$9989,$A89)</f>
        <v>0</v>
      </c>
      <c r="H89">
        <f>SUMIFS(Annualized_Investments!H$2:H$9989,Annualized_Investments!$B$2:$B$9989,$A89)</f>
        <v>0</v>
      </c>
      <c r="I89">
        <f>SUMIFS(Annualized_Investments!I$2:I$9989,Annualized_Investments!$B$2:$B$9989,$A89)</f>
        <v>0</v>
      </c>
      <c r="J89">
        <f>SUMIFS(Annualized_Investments!J$2:J$9989,Annualized_Investments!$B$2:$B$9989,$A89)</f>
        <v>0</v>
      </c>
      <c r="K89">
        <f>SUMIFS(Annualized_Investments!K$2:K$9989,Annualized_Investments!$B$2:$B$9989,$A89)</f>
        <v>0</v>
      </c>
      <c r="L89">
        <f>SUMIFS(Annualized_Investments!L$2:L$9989,Annualized_Investments!$B$2:$B$9989,$A89)</f>
        <v>0</v>
      </c>
      <c r="M89">
        <f>SUMIFS(Annualized_Investments!M$2:M$9989,Annualized_Investments!$B$2:$B$9989,$A89)</f>
        <v>0</v>
      </c>
      <c r="N89">
        <f>SUMIFS(Annualized_Investments!N$2:N$9989,Annualized_Investments!$B$2:$B$9989,$A89)</f>
        <v>0</v>
      </c>
      <c r="O89">
        <f>SUMIFS(Annualized_Investments!O$2:O$9989,Annualized_Investments!$B$2:$B$9989,$A89)</f>
        <v>0</v>
      </c>
      <c r="P89">
        <f>SUMIFS(Annualized_Investments!P$2:P$9989,Annualized_Investments!$B$2:$B$9989,$A89)</f>
        <v>0</v>
      </c>
      <c r="Q89">
        <f>SUMIFS(Annualized_Investments!Q$2:Q$9989,Annualized_Investments!$B$2:$B$9989,$A89)</f>
        <v>0</v>
      </c>
      <c r="R89">
        <f>SUMIFS(Annualized_Investments!R$2:R$9989,Annualized_Investments!$B$2:$B$9989,$A89)</f>
        <v>0</v>
      </c>
      <c r="S89">
        <f>SUMIFS(Annualized_Investments!S$2:S$9989,Annualized_Investments!$B$2:$B$9989,$A89)</f>
        <v>0</v>
      </c>
      <c r="T89">
        <f>SUMIFS(Annualized_Investments!T$2:T$9989,Annualized_Investments!$B$2:$B$9989,$A89)</f>
        <v>0</v>
      </c>
      <c r="U89">
        <f>SUMIFS(Annualized_Investments!U$2:U$9989,Annualized_Investments!$B$2:$B$9989,$A89)</f>
        <v>0</v>
      </c>
      <c r="V89">
        <f>SUMIFS(Annualized_Investments!V$2:V$9989,Annualized_Investments!$B$2:$B$9989,$A89)</f>
        <v>0</v>
      </c>
      <c r="W89">
        <f>SUMIFS(Annualized_Investments!W$2:W$9989,Annualized_Investments!$B$2:$B$9989,$A89)</f>
        <v>0</v>
      </c>
      <c r="X89">
        <f>SUMIFS(Annualized_Investments!X$2:X$9989,Annualized_Investments!$B$2:$B$9989,$A89)</f>
        <v>0</v>
      </c>
      <c r="Y89">
        <f>SUMIFS(Annualized_Investments!Y$2:Y$9989,Annualized_Investments!$B$2:$B$9989,$A89)</f>
        <v>0</v>
      </c>
      <c r="Z89">
        <f>SUMIFS(Annualized_Investments!Z$2:Z$9989,Annualized_Investments!$B$2:$B$9989,$A89)</f>
        <v>0</v>
      </c>
      <c r="AA89">
        <f>SUMIFS(Annualized_Investments!AA$2:AA$9989,Annualized_Investments!$B$2:$B$9989,$A89)</f>
        <v>0</v>
      </c>
      <c r="AB89">
        <f>SUMIFS(Annualized_Investments!AB$2:AB$9989,Annualized_Investments!$B$2:$B$9989,$A89)</f>
        <v>0</v>
      </c>
      <c r="AC89">
        <f>SUMIFS(Annualized_Investments!AC$2:AC$9989,Annualized_Investments!$B$2:$B$9989,$A89)</f>
        <v>0</v>
      </c>
      <c r="AD89">
        <f>SUMIFS(Annualized_Investments!AD$2:AD$9989,Annualized_Investments!$B$2:$B$9989,$A89)</f>
        <v>0</v>
      </c>
      <c r="AE89">
        <f>SUMIFS(Annualized_Investments!AE$2:AE$9989,Annualized_Investments!$B$2:$B$9989,$A89)</f>
        <v>0</v>
      </c>
      <c r="AF89">
        <f>SUMIFS(Annualized_Investments!AF$2:AF$9989,Annualized_Investments!$B$2:$B$9989,$A89)</f>
        <v>0</v>
      </c>
      <c r="AG89">
        <f>SUMIFS(Annualized_Investments!AG$2:AG$9989,Annualized_Investments!$B$2:$B$9989,$A89)</f>
        <v>0</v>
      </c>
    </row>
    <row r="90" spans="1:33">
      <c r="A90" t="s">
        <v>148</v>
      </c>
      <c r="C90">
        <f>SUMIFS(Annualized_Investments!C$2:C$9989,Annualized_Investments!$B$2:$B$9989,$A90)</f>
        <v>0</v>
      </c>
      <c r="D90">
        <f>SUMIFS(Annualized_Investments!D$2:D$9989,Annualized_Investments!$B$2:$B$9989,$A90)</f>
        <v>0</v>
      </c>
      <c r="E90">
        <f>SUMIFS(Annualized_Investments!E$2:E$9989,Annualized_Investments!$B$2:$B$9989,$A90)</f>
        <v>0</v>
      </c>
      <c r="F90">
        <f>SUMIFS(Annualized_Investments!F$2:F$9989,Annualized_Investments!$B$2:$B$9989,$A90)</f>
        <v>0</v>
      </c>
      <c r="G90">
        <f>SUMIFS(Annualized_Investments!G$2:G$9989,Annualized_Investments!$B$2:$B$9989,$A90)</f>
        <v>0</v>
      </c>
      <c r="H90">
        <f>SUMIFS(Annualized_Investments!H$2:H$9989,Annualized_Investments!$B$2:$B$9989,$A90)</f>
        <v>0</v>
      </c>
      <c r="I90">
        <f>SUMIFS(Annualized_Investments!I$2:I$9989,Annualized_Investments!$B$2:$B$9989,$A90)</f>
        <v>0</v>
      </c>
      <c r="J90">
        <f>SUMIFS(Annualized_Investments!J$2:J$9989,Annualized_Investments!$B$2:$B$9989,$A90)</f>
        <v>0</v>
      </c>
      <c r="K90">
        <f>SUMIFS(Annualized_Investments!K$2:K$9989,Annualized_Investments!$B$2:$B$9989,$A90)</f>
        <v>0</v>
      </c>
      <c r="L90">
        <f>SUMIFS(Annualized_Investments!L$2:L$9989,Annualized_Investments!$B$2:$B$9989,$A90)</f>
        <v>0</v>
      </c>
      <c r="M90">
        <f>SUMIFS(Annualized_Investments!M$2:M$9989,Annualized_Investments!$B$2:$B$9989,$A90)</f>
        <v>0</v>
      </c>
      <c r="N90">
        <f>SUMIFS(Annualized_Investments!N$2:N$9989,Annualized_Investments!$B$2:$B$9989,$A90)</f>
        <v>0</v>
      </c>
      <c r="O90">
        <f>SUMIFS(Annualized_Investments!O$2:O$9989,Annualized_Investments!$B$2:$B$9989,$A90)</f>
        <v>0</v>
      </c>
      <c r="P90">
        <f>SUMIFS(Annualized_Investments!P$2:P$9989,Annualized_Investments!$B$2:$B$9989,$A90)</f>
        <v>0</v>
      </c>
      <c r="Q90">
        <f>SUMIFS(Annualized_Investments!Q$2:Q$9989,Annualized_Investments!$B$2:$B$9989,$A90)</f>
        <v>0</v>
      </c>
      <c r="R90">
        <f>SUMIFS(Annualized_Investments!R$2:R$9989,Annualized_Investments!$B$2:$B$9989,$A90)</f>
        <v>0</v>
      </c>
      <c r="S90">
        <f>SUMIFS(Annualized_Investments!S$2:S$9989,Annualized_Investments!$B$2:$B$9989,$A90)</f>
        <v>0</v>
      </c>
      <c r="T90">
        <f>SUMIFS(Annualized_Investments!T$2:T$9989,Annualized_Investments!$B$2:$B$9989,$A90)</f>
        <v>0</v>
      </c>
      <c r="U90">
        <f>SUMIFS(Annualized_Investments!U$2:U$9989,Annualized_Investments!$B$2:$B$9989,$A90)</f>
        <v>0</v>
      </c>
      <c r="V90">
        <f>SUMIFS(Annualized_Investments!V$2:V$9989,Annualized_Investments!$B$2:$B$9989,$A90)</f>
        <v>0</v>
      </c>
      <c r="W90">
        <f>SUMIFS(Annualized_Investments!W$2:W$9989,Annualized_Investments!$B$2:$B$9989,$A90)</f>
        <v>0</v>
      </c>
      <c r="X90">
        <f>SUMIFS(Annualized_Investments!X$2:X$9989,Annualized_Investments!$B$2:$B$9989,$A90)</f>
        <v>0</v>
      </c>
      <c r="Y90">
        <f>SUMIFS(Annualized_Investments!Y$2:Y$9989,Annualized_Investments!$B$2:$B$9989,$A90)</f>
        <v>0</v>
      </c>
      <c r="Z90">
        <f>SUMIFS(Annualized_Investments!Z$2:Z$9989,Annualized_Investments!$B$2:$B$9989,$A90)</f>
        <v>0</v>
      </c>
      <c r="AA90">
        <f>SUMIFS(Annualized_Investments!AA$2:AA$9989,Annualized_Investments!$B$2:$B$9989,$A90)</f>
        <v>0</v>
      </c>
      <c r="AB90">
        <f>SUMIFS(Annualized_Investments!AB$2:AB$9989,Annualized_Investments!$B$2:$B$9989,$A90)</f>
        <v>0</v>
      </c>
      <c r="AC90">
        <f>SUMIFS(Annualized_Investments!AC$2:AC$9989,Annualized_Investments!$B$2:$B$9989,$A90)</f>
        <v>0</v>
      </c>
      <c r="AD90">
        <f>SUMIFS(Annualized_Investments!AD$2:AD$9989,Annualized_Investments!$B$2:$B$9989,$A90)</f>
        <v>0</v>
      </c>
      <c r="AE90">
        <f>SUMIFS(Annualized_Investments!AE$2:AE$9989,Annualized_Investments!$B$2:$B$9989,$A90)</f>
        <v>0</v>
      </c>
      <c r="AF90">
        <f>SUMIFS(Annualized_Investments!AF$2:AF$9989,Annualized_Investments!$B$2:$B$9989,$A90)</f>
        <v>0</v>
      </c>
      <c r="AG90">
        <f>SUMIFS(Annualized_Investments!AG$2:AG$9989,Annualized_Investments!$B$2:$B$9989,$A90)</f>
        <v>0</v>
      </c>
    </row>
    <row r="91" spans="1:33">
      <c r="A91" t="s">
        <v>149</v>
      </c>
      <c r="C91">
        <f>SUMIFS(Annualized_Investments!C$2:C$9989,Annualized_Investments!$B$2:$B$9989,$A91)</f>
        <v>0</v>
      </c>
      <c r="D91">
        <f>SUMIFS(Annualized_Investments!D$2:D$9989,Annualized_Investments!$B$2:$B$9989,$A91)</f>
        <v>0</v>
      </c>
      <c r="E91">
        <f>SUMIFS(Annualized_Investments!E$2:E$9989,Annualized_Investments!$B$2:$B$9989,$A91)</f>
        <v>0</v>
      </c>
      <c r="F91">
        <f>SUMIFS(Annualized_Investments!F$2:F$9989,Annualized_Investments!$B$2:$B$9989,$A91)</f>
        <v>0</v>
      </c>
      <c r="G91">
        <f>SUMIFS(Annualized_Investments!G$2:G$9989,Annualized_Investments!$B$2:$B$9989,$A91)</f>
        <v>0</v>
      </c>
      <c r="H91">
        <f>SUMIFS(Annualized_Investments!H$2:H$9989,Annualized_Investments!$B$2:$B$9989,$A91)</f>
        <v>0</v>
      </c>
      <c r="I91">
        <f>SUMIFS(Annualized_Investments!I$2:I$9989,Annualized_Investments!$B$2:$B$9989,$A91)</f>
        <v>0</v>
      </c>
      <c r="J91">
        <f>SUMIFS(Annualized_Investments!J$2:J$9989,Annualized_Investments!$B$2:$B$9989,$A91)</f>
        <v>0</v>
      </c>
      <c r="K91">
        <f>SUMIFS(Annualized_Investments!K$2:K$9989,Annualized_Investments!$B$2:$B$9989,$A91)</f>
        <v>0</v>
      </c>
      <c r="L91">
        <f>SUMIFS(Annualized_Investments!L$2:L$9989,Annualized_Investments!$B$2:$B$9989,$A91)</f>
        <v>0</v>
      </c>
      <c r="M91">
        <f>SUMIFS(Annualized_Investments!M$2:M$9989,Annualized_Investments!$B$2:$B$9989,$A91)</f>
        <v>0</v>
      </c>
      <c r="N91">
        <f>SUMIFS(Annualized_Investments!N$2:N$9989,Annualized_Investments!$B$2:$B$9989,$A91)</f>
        <v>0</v>
      </c>
      <c r="O91">
        <f>SUMIFS(Annualized_Investments!O$2:O$9989,Annualized_Investments!$B$2:$B$9989,$A91)</f>
        <v>0</v>
      </c>
      <c r="P91">
        <f>SUMIFS(Annualized_Investments!P$2:P$9989,Annualized_Investments!$B$2:$B$9989,$A91)</f>
        <v>0</v>
      </c>
      <c r="Q91">
        <f>SUMIFS(Annualized_Investments!Q$2:Q$9989,Annualized_Investments!$B$2:$B$9989,$A91)</f>
        <v>0</v>
      </c>
      <c r="R91">
        <f>SUMIFS(Annualized_Investments!R$2:R$9989,Annualized_Investments!$B$2:$B$9989,$A91)</f>
        <v>0</v>
      </c>
      <c r="S91">
        <f>SUMIFS(Annualized_Investments!S$2:S$9989,Annualized_Investments!$B$2:$B$9989,$A91)</f>
        <v>0</v>
      </c>
      <c r="T91">
        <f>SUMIFS(Annualized_Investments!T$2:T$9989,Annualized_Investments!$B$2:$B$9989,$A91)</f>
        <v>0</v>
      </c>
      <c r="U91">
        <f>SUMIFS(Annualized_Investments!U$2:U$9989,Annualized_Investments!$B$2:$B$9989,$A91)</f>
        <v>0</v>
      </c>
      <c r="V91">
        <f>SUMIFS(Annualized_Investments!V$2:V$9989,Annualized_Investments!$B$2:$B$9989,$A91)</f>
        <v>0</v>
      </c>
      <c r="W91">
        <f>SUMIFS(Annualized_Investments!W$2:W$9989,Annualized_Investments!$B$2:$B$9989,$A91)</f>
        <v>0</v>
      </c>
      <c r="X91">
        <f>SUMIFS(Annualized_Investments!X$2:X$9989,Annualized_Investments!$B$2:$B$9989,$A91)</f>
        <v>0</v>
      </c>
      <c r="Y91">
        <f>SUMIFS(Annualized_Investments!Y$2:Y$9989,Annualized_Investments!$B$2:$B$9989,$A91)</f>
        <v>0</v>
      </c>
      <c r="Z91">
        <f>SUMIFS(Annualized_Investments!Z$2:Z$9989,Annualized_Investments!$B$2:$B$9989,$A91)</f>
        <v>0</v>
      </c>
      <c r="AA91">
        <f>SUMIFS(Annualized_Investments!AA$2:AA$9989,Annualized_Investments!$B$2:$B$9989,$A91)</f>
        <v>0</v>
      </c>
      <c r="AB91">
        <f>SUMIFS(Annualized_Investments!AB$2:AB$9989,Annualized_Investments!$B$2:$B$9989,$A91)</f>
        <v>0</v>
      </c>
      <c r="AC91">
        <f>SUMIFS(Annualized_Investments!AC$2:AC$9989,Annualized_Investments!$B$2:$B$9989,$A91)</f>
        <v>0</v>
      </c>
      <c r="AD91">
        <f>SUMIFS(Annualized_Investments!AD$2:AD$9989,Annualized_Investments!$B$2:$B$9989,$A91)</f>
        <v>0</v>
      </c>
      <c r="AE91">
        <f>SUMIFS(Annualized_Investments!AE$2:AE$9989,Annualized_Investments!$B$2:$B$9989,$A91)</f>
        <v>0</v>
      </c>
      <c r="AF91">
        <f>SUMIFS(Annualized_Investments!AF$2:AF$9989,Annualized_Investments!$B$2:$B$9989,$A91)</f>
        <v>0</v>
      </c>
      <c r="AG91">
        <f>SUMIFS(Annualized_Investments!AG$2:AG$9989,Annualized_Investments!$B$2:$B$9989,$A91)</f>
        <v>0</v>
      </c>
    </row>
    <row r="92" spans="1:33">
      <c r="A92" t="s">
        <v>150</v>
      </c>
      <c r="C92">
        <f>SUMIFS(Annualized_Investments!C$2:C$9989,Annualized_Investments!$B$2:$B$9989,$A92)</f>
        <v>0</v>
      </c>
      <c r="D92">
        <f>SUMIFS(Annualized_Investments!D$2:D$9989,Annualized_Investments!$B$2:$B$9989,$A92)</f>
        <v>17.8767600929</v>
      </c>
      <c r="E92">
        <f>SUMIFS(Annualized_Investments!E$2:E$9989,Annualized_Investments!$B$2:$B$9989,$A92)</f>
        <v>35.182746503700002</v>
      </c>
      <c r="F92">
        <f>SUMIFS(Annualized_Investments!F$2:F$9989,Annualized_Investments!$B$2:$B$9989,$A92)</f>
        <v>43.737239445599997</v>
      </c>
      <c r="G92">
        <f>SUMIFS(Annualized_Investments!G$2:G$9989,Annualized_Investments!$B$2:$B$9989,$A92)</f>
        <v>96.293446186699995</v>
      </c>
      <c r="H92">
        <f>SUMIFS(Annualized_Investments!H$2:H$9989,Annualized_Investments!$B$2:$B$9989,$A92)</f>
        <v>110.19144367200001</v>
      </c>
      <c r="I92">
        <f>SUMIFS(Annualized_Investments!I$2:I$9989,Annualized_Investments!$B$2:$B$9989,$A92)</f>
        <v>110.19144367200001</v>
      </c>
      <c r="J92">
        <f>SUMIFS(Annualized_Investments!J$2:J$9989,Annualized_Investments!$B$2:$B$9989,$A92)</f>
        <v>110.19144367200001</v>
      </c>
      <c r="K92">
        <f>SUMIFS(Annualized_Investments!K$2:K$9989,Annualized_Investments!$B$2:$B$9989,$A92)</f>
        <v>110.19144367200001</v>
      </c>
      <c r="L92">
        <f>SUMIFS(Annualized_Investments!L$2:L$9989,Annualized_Investments!$B$2:$B$9989,$A92)</f>
        <v>110.19144367200001</v>
      </c>
      <c r="M92">
        <f>SUMIFS(Annualized_Investments!M$2:M$9989,Annualized_Investments!$B$2:$B$9989,$A92)</f>
        <v>455.58903280880003</v>
      </c>
      <c r="N92">
        <f>SUMIFS(Annualized_Investments!N$2:N$9989,Annualized_Investments!$B$2:$B$9989,$A92)</f>
        <v>455.58903280880003</v>
      </c>
      <c r="O92">
        <f>SUMIFS(Annualized_Investments!O$2:O$9989,Annualized_Investments!$B$2:$B$9989,$A92)</f>
        <v>455.58903280880003</v>
      </c>
      <c r="P92">
        <f>SUMIFS(Annualized_Investments!P$2:P$9989,Annualized_Investments!$B$2:$B$9989,$A92)</f>
        <v>455.58903280880003</v>
      </c>
      <c r="Q92">
        <f>SUMIFS(Annualized_Investments!Q$2:Q$9989,Annualized_Investments!$B$2:$B$9989,$A92)</f>
        <v>456.74671292900001</v>
      </c>
      <c r="R92">
        <f>SUMIFS(Annualized_Investments!R$2:R$9989,Annualized_Investments!$B$2:$B$9989,$A92)</f>
        <v>456.74671292900001</v>
      </c>
      <c r="S92">
        <f>SUMIFS(Annualized_Investments!S$2:S$9989,Annualized_Investments!$B$2:$B$9989,$A92)</f>
        <v>456.74671292900001</v>
      </c>
      <c r="T92">
        <f>SUMIFS(Annualized_Investments!T$2:T$9989,Annualized_Investments!$B$2:$B$9989,$A92)</f>
        <v>456.74671292900001</v>
      </c>
      <c r="U92">
        <f>SUMIFS(Annualized_Investments!U$2:U$9989,Annualized_Investments!$B$2:$B$9989,$A92)</f>
        <v>456.74671292900001</v>
      </c>
      <c r="V92">
        <f>SUMIFS(Annualized_Investments!V$2:V$9989,Annualized_Investments!$B$2:$B$9989,$A92)</f>
        <v>456.74671292900001</v>
      </c>
      <c r="W92">
        <f>SUMIFS(Annualized_Investments!W$2:W$9989,Annualized_Investments!$B$2:$B$9989,$A92)</f>
        <v>960.52234226309997</v>
      </c>
      <c r="X92">
        <f>SUMIFS(Annualized_Investments!X$2:X$9989,Annualized_Investments!$B$2:$B$9989,$A92)</f>
        <v>1003.6008832679</v>
      </c>
      <c r="Y92">
        <f>SUMIFS(Annualized_Investments!Y$2:Y$9989,Annualized_Investments!$B$2:$B$9989,$A92)</f>
        <v>1048.6242453433999</v>
      </c>
      <c r="Z92">
        <f>SUMIFS(Annualized_Investments!Z$2:Z$9989,Annualized_Investments!$B$2:$B$9989,$A92)</f>
        <v>1092.6186547957</v>
      </c>
      <c r="AA92">
        <f>SUMIFS(Annualized_Investments!AA$2:AA$9989,Annualized_Investments!$B$2:$B$9989,$A92)</f>
        <v>1136.2447987809001</v>
      </c>
      <c r="AB92">
        <f>SUMIFS(Annualized_Investments!AB$2:AB$9989,Annualized_Investments!$B$2:$B$9989,$A92)</f>
        <v>1181.9639943735999</v>
      </c>
      <c r="AC92">
        <f>SUMIFS(Annualized_Investments!AC$2:AC$9989,Annualized_Investments!$B$2:$B$9989,$A92)</f>
        <v>1241.5086705900001</v>
      </c>
      <c r="AD92">
        <f>SUMIFS(Annualized_Investments!AD$2:AD$9989,Annualized_Investments!$B$2:$B$9989,$A92)</f>
        <v>1286.2506263527</v>
      </c>
      <c r="AE92">
        <f>SUMIFS(Annualized_Investments!AE$2:AE$9989,Annualized_Investments!$B$2:$B$9989,$A92)</f>
        <v>1371.3036120383999</v>
      </c>
      <c r="AF92">
        <f>SUMIFS(Annualized_Investments!AF$2:AF$9989,Annualized_Investments!$B$2:$B$9989,$A92)</f>
        <v>1371.3036120383999</v>
      </c>
      <c r="AG92">
        <f>SUMIFS(Annualized_Investments!AG$2:AG$9989,Annualized_Investments!$B$2:$B$9989,$A92)</f>
        <v>1589.5034289794</v>
      </c>
    </row>
    <row r="93" spans="1:33">
      <c r="A93" t="s">
        <v>151</v>
      </c>
      <c r="C93">
        <f>SUMIFS(Annualized_Investments!C$2:C$9989,Annualized_Investments!$B$2:$B$9989,$A93)</f>
        <v>0</v>
      </c>
      <c r="D93">
        <f>SUMIFS(Annualized_Investments!D$2:D$9989,Annualized_Investments!$B$2:$B$9989,$A93)</f>
        <v>0</v>
      </c>
      <c r="E93">
        <f>SUMIFS(Annualized_Investments!E$2:E$9989,Annualized_Investments!$B$2:$B$9989,$A93)</f>
        <v>0</v>
      </c>
      <c r="F93">
        <f>SUMIFS(Annualized_Investments!F$2:F$9989,Annualized_Investments!$B$2:$B$9989,$A93)</f>
        <v>0</v>
      </c>
      <c r="G93">
        <f>SUMIFS(Annualized_Investments!G$2:G$9989,Annualized_Investments!$B$2:$B$9989,$A93)</f>
        <v>0</v>
      </c>
      <c r="H93">
        <f>SUMIFS(Annualized_Investments!H$2:H$9989,Annualized_Investments!$B$2:$B$9989,$A93)</f>
        <v>0</v>
      </c>
      <c r="I93">
        <f>SUMIFS(Annualized_Investments!I$2:I$9989,Annualized_Investments!$B$2:$B$9989,$A93)</f>
        <v>0</v>
      </c>
      <c r="J93">
        <f>SUMIFS(Annualized_Investments!J$2:J$9989,Annualized_Investments!$B$2:$B$9989,$A93)</f>
        <v>0</v>
      </c>
      <c r="K93">
        <f>SUMIFS(Annualized_Investments!K$2:K$9989,Annualized_Investments!$B$2:$B$9989,$A93)</f>
        <v>0</v>
      </c>
      <c r="L93">
        <f>SUMIFS(Annualized_Investments!L$2:L$9989,Annualized_Investments!$B$2:$B$9989,$A93)</f>
        <v>0</v>
      </c>
      <c r="M93">
        <f>SUMIFS(Annualized_Investments!M$2:M$9989,Annualized_Investments!$B$2:$B$9989,$A93)</f>
        <v>0</v>
      </c>
      <c r="N93">
        <f>SUMIFS(Annualized_Investments!N$2:N$9989,Annualized_Investments!$B$2:$B$9989,$A93)</f>
        <v>0</v>
      </c>
      <c r="O93">
        <f>SUMIFS(Annualized_Investments!O$2:O$9989,Annualized_Investments!$B$2:$B$9989,$A93)</f>
        <v>0</v>
      </c>
      <c r="P93">
        <f>SUMIFS(Annualized_Investments!P$2:P$9989,Annualized_Investments!$B$2:$B$9989,$A93)</f>
        <v>0</v>
      </c>
      <c r="Q93">
        <f>SUMIFS(Annualized_Investments!Q$2:Q$9989,Annualized_Investments!$B$2:$B$9989,$A93)</f>
        <v>0</v>
      </c>
      <c r="R93">
        <f>SUMIFS(Annualized_Investments!R$2:R$9989,Annualized_Investments!$B$2:$B$9989,$A93)</f>
        <v>0</v>
      </c>
      <c r="S93">
        <f>SUMIFS(Annualized_Investments!S$2:S$9989,Annualized_Investments!$B$2:$B$9989,$A93)</f>
        <v>0</v>
      </c>
      <c r="T93">
        <f>SUMIFS(Annualized_Investments!T$2:T$9989,Annualized_Investments!$B$2:$B$9989,$A93)</f>
        <v>0</v>
      </c>
      <c r="U93">
        <f>SUMIFS(Annualized_Investments!U$2:U$9989,Annualized_Investments!$B$2:$B$9989,$A93)</f>
        <v>0</v>
      </c>
      <c r="V93">
        <f>SUMIFS(Annualized_Investments!V$2:V$9989,Annualized_Investments!$B$2:$B$9989,$A93)</f>
        <v>0</v>
      </c>
      <c r="W93">
        <f>SUMIFS(Annualized_Investments!W$2:W$9989,Annualized_Investments!$B$2:$B$9989,$A93)</f>
        <v>0</v>
      </c>
      <c r="X93">
        <f>SUMIFS(Annualized_Investments!X$2:X$9989,Annualized_Investments!$B$2:$B$9989,$A93)</f>
        <v>0</v>
      </c>
      <c r="Y93">
        <f>SUMIFS(Annualized_Investments!Y$2:Y$9989,Annualized_Investments!$B$2:$B$9989,$A93)</f>
        <v>0</v>
      </c>
      <c r="Z93">
        <f>SUMIFS(Annualized_Investments!Z$2:Z$9989,Annualized_Investments!$B$2:$B$9989,$A93)</f>
        <v>0</v>
      </c>
      <c r="AA93">
        <f>SUMIFS(Annualized_Investments!AA$2:AA$9989,Annualized_Investments!$B$2:$B$9989,$A93)</f>
        <v>0</v>
      </c>
      <c r="AB93">
        <f>SUMIFS(Annualized_Investments!AB$2:AB$9989,Annualized_Investments!$B$2:$B$9989,$A93)</f>
        <v>0</v>
      </c>
      <c r="AC93">
        <f>SUMIFS(Annualized_Investments!AC$2:AC$9989,Annualized_Investments!$B$2:$B$9989,$A93)</f>
        <v>0</v>
      </c>
      <c r="AD93">
        <f>SUMIFS(Annualized_Investments!AD$2:AD$9989,Annualized_Investments!$B$2:$B$9989,$A93)</f>
        <v>0</v>
      </c>
      <c r="AE93">
        <f>SUMIFS(Annualized_Investments!AE$2:AE$9989,Annualized_Investments!$B$2:$B$9989,$A93)</f>
        <v>0</v>
      </c>
      <c r="AF93">
        <f>SUMIFS(Annualized_Investments!AF$2:AF$9989,Annualized_Investments!$B$2:$B$9989,$A93)</f>
        <v>0</v>
      </c>
      <c r="AG93">
        <f>SUMIFS(Annualized_Investments!AG$2:AG$9989,Annualized_Investments!$B$2:$B$9989,$A93)</f>
        <v>0</v>
      </c>
    </row>
    <row r="94" spans="1:33">
      <c r="A94" t="s">
        <v>152</v>
      </c>
      <c r="C94">
        <f>SUMIFS(Annualized_Investments!C$2:C$9989,Annualized_Investments!$B$2:$B$9989,$A94)</f>
        <v>24.191247073500001</v>
      </c>
      <c r="D94">
        <f>SUMIFS(Annualized_Investments!D$2:D$9989,Annualized_Investments!$B$2:$B$9989,$A94)</f>
        <v>39.447849884599997</v>
      </c>
      <c r="E94">
        <f>SUMIFS(Annualized_Investments!E$2:E$9989,Annualized_Investments!$B$2:$B$9989,$A94)</f>
        <v>39.447849884599997</v>
      </c>
      <c r="F94">
        <f>SUMIFS(Annualized_Investments!F$2:F$9989,Annualized_Investments!$B$2:$B$9989,$A94)</f>
        <v>41.740986002900001</v>
      </c>
      <c r="G94">
        <f>SUMIFS(Annualized_Investments!G$2:G$9989,Annualized_Investments!$B$2:$B$9989,$A94)</f>
        <v>41.740986002900001</v>
      </c>
      <c r="H94">
        <f>SUMIFS(Annualized_Investments!H$2:H$9989,Annualized_Investments!$B$2:$B$9989,$A94)</f>
        <v>41.740986002900001</v>
      </c>
      <c r="I94">
        <f>SUMIFS(Annualized_Investments!I$2:I$9989,Annualized_Investments!$B$2:$B$9989,$A94)</f>
        <v>41.740986002900001</v>
      </c>
      <c r="J94">
        <f>SUMIFS(Annualized_Investments!J$2:J$9989,Annualized_Investments!$B$2:$B$9989,$A94)</f>
        <v>41.740986002900001</v>
      </c>
      <c r="K94">
        <f>SUMIFS(Annualized_Investments!K$2:K$9989,Annualized_Investments!$B$2:$B$9989,$A94)</f>
        <v>41.740986002900001</v>
      </c>
      <c r="L94">
        <f>SUMIFS(Annualized_Investments!L$2:L$9989,Annualized_Investments!$B$2:$B$9989,$A94)</f>
        <v>41.740986002900001</v>
      </c>
      <c r="M94">
        <f>SUMIFS(Annualized_Investments!M$2:M$9989,Annualized_Investments!$B$2:$B$9989,$A94)</f>
        <v>41.740986002900001</v>
      </c>
      <c r="N94">
        <f>SUMIFS(Annualized_Investments!N$2:N$9989,Annualized_Investments!$B$2:$B$9989,$A94)</f>
        <v>41.740986002900001</v>
      </c>
      <c r="O94">
        <f>SUMIFS(Annualized_Investments!O$2:O$9989,Annualized_Investments!$B$2:$B$9989,$A94)</f>
        <v>41.740986002900001</v>
      </c>
      <c r="P94">
        <f>SUMIFS(Annualized_Investments!P$2:P$9989,Annualized_Investments!$B$2:$B$9989,$A94)</f>
        <v>41.740986002900001</v>
      </c>
      <c r="Q94">
        <f>SUMIFS(Annualized_Investments!Q$2:Q$9989,Annualized_Investments!$B$2:$B$9989,$A94)</f>
        <v>41.740986002900001</v>
      </c>
      <c r="R94">
        <f>SUMIFS(Annualized_Investments!R$2:R$9989,Annualized_Investments!$B$2:$B$9989,$A94)</f>
        <v>41.740986002900001</v>
      </c>
      <c r="S94">
        <f>SUMIFS(Annualized_Investments!S$2:S$9989,Annualized_Investments!$B$2:$B$9989,$A94)</f>
        <v>41.740986002900001</v>
      </c>
      <c r="T94">
        <f>SUMIFS(Annualized_Investments!T$2:T$9989,Annualized_Investments!$B$2:$B$9989,$A94)</f>
        <v>41.740986002900001</v>
      </c>
      <c r="U94">
        <f>SUMIFS(Annualized_Investments!U$2:U$9989,Annualized_Investments!$B$2:$B$9989,$A94)</f>
        <v>41.740986002900001</v>
      </c>
      <c r="V94">
        <f>SUMIFS(Annualized_Investments!V$2:V$9989,Annualized_Investments!$B$2:$B$9989,$A94)</f>
        <v>41.740986002900001</v>
      </c>
      <c r="W94">
        <f>SUMIFS(Annualized_Investments!W$2:W$9989,Annualized_Investments!$B$2:$B$9989,$A94)</f>
        <v>41.740986002900001</v>
      </c>
      <c r="X94">
        <f>SUMIFS(Annualized_Investments!X$2:X$9989,Annualized_Investments!$B$2:$B$9989,$A94)</f>
        <v>41.740986002900001</v>
      </c>
      <c r="Y94">
        <f>SUMIFS(Annualized_Investments!Y$2:Y$9989,Annualized_Investments!$B$2:$B$9989,$A94)</f>
        <v>41.740986002900001</v>
      </c>
      <c r="Z94">
        <f>SUMIFS(Annualized_Investments!Z$2:Z$9989,Annualized_Investments!$B$2:$B$9989,$A94)</f>
        <v>41.740986002900001</v>
      </c>
      <c r="AA94">
        <f>SUMIFS(Annualized_Investments!AA$2:AA$9989,Annualized_Investments!$B$2:$B$9989,$A94)</f>
        <v>41.740986002900001</v>
      </c>
      <c r="AB94">
        <f>SUMIFS(Annualized_Investments!AB$2:AB$9989,Annualized_Investments!$B$2:$B$9989,$A94)</f>
        <v>17.5497389294</v>
      </c>
      <c r="AC94">
        <f>SUMIFS(Annualized_Investments!AC$2:AC$9989,Annualized_Investments!$B$2:$B$9989,$A94)</f>
        <v>2.2931361183000001</v>
      </c>
      <c r="AD94">
        <f>SUMIFS(Annualized_Investments!AD$2:AD$9989,Annualized_Investments!$B$2:$B$9989,$A94)</f>
        <v>2.2931361183000001</v>
      </c>
      <c r="AE94">
        <f>SUMIFS(Annualized_Investments!AE$2:AE$9989,Annualized_Investments!$B$2:$B$9989,$A94)</f>
        <v>0</v>
      </c>
      <c r="AF94">
        <f>SUMIFS(Annualized_Investments!AF$2:AF$9989,Annualized_Investments!$B$2:$B$9989,$A94)</f>
        <v>0</v>
      </c>
      <c r="AG94">
        <f>SUMIFS(Annualized_Investments!AG$2:AG$9989,Annualized_Investments!$B$2:$B$9989,$A94)</f>
        <v>0</v>
      </c>
    </row>
    <row r="95" spans="1:33">
      <c r="A95" t="s">
        <v>135</v>
      </c>
      <c r="C95">
        <f>SUMIFS(Annualized_Investments!C$2:C$9989,Annualized_Investments!$B$2:$B$9989,$A95)</f>
        <v>0</v>
      </c>
      <c r="D95">
        <f>SUMIFS(Annualized_Investments!D$2:D$9989,Annualized_Investments!$B$2:$B$9989,$A95)</f>
        <v>12.9732737057</v>
      </c>
      <c r="E95">
        <f>SUMIFS(Annualized_Investments!E$2:E$9989,Annualized_Investments!$B$2:$B$9989,$A95)</f>
        <v>19.993849520800001</v>
      </c>
      <c r="F95">
        <f>SUMIFS(Annualized_Investments!F$2:F$9989,Annualized_Investments!$B$2:$B$9989,$A95)</f>
        <v>19.993849520800001</v>
      </c>
      <c r="G95">
        <f>SUMIFS(Annualized_Investments!G$2:G$9989,Annualized_Investments!$B$2:$B$9989,$A95)</f>
        <v>20.801973355600001</v>
      </c>
      <c r="H95">
        <f>SUMIFS(Annualized_Investments!H$2:H$9989,Annualized_Investments!$B$2:$B$9989,$A95)</f>
        <v>20.801973355600001</v>
      </c>
      <c r="I95">
        <f>SUMIFS(Annualized_Investments!I$2:I$9989,Annualized_Investments!$B$2:$B$9989,$A95)</f>
        <v>20.801973355600001</v>
      </c>
      <c r="J95">
        <f>SUMIFS(Annualized_Investments!J$2:J$9989,Annualized_Investments!$B$2:$B$9989,$A95)</f>
        <v>20.801973355600001</v>
      </c>
      <c r="K95">
        <f>SUMIFS(Annualized_Investments!K$2:K$9989,Annualized_Investments!$B$2:$B$9989,$A95)</f>
        <v>20.801973355600001</v>
      </c>
      <c r="L95">
        <f>SUMIFS(Annualized_Investments!L$2:L$9989,Annualized_Investments!$B$2:$B$9989,$A95)</f>
        <v>20.801973355600001</v>
      </c>
      <c r="M95">
        <f>SUMIFS(Annualized_Investments!M$2:M$9989,Annualized_Investments!$B$2:$B$9989,$A95)</f>
        <v>20.801973355600001</v>
      </c>
      <c r="N95">
        <f>SUMIFS(Annualized_Investments!N$2:N$9989,Annualized_Investments!$B$2:$B$9989,$A95)</f>
        <v>20.801973355600001</v>
      </c>
      <c r="O95">
        <f>SUMIFS(Annualized_Investments!O$2:O$9989,Annualized_Investments!$B$2:$B$9989,$A95)</f>
        <v>20.801973355600001</v>
      </c>
      <c r="P95">
        <f>SUMIFS(Annualized_Investments!P$2:P$9989,Annualized_Investments!$B$2:$B$9989,$A95)</f>
        <v>20.801973355600001</v>
      </c>
      <c r="Q95">
        <f>SUMIFS(Annualized_Investments!Q$2:Q$9989,Annualized_Investments!$B$2:$B$9989,$A95)</f>
        <v>20.801973355600001</v>
      </c>
      <c r="R95">
        <f>SUMIFS(Annualized_Investments!R$2:R$9989,Annualized_Investments!$B$2:$B$9989,$A95)</f>
        <v>20.801973355600001</v>
      </c>
      <c r="S95">
        <f>SUMIFS(Annualized_Investments!S$2:S$9989,Annualized_Investments!$B$2:$B$9989,$A95)</f>
        <v>20.801973355600001</v>
      </c>
      <c r="T95">
        <f>SUMIFS(Annualized_Investments!T$2:T$9989,Annualized_Investments!$B$2:$B$9989,$A95)</f>
        <v>20.801973355600001</v>
      </c>
      <c r="U95">
        <f>SUMIFS(Annualized_Investments!U$2:U$9989,Annualized_Investments!$B$2:$B$9989,$A95)</f>
        <v>20.801973355600001</v>
      </c>
      <c r="V95">
        <f>SUMIFS(Annualized_Investments!V$2:V$9989,Annualized_Investments!$B$2:$B$9989,$A95)</f>
        <v>20.801973355600001</v>
      </c>
      <c r="W95">
        <f>SUMIFS(Annualized_Investments!W$2:W$9989,Annualized_Investments!$B$2:$B$9989,$A95)</f>
        <v>20.801973355600001</v>
      </c>
      <c r="X95">
        <f>SUMIFS(Annualized_Investments!X$2:X$9989,Annualized_Investments!$B$2:$B$9989,$A95)</f>
        <v>20.801973355600001</v>
      </c>
      <c r="Y95">
        <f>SUMIFS(Annualized_Investments!Y$2:Y$9989,Annualized_Investments!$B$2:$B$9989,$A95)</f>
        <v>20.801973355600001</v>
      </c>
      <c r="Z95">
        <f>SUMIFS(Annualized_Investments!Z$2:Z$9989,Annualized_Investments!$B$2:$B$9989,$A95)</f>
        <v>20.801973355600001</v>
      </c>
      <c r="AA95">
        <f>SUMIFS(Annualized_Investments!AA$2:AA$9989,Annualized_Investments!$B$2:$B$9989,$A95)</f>
        <v>20.801973355600001</v>
      </c>
      <c r="AB95">
        <f>SUMIFS(Annualized_Investments!AB$2:AB$9989,Annualized_Investments!$B$2:$B$9989,$A95)</f>
        <v>20.801973355600001</v>
      </c>
      <c r="AC95">
        <f>SUMIFS(Annualized_Investments!AC$2:AC$9989,Annualized_Investments!$B$2:$B$9989,$A95)</f>
        <v>20.801973355600001</v>
      </c>
      <c r="AD95">
        <f>SUMIFS(Annualized_Investments!AD$2:AD$9989,Annualized_Investments!$B$2:$B$9989,$A95)</f>
        <v>20.801973355600001</v>
      </c>
      <c r="AE95">
        <f>SUMIFS(Annualized_Investments!AE$2:AE$9989,Annualized_Investments!$B$2:$B$9989,$A95)</f>
        <v>20.801973355600001</v>
      </c>
      <c r="AF95">
        <f>SUMIFS(Annualized_Investments!AF$2:AF$9989,Annualized_Investments!$B$2:$B$9989,$A95)</f>
        <v>20.801973355600001</v>
      </c>
      <c r="AG95">
        <f>SUMIFS(Annualized_Investments!AG$2:AG$9989,Annualized_Investments!$B$2:$B$9989,$A95)</f>
        <v>20.801973355600001</v>
      </c>
    </row>
    <row r="96" spans="1:33">
      <c r="A96" t="s">
        <v>134</v>
      </c>
      <c r="C96">
        <f>SUMIFS(Annualized_Investments!C$2:C$9989,Annualized_Investments!$B$2:$B$9989,$A96)</f>
        <v>0</v>
      </c>
      <c r="D96">
        <f>SUMIFS(Annualized_Investments!D$2:D$9989,Annualized_Investments!$B$2:$B$9989,$A96)</f>
        <v>0</v>
      </c>
      <c r="E96">
        <f>SUMIFS(Annualized_Investments!E$2:E$9989,Annualized_Investments!$B$2:$B$9989,$A96)</f>
        <v>0</v>
      </c>
      <c r="F96">
        <f>SUMIFS(Annualized_Investments!F$2:F$9989,Annualized_Investments!$B$2:$B$9989,$A96)</f>
        <v>0</v>
      </c>
      <c r="G96">
        <f>SUMIFS(Annualized_Investments!G$2:G$9989,Annualized_Investments!$B$2:$B$9989,$A96)</f>
        <v>0</v>
      </c>
      <c r="H96">
        <f>SUMIFS(Annualized_Investments!H$2:H$9989,Annualized_Investments!$B$2:$B$9989,$A96)</f>
        <v>0</v>
      </c>
      <c r="I96">
        <f>SUMIFS(Annualized_Investments!I$2:I$9989,Annualized_Investments!$B$2:$B$9989,$A96)</f>
        <v>0</v>
      </c>
      <c r="J96">
        <f>SUMIFS(Annualized_Investments!J$2:J$9989,Annualized_Investments!$B$2:$B$9989,$A96)</f>
        <v>0</v>
      </c>
      <c r="K96">
        <f>SUMIFS(Annualized_Investments!K$2:K$9989,Annualized_Investments!$B$2:$B$9989,$A96)</f>
        <v>0</v>
      </c>
      <c r="L96">
        <f>SUMIFS(Annualized_Investments!L$2:L$9989,Annualized_Investments!$B$2:$B$9989,$A96)</f>
        <v>0</v>
      </c>
      <c r="M96">
        <f>SUMIFS(Annualized_Investments!M$2:M$9989,Annualized_Investments!$B$2:$B$9989,$A96)</f>
        <v>0</v>
      </c>
      <c r="N96">
        <f>SUMIFS(Annualized_Investments!N$2:N$9989,Annualized_Investments!$B$2:$B$9989,$A96)</f>
        <v>0</v>
      </c>
      <c r="O96">
        <f>SUMIFS(Annualized_Investments!O$2:O$9989,Annualized_Investments!$B$2:$B$9989,$A96)</f>
        <v>0</v>
      </c>
      <c r="P96">
        <f>SUMIFS(Annualized_Investments!P$2:P$9989,Annualized_Investments!$B$2:$B$9989,$A96)</f>
        <v>0</v>
      </c>
      <c r="Q96">
        <f>SUMIFS(Annualized_Investments!Q$2:Q$9989,Annualized_Investments!$B$2:$B$9989,$A96)</f>
        <v>0</v>
      </c>
      <c r="R96">
        <f>SUMIFS(Annualized_Investments!R$2:R$9989,Annualized_Investments!$B$2:$B$9989,$A96)</f>
        <v>0</v>
      </c>
      <c r="S96">
        <f>SUMIFS(Annualized_Investments!S$2:S$9989,Annualized_Investments!$B$2:$B$9989,$A96)</f>
        <v>0</v>
      </c>
      <c r="T96">
        <f>SUMIFS(Annualized_Investments!T$2:T$9989,Annualized_Investments!$B$2:$B$9989,$A96)</f>
        <v>0</v>
      </c>
      <c r="U96">
        <f>SUMIFS(Annualized_Investments!U$2:U$9989,Annualized_Investments!$B$2:$B$9989,$A96)</f>
        <v>0</v>
      </c>
      <c r="V96">
        <f>SUMIFS(Annualized_Investments!V$2:V$9989,Annualized_Investments!$B$2:$B$9989,$A96)</f>
        <v>0</v>
      </c>
      <c r="W96">
        <f>SUMIFS(Annualized_Investments!W$2:W$9989,Annualized_Investments!$B$2:$B$9989,$A96)</f>
        <v>0</v>
      </c>
      <c r="X96">
        <f>SUMIFS(Annualized_Investments!X$2:X$9989,Annualized_Investments!$B$2:$B$9989,$A96)</f>
        <v>0</v>
      </c>
      <c r="Y96">
        <f>SUMIFS(Annualized_Investments!Y$2:Y$9989,Annualized_Investments!$B$2:$B$9989,$A96)</f>
        <v>0</v>
      </c>
      <c r="Z96">
        <f>SUMIFS(Annualized_Investments!Z$2:Z$9989,Annualized_Investments!$B$2:$B$9989,$A96)</f>
        <v>0</v>
      </c>
      <c r="AA96">
        <f>SUMIFS(Annualized_Investments!AA$2:AA$9989,Annualized_Investments!$B$2:$B$9989,$A96)</f>
        <v>0</v>
      </c>
      <c r="AB96">
        <f>SUMIFS(Annualized_Investments!AB$2:AB$9989,Annualized_Investments!$B$2:$B$9989,$A96)</f>
        <v>0</v>
      </c>
      <c r="AC96">
        <f>SUMIFS(Annualized_Investments!AC$2:AC$9989,Annualized_Investments!$B$2:$B$9989,$A96)</f>
        <v>0</v>
      </c>
      <c r="AD96">
        <f>SUMIFS(Annualized_Investments!AD$2:AD$9989,Annualized_Investments!$B$2:$B$9989,$A96)</f>
        <v>0</v>
      </c>
      <c r="AE96">
        <f>SUMIFS(Annualized_Investments!AE$2:AE$9989,Annualized_Investments!$B$2:$B$9989,$A96)</f>
        <v>0</v>
      </c>
      <c r="AF96">
        <f>SUMIFS(Annualized_Investments!AF$2:AF$9989,Annualized_Investments!$B$2:$B$9989,$A96)</f>
        <v>0</v>
      </c>
      <c r="AG96">
        <f>SUMIFS(Annualized_Investments!AG$2:AG$9989,Annualized_Investments!$B$2:$B$9989,$A96)</f>
        <v>0</v>
      </c>
    </row>
    <row r="97" spans="1:58">
      <c r="A97" s="43" t="s">
        <v>154</v>
      </c>
      <c r="C97">
        <f>SUMIFS(Annualized_Investments!C$2:C$9989,Annualized_Investments!$B$2:$B$9989,$A97)</f>
        <v>0</v>
      </c>
      <c r="D97">
        <f>SUMIFS(Annualized_Investments!D$2:D$9989,Annualized_Investments!$B$2:$B$9989,$A97)</f>
        <v>0</v>
      </c>
      <c r="E97">
        <f>SUMIFS(Annualized_Investments!E$2:E$9989,Annualized_Investments!$B$2:$B$9989,$A97)</f>
        <v>0</v>
      </c>
      <c r="F97">
        <f>SUMIFS(Annualized_Investments!F$2:F$9989,Annualized_Investments!$B$2:$B$9989,$A97)</f>
        <v>0</v>
      </c>
      <c r="G97">
        <f>SUMIFS(Annualized_Investments!G$2:G$9989,Annualized_Investments!$B$2:$B$9989,$A97)</f>
        <v>0</v>
      </c>
      <c r="H97">
        <f>SUMIFS(Annualized_Investments!H$2:H$9989,Annualized_Investments!$B$2:$B$9989,$A97)</f>
        <v>23.981630407600001</v>
      </c>
      <c r="I97">
        <f>SUMIFS(Annualized_Investments!I$2:I$9989,Annualized_Investments!$B$2:$B$9989,$A97)</f>
        <v>92.675423259300004</v>
      </c>
      <c r="J97">
        <f>SUMIFS(Annualized_Investments!J$2:J$9989,Annualized_Investments!$B$2:$B$9989,$A97)</f>
        <v>161.3692161111</v>
      </c>
      <c r="K97">
        <f>SUMIFS(Annualized_Investments!K$2:K$9989,Annualized_Investments!$B$2:$B$9989,$A97)</f>
        <v>230.0630089629</v>
      </c>
      <c r="L97">
        <f>SUMIFS(Annualized_Investments!L$2:L$9989,Annualized_Investments!$B$2:$B$9989,$A97)</f>
        <v>298.7568018147</v>
      </c>
      <c r="M97">
        <f>SUMIFS(Annualized_Investments!M$2:M$9989,Annualized_Investments!$B$2:$B$9989,$A97)</f>
        <v>367.45059466650002</v>
      </c>
      <c r="N97">
        <f>SUMIFS(Annualized_Investments!N$2:N$9989,Annualized_Investments!$B$2:$B$9989,$A97)</f>
        <v>449.53950606439997</v>
      </c>
      <c r="O97">
        <f>SUMIFS(Annualized_Investments!O$2:O$9989,Annualized_Investments!$B$2:$B$9989,$A97)</f>
        <v>531.62841746239997</v>
      </c>
      <c r="P97">
        <f>SUMIFS(Annualized_Investments!P$2:P$9989,Annualized_Investments!$B$2:$B$9989,$A97)</f>
        <v>613.71732886029997</v>
      </c>
      <c r="Q97">
        <f>SUMIFS(Annualized_Investments!Q$2:Q$9989,Annualized_Investments!$B$2:$B$9989,$A97)</f>
        <v>695.80624025830002</v>
      </c>
      <c r="R97">
        <f>SUMIFS(Annualized_Investments!R$2:R$9989,Annualized_Investments!$B$2:$B$9989,$A97)</f>
        <v>777.89515165629996</v>
      </c>
      <c r="S97">
        <f>SUMIFS(Annualized_Investments!S$2:S$9989,Annualized_Investments!$B$2:$B$9989,$A97)</f>
        <v>877.58254482509994</v>
      </c>
      <c r="T97">
        <f>SUMIFS(Annualized_Investments!T$2:T$9989,Annualized_Investments!$B$2:$B$9989,$A97)</f>
        <v>977.26993799399997</v>
      </c>
      <c r="U97">
        <f>SUMIFS(Annualized_Investments!U$2:U$9989,Annualized_Investments!$B$2:$B$9989,$A97)</f>
        <v>1076.9573311628999</v>
      </c>
      <c r="V97">
        <f>SUMIFS(Annualized_Investments!V$2:V$9989,Annualized_Investments!$B$2:$B$9989,$A97)</f>
        <v>1176.6447243317</v>
      </c>
      <c r="W97">
        <f>SUMIFS(Annualized_Investments!W$2:W$9989,Annualized_Investments!$B$2:$B$9989,$A97)</f>
        <v>1276.3321175005999</v>
      </c>
      <c r="X97">
        <f>SUMIFS(Annualized_Investments!X$2:X$9989,Annualized_Investments!$B$2:$B$9989,$A97)</f>
        <v>1376.5677318887001</v>
      </c>
      <c r="Y97">
        <f>SUMIFS(Annualized_Investments!Y$2:Y$9989,Annualized_Investments!$B$2:$B$9989,$A97)</f>
        <v>1484.8452805352999</v>
      </c>
      <c r="Z97">
        <f>SUMIFS(Annualized_Investments!Z$2:Z$9989,Annualized_Investments!$B$2:$B$9989,$A97)</f>
        <v>1593.3638989863</v>
      </c>
      <c r="AA97">
        <f>SUMIFS(Annualized_Investments!AA$2:AA$9989,Annualized_Investments!$B$2:$B$9989,$A97)</f>
        <v>1702.1088862093</v>
      </c>
      <c r="AB97">
        <f>SUMIFS(Annualized_Investments!AB$2:AB$9989,Annualized_Investments!$B$2:$B$9989,$A97)</f>
        <v>1811.0660732888</v>
      </c>
      <c r="AC97">
        <f>SUMIFS(Annualized_Investments!AC$2:AC$9989,Annualized_Investments!$B$2:$B$9989,$A97)</f>
        <v>1923.9257375934001</v>
      </c>
      <c r="AD97">
        <f>SUMIFS(Annualized_Investments!AD$2:AD$9989,Annualized_Investments!$B$2:$B$9989,$A97)</f>
        <v>2036.9536864629999</v>
      </c>
      <c r="AE97">
        <f>SUMIFS(Annualized_Investments!AE$2:AE$9989,Annualized_Investments!$B$2:$B$9989,$A97)</f>
        <v>2150.1401383379002</v>
      </c>
      <c r="AF97">
        <f>SUMIFS(Annualized_Investments!AF$2:AF$9989,Annualized_Investments!$B$2:$B$9989,$A97)</f>
        <v>2263.4755724995998</v>
      </c>
      <c r="AG97">
        <f>SUMIFS(Annualized_Investments!AG$2:AG$9989,Annualized_Investments!$B$2:$B$9989,$A97)</f>
        <v>2425.2208700259998</v>
      </c>
    </row>
    <row r="98" spans="1:58">
      <c r="A98" s="35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spans="1:58" ht="15" thickBot="1">
      <c r="B99" s="36"/>
      <c r="W99"/>
    </row>
    <row r="100" spans="1:58" ht="15" thickBot="1">
      <c r="A100" s="3" t="s">
        <v>15</v>
      </c>
      <c r="C100" s="22">
        <v>2020</v>
      </c>
      <c r="D100" s="22">
        <v>2021</v>
      </c>
      <c r="E100" s="22">
        <v>2022</v>
      </c>
      <c r="F100" s="22">
        <v>2023</v>
      </c>
      <c r="G100" s="22">
        <v>2024</v>
      </c>
      <c r="H100" s="22">
        <v>2025</v>
      </c>
      <c r="I100" s="22">
        <v>2026</v>
      </c>
      <c r="J100" s="22">
        <v>2027</v>
      </c>
      <c r="K100" s="22">
        <v>2028</v>
      </c>
      <c r="L100" s="22">
        <v>2029</v>
      </c>
      <c r="M100" s="22">
        <v>2030</v>
      </c>
      <c r="N100" s="22">
        <v>2031</v>
      </c>
      <c r="O100" s="22">
        <v>2032</v>
      </c>
      <c r="P100" s="22">
        <v>2033</v>
      </c>
      <c r="Q100" s="22">
        <v>2034</v>
      </c>
      <c r="R100" s="22">
        <v>2035</v>
      </c>
      <c r="S100" s="22">
        <v>2036</v>
      </c>
      <c r="T100" s="22">
        <v>2037</v>
      </c>
      <c r="U100" s="22">
        <v>2038</v>
      </c>
      <c r="V100" s="22">
        <v>2039</v>
      </c>
      <c r="W100" s="22">
        <v>2040</v>
      </c>
      <c r="X100" s="22">
        <v>2041</v>
      </c>
      <c r="Y100" s="22">
        <v>2042</v>
      </c>
      <c r="Z100" s="22">
        <v>2043</v>
      </c>
      <c r="AA100" s="22">
        <v>2044</v>
      </c>
      <c r="AB100" s="22">
        <v>2045</v>
      </c>
      <c r="AC100" s="22">
        <v>2046</v>
      </c>
      <c r="AD100" s="22">
        <v>2047</v>
      </c>
      <c r="AE100" s="22">
        <v>2048</v>
      </c>
      <c r="AF100" s="22">
        <v>2049</v>
      </c>
      <c r="AG100" s="22">
        <v>2050</v>
      </c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 spans="1:58">
      <c r="A101" t="s">
        <v>132</v>
      </c>
      <c r="C101">
        <f>SUMIFS(AnnualProduction!D$2:D$9923,AnnualProduction!$B$2:$B$9923,$A101)</f>
        <v>4.5000999999999998</v>
      </c>
      <c r="D101">
        <f>SUMIFS(AnnualProduction!E$2:E$9923,AnnualProduction!$B$2:$B$9923,$A101)</f>
        <v>5.2020999999999997</v>
      </c>
      <c r="E101">
        <f>SUMIFS(AnnualProduction!F$2:F$9923,AnnualProduction!$B$2:$B$9923,$A101)</f>
        <v>4.7591999999999999</v>
      </c>
      <c r="F101">
        <f>SUMIFS(AnnualProduction!G$2:G$9923,AnnualProduction!$B$2:$B$9923,$A101)</f>
        <v>5.0720000000000001</v>
      </c>
      <c r="G101">
        <f>SUMIFS(AnnualProduction!H$2:H$9923,AnnualProduction!$B$2:$B$9923,$A101)</f>
        <v>5.2058999999999997</v>
      </c>
      <c r="H101">
        <f>SUMIFS(AnnualProduction!I$2:I$9923,AnnualProduction!$B$2:$B$9923,$A101)</f>
        <v>0</v>
      </c>
      <c r="I101">
        <f>SUMIFS(AnnualProduction!J$2:J$9923,AnnualProduction!$B$2:$B$9923,$A101)</f>
        <v>0</v>
      </c>
      <c r="J101">
        <f>SUMIFS(AnnualProduction!K$2:K$9923,AnnualProduction!$B$2:$B$9923,$A101)</f>
        <v>0</v>
      </c>
      <c r="K101">
        <f>SUMIFS(AnnualProduction!L$2:L$9923,AnnualProduction!$B$2:$B$9923,$A101)</f>
        <v>0</v>
      </c>
      <c r="L101">
        <f>SUMIFS(AnnualProduction!M$2:M$9923,AnnualProduction!$B$2:$B$9923,$A101)</f>
        <v>0</v>
      </c>
      <c r="M101">
        <f>SUMIFS(AnnualProduction!N$2:N$9923,AnnualProduction!$B$2:$B$9923,$A101)</f>
        <v>0</v>
      </c>
      <c r="N101">
        <f>SUMIFS(AnnualProduction!O$2:O$9923,AnnualProduction!$B$2:$B$9923,$A101)</f>
        <v>0</v>
      </c>
      <c r="O101">
        <f>SUMIFS(AnnualProduction!P$2:P$9923,AnnualProduction!$B$2:$B$9923,$A101)</f>
        <v>0</v>
      </c>
      <c r="P101">
        <f>SUMIFS(AnnualProduction!Q$2:Q$9923,AnnualProduction!$B$2:$B$9923,$A101)</f>
        <v>0</v>
      </c>
      <c r="Q101">
        <f>SUMIFS(AnnualProduction!R$2:R$9923,AnnualProduction!$B$2:$B$9923,$A101)</f>
        <v>0</v>
      </c>
      <c r="R101">
        <f>SUMIFS(AnnualProduction!S$2:S$9923,AnnualProduction!$B$2:$B$9923,$A101)</f>
        <v>0</v>
      </c>
      <c r="S101">
        <f>SUMIFS(AnnualProduction!T$2:T$9923,AnnualProduction!$B$2:$B$9923,$A101)</f>
        <v>0</v>
      </c>
      <c r="T101">
        <f>SUMIFS(AnnualProduction!U$2:U$9923,AnnualProduction!$B$2:$B$9923,$A101)</f>
        <v>0</v>
      </c>
      <c r="U101">
        <f>SUMIFS(AnnualProduction!V$2:V$9923,AnnualProduction!$B$2:$B$9923,$A101)</f>
        <v>0</v>
      </c>
      <c r="V101">
        <f>SUMIFS(AnnualProduction!W$2:W$9923,AnnualProduction!$B$2:$B$9923,$A101)</f>
        <v>0</v>
      </c>
      <c r="W101">
        <f>SUMIFS(AnnualProduction!X$2:X$9923,AnnualProduction!$B$2:$B$9923,$A101)</f>
        <v>0.96199999999999997</v>
      </c>
      <c r="X101">
        <f>SUMIFS(AnnualProduction!Y$2:Y$9923,AnnualProduction!$B$2:$B$9923,$A101)</f>
        <v>1.0598000000000001</v>
      </c>
      <c r="Y101">
        <f>SUMIFS(AnnualProduction!Z$2:Z$9923,AnnualProduction!$B$2:$B$9923,$A101)</f>
        <v>1.1684000000000001</v>
      </c>
      <c r="Z101">
        <f>SUMIFS(AnnualProduction!AA$2:AA$9923,AnnualProduction!$B$2:$B$9923,$A101)</f>
        <v>1.3109999999999999</v>
      </c>
      <c r="AA101">
        <f>SUMIFS(AnnualProduction!AB$2:AB$9923,AnnualProduction!$B$2:$B$9923,$A101)</f>
        <v>1.3109999999999999</v>
      </c>
      <c r="AB101">
        <f>SUMIFS(AnnualProduction!AC$2:AC$9923,AnnualProduction!$B$2:$B$9923,$A101)</f>
        <v>1.3109999999999999</v>
      </c>
      <c r="AC101">
        <f>SUMIFS(AnnualProduction!AD$2:AD$9923,AnnualProduction!$B$2:$B$9923,$A101)</f>
        <v>1.3109999999999999</v>
      </c>
      <c r="AD101">
        <f>SUMIFS(AnnualProduction!AE$2:AE$9923,AnnualProduction!$B$2:$B$9923,$A101)</f>
        <v>1.3109999999999999</v>
      </c>
      <c r="AE101">
        <f>SUMIFS(AnnualProduction!AF$2:AF$9923,AnnualProduction!$B$2:$B$9923,$A101)</f>
        <v>1.3109999999999999</v>
      </c>
      <c r="AF101">
        <f>SUMIFS(AnnualProduction!AG$2:AG$9923,AnnualProduction!$B$2:$B$9923,$A101)</f>
        <v>1.2305999999999999</v>
      </c>
      <c r="AG101">
        <f>SUMIFS(AnnualProduction!AH$2:AH$9923,AnnualProduction!$B$2:$B$9923,$A101)</f>
        <v>1.1186</v>
      </c>
    </row>
    <row r="102" spans="1:58">
      <c r="A102" t="s">
        <v>133</v>
      </c>
      <c r="C102">
        <f>SUMIFS(AnnualProduction!D$2:D$9923,AnnualProduction!$B$2:$B$9923,$A102)</f>
        <v>209.44809999999998</v>
      </c>
      <c r="D102">
        <f>SUMIFS(AnnualProduction!E$2:E$9923,AnnualProduction!$B$2:$B$9923,$A102)</f>
        <v>223.38680000000002</v>
      </c>
      <c r="E102">
        <f>SUMIFS(AnnualProduction!F$2:F$9923,AnnualProduction!$B$2:$B$9923,$A102)</f>
        <v>239.14760000000004</v>
      </c>
      <c r="F102">
        <f>SUMIFS(AnnualProduction!G$2:G$9923,AnnualProduction!$B$2:$B$9923,$A102)</f>
        <v>265.51369999999997</v>
      </c>
      <c r="G102">
        <f>SUMIFS(AnnualProduction!H$2:H$9923,AnnualProduction!$B$2:$B$9923,$A102)</f>
        <v>285.69210000000004</v>
      </c>
      <c r="H102">
        <f>SUMIFS(AnnualProduction!I$2:I$9923,AnnualProduction!$B$2:$B$9923,$A102)</f>
        <v>262.5129</v>
      </c>
      <c r="I102">
        <f>SUMIFS(AnnualProduction!J$2:J$9923,AnnualProduction!$B$2:$B$9923,$A102)</f>
        <v>258.44769999999994</v>
      </c>
      <c r="J102">
        <f>SUMIFS(AnnualProduction!K$2:K$9923,AnnualProduction!$B$2:$B$9923,$A102)</f>
        <v>254.24700000000004</v>
      </c>
      <c r="K102">
        <f>SUMIFS(AnnualProduction!L$2:L$9923,AnnualProduction!$B$2:$B$9923,$A102)</f>
        <v>249.57549999999998</v>
      </c>
      <c r="L102">
        <f>SUMIFS(AnnualProduction!M$2:M$9923,AnnualProduction!$B$2:$B$9923,$A102)</f>
        <v>260.02420000000001</v>
      </c>
      <c r="M102">
        <f>SUMIFS(AnnualProduction!N$2:N$9923,AnnualProduction!$B$2:$B$9923,$A102)</f>
        <v>222.86199999999999</v>
      </c>
      <c r="N102">
        <f>SUMIFS(AnnualProduction!O$2:O$9923,AnnualProduction!$B$2:$B$9923,$A102)</f>
        <v>220.99490000000003</v>
      </c>
      <c r="O102">
        <f>SUMIFS(AnnualProduction!P$2:P$9923,AnnualProduction!$B$2:$B$9923,$A102)</f>
        <v>177.46600000000001</v>
      </c>
      <c r="P102">
        <f>SUMIFS(AnnualProduction!Q$2:Q$9923,AnnualProduction!$B$2:$B$9923,$A102)</f>
        <v>172.67580000000004</v>
      </c>
      <c r="Q102">
        <f>SUMIFS(AnnualProduction!R$2:R$9923,AnnualProduction!$B$2:$B$9923,$A102)</f>
        <v>167.85790000000003</v>
      </c>
      <c r="R102">
        <f>SUMIFS(AnnualProduction!S$2:S$9923,AnnualProduction!$B$2:$B$9923,$A102)</f>
        <v>155.01689999999996</v>
      </c>
      <c r="S102">
        <f>SUMIFS(AnnualProduction!T$2:T$9923,AnnualProduction!$B$2:$B$9923,$A102)</f>
        <v>132.17849999999999</v>
      </c>
      <c r="T102">
        <f>SUMIFS(AnnualProduction!U$2:U$9923,AnnualProduction!$B$2:$B$9923,$A102)</f>
        <v>127.10899999999998</v>
      </c>
      <c r="U102">
        <f>SUMIFS(AnnualProduction!V$2:V$9923,AnnualProduction!$B$2:$B$9923,$A102)</f>
        <v>107.46860000000001</v>
      </c>
      <c r="V102">
        <f>SUMIFS(AnnualProduction!W$2:W$9923,AnnualProduction!$B$2:$B$9923,$A102)</f>
        <v>86.261999999999986</v>
      </c>
      <c r="W102">
        <f>SUMIFS(AnnualProduction!X$2:X$9923,AnnualProduction!$B$2:$B$9923,$A102)</f>
        <v>89.17919999999998</v>
      </c>
      <c r="X102">
        <f>SUMIFS(AnnualProduction!Y$2:Y$9923,AnnualProduction!$B$2:$B$9923,$A102)</f>
        <v>93.964099999999974</v>
      </c>
      <c r="Y102">
        <f>SUMIFS(AnnualProduction!Z$2:Z$9923,AnnualProduction!$B$2:$B$9923,$A102)</f>
        <v>92.593899999999991</v>
      </c>
      <c r="Z102">
        <f>SUMIFS(AnnualProduction!AA$2:AA$9923,AnnualProduction!$B$2:$B$9923,$A102)</f>
        <v>91.220100000000002</v>
      </c>
      <c r="AA102">
        <f>SUMIFS(AnnualProduction!AB$2:AB$9923,AnnualProduction!$B$2:$B$9923,$A102)</f>
        <v>89.843000000000004</v>
      </c>
      <c r="AB102">
        <f>SUMIFS(AnnualProduction!AC$2:AC$9923,AnnualProduction!$B$2:$B$9923,$A102)</f>
        <v>88.380600000000001</v>
      </c>
      <c r="AC102">
        <f>SUMIFS(AnnualProduction!AD$2:AD$9923,AnnualProduction!$B$2:$B$9923,$A102)</f>
        <v>81.807899999999989</v>
      </c>
      <c r="AD102">
        <f>SUMIFS(AnnualProduction!AE$2:AE$9923,AnnualProduction!$B$2:$B$9923,$A102)</f>
        <v>80.411400000000015</v>
      </c>
      <c r="AE102">
        <f>SUMIFS(AnnualProduction!AF$2:AF$9923,AnnualProduction!$B$2:$B$9923,$A102)</f>
        <v>79.811699999999988</v>
      </c>
      <c r="AF102">
        <f>SUMIFS(AnnualProduction!AG$2:AG$9923,AnnualProduction!$B$2:$B$9923,$A102)</f>
        <v>90.607399999999998</v>
      </c>
      <c r="AG102">
        <f>SUMIFS(AnnualProduction!AH$2:AH$9923,AnnualProduction!$B$2:$B$9923,$A102)</f>
        <v>100.44139999999999</v>
      </c>
    </row>
    <row r="103" spans="1:58">
      <c r="A103" t="s">
        <v>138</v>
      </c>
      <c r="C103">
        <f>SUMIFS(AnnualProduction!D$2:D$9923,AnnualProduction!$B$2:$B$9923,$A103)</f>
        <v>38.808399999999999</v>
      </c>
      <c r="D103">
        <f>SUMIFS(AnnualProduction!E$2:E$9923,AnnualProduction!$B$2:$B$9923,$A103)</f>
        <v>36.058199999999999</v>
      </c>
      <c r="E103">
        <f>SUMIFS(AnnualProduction!F$2:F$9923,AnnualProduction!$B$2:$B$9923,$A103)</f>
        <v>37.530299999999997</v>
      </c>
      <c r="F103">
        <f>SUMIFS(AnnualProduction!G$2:G$9923,AnnualProduction!$B$2:$B$9923,$A103)</f>
        <v>38.628000000000007</v>
      </c>
      <c r="G103">
        <f>SUMIFS(AnnualProduction!H$2:H$9923,AnnualProduction!$B$2:$B$9923,$A103)</f>
        <v>38.839799999999997</v>
      </c>
      <c r="H103">
        <f>SUMIFS(AnnualProduction!I$2:I$9923,AnnualProduction!$B$2:$B$9923,$A103)</f>
        <v>39.966599999999993</v>
      </c>
      <c r="I103">
        <f>SUMIFS(AnnualProduction!J$2:J$9923,AnnualProduction!$B$2:$B$9923,$A103)</f>
        <v>66.260999999999996</v>
      </c>
      <c r="J103">
        <f>SUMIFS(AnnualProduction!K$2:K$9923,AnnualProduction!$B$2:$B$9923,$A103)</f>
        <v>92.745000000000005</v>
      </c>
      <c r="K103">
        <f>SUMIFS(AnnualProduction!L$2:L$9923,AnnualProduction!$B$2:$B$9923,$A103)</f>
        <v>119.88179999999998</v>
      </c>
      <c r="L103">
        <f>SUMIFS(AnnualProduction!M$2:M$9923,AnnualProduction!$B$2:$B$9923,$A103)</f>
        <v>126.00000000000001</v>
      </c>
      <c r="M103">
        <f>SUMIFS(AnnualProduction!N$2:N$9923,AnnualProduction!$B$2:$B$9923,$A103)</f>
        <v>126.00000000000001</v>
      </c>
      <c r="N103">
        <f>SUMIFS(AnnualProduction!O$2:O$9923,AnnualProduction!$B$2:$B$9923,$A103)</f>
        <v>126.00000000000001</v>
      </c>
      <c r="O103">
        <f>SUMIFS(AnnualProduction!P$2:P$9923,AnnualProduction!$B$2:$B$9923,$A103)</f>
        <v>126.00000000000001</v>
      </c>
      <c r="P103">
        <f>SUMIFS(AnnualProduction!Q$2:Q$9923,AnnualProduction!$B$2:$B$9923,$A103)</f>
        <v>126.00000000000001</v>
      </c>
      <c r="Q103">
        <f>SUMIFS(AnnualProduction!R$2:R$9923,AnnualProduction!$B$2:$B$9923,$A103)</f>
        <v>126.00000000000001</v>
      </c>
      <c r="R103">
        <f>SUMIFS(AnnualProduction!S$2:S$9923,AnnualProduction!$B$2:$B$9923,$A103)</f>
        <v>126.00000000000001</v>
      </c>
      <c r="S103">
        <f>SUMIFS(AnnualProduction!T$2:T$9923,AnnualProduction!$B$2:$B$9923,$A103)</f>
        <v>126.00000000000001</v>
      </c>
      <c r="T103">
        <f>SUMIFS(AnnualProduction!U$2:U$9923,AnnualProduction!$B$2:$B$9923,$A103)</f>
        <v>126.00000000000001</v>
      </c>
      <c r="U103">
        <f>SUMIFS(AnnualProduction!V$2:V$9923,AnnualProduction!$B$2:$B$9923,$A103)</f>
        <v>126.00000000000001</v>
      </c>
      <c r="V103">
        <f>SUMIFS(AnnualProduction!W$2:W$9923,AnnualProduction!$B$2:$B$9923,$A103)</f>
        <v>126.00000000000001</v>
      </c>
      <c r="W103">
        <f>SUMIFS(AnnualProduction!X$2:X$9923,AnnualProduction!$B$2:$B$9923,$A103)</f>
        <v>126.00000000000001</v>
      </c>
      <c r="X103">
        <f>SUMIFS(AnnualProduction!Y$2:Y$9923,AnnualProduction!$B$2:$B$9923,$A103)</f>
        <v>126.00000000000001</v>
      </c>
      <c r="Y103">
        <f>SUMIFS(AnnualProduction!Z$2:Z$9923,AnnualProduction!$B$2:$B$9923,$A103)</f>
        <v>126.00000000000001</v>
      </c>
      <c r="Z103">
        <f>SUMIFS(AnnualProduction!AA$2:AA$9923,AnnualProduction!$B$2:$B$9923,$A103)</f>
        <v>126.00000000000001</v>
      </c>
      <c r="AA103">
        <f>SUMIFS(AnnualProduction!AB$2:AB$9923,AnnualProduction!$B$2:$B$9923,$A103)</f>
        <v>126.00000000000001</v>
      </c>
      <c r="AB103">
        <f>SUMIFS(AnnualProduction!AC$2:AC$9923,AnnualProduction!$B$2:$B$9923,$A103)</f>
        <v>126.00000000000001</v>
      </c>
      <c r="AC103">
        <f>SUMIFS(AnnualProduction!AD$2:AD$9923,AnnualProduction!$B$2:$B$9923,$A103)</f>
        <v>126.00000000000001</v>
      </c>
      <c r="AD103">
        <f>SUMIFS(AnnualProduction!AE$2:AE$9923,AnnualProduction!$B$2:$B$9923,$A103)</f>
        <v>126.00000000000001</v>
      </c>
      <c r="AE103">
        <f>SUMIFS(AnnualProduction!AF$2:AF$9923,AnnualProduction!$B$2:$B$9923,$A103)</f>
        <v>126.00000000000001</v>
      </c>
      <c r="AF103">
        <f>SUMIFS(AnnualProduction!AG$2:AG$9923,AnnualProduction!$B$2:$B$9923,$A103)</f>
        <v>126.00000000000001</v>
      </c>
      <c r="AG103">
        <f>SUMIFS(AnnualProduction!AH$2:AH$9923,AnnualProduction!$B$2:$B$9923,$A103)</f>
        <v>126.0005</v>
      </c>
    </row>
    <row r="104" spans="1:58">
      <c r="A104" t="s">
        <v>141</v>
      </c>
      <c r="C104">
        <f>SUMIFS(AnnualProduction!D$2:D$9923,AnnualProduction!$B$2:$B$9923,$A104)</f>
        <v>0</v>
      </c>
      <c r="D104">
        <f>SUMIFS(AnnualProduction!E$2:E$9923,AnnualProduction!$B$2:$B$9923,$A104)</f>
        <v>0</v>
      </c>
      <c r="E104">
        <f>SUMIFS(AnnualProduction!F$2:F$9923,AnnualProduction!$B$2:$B$9923,$A104)</f>
        <v>0</v>
      </c>
      <c r="F104">
        <f>SUMIFS(AnnualProduction!G$2:G$9923,AnnualProduction!$B$2:$B$9923,$A104)</f>
        <v>0</v>
      </c>
      <c r="G104">
        <f>SUMIFS(AnnualProduction!H$2:H$9923,AnnualProduction!$B$2:$B$9923,$A104)</f>
        <v>0</v>
      </c>
      <c r="H104">
        <f>SUMIFS(AnnualProduction!I$2:I$9923,AnnualProduction!$B$2:$B$9923,$A104)</f>
        <v>0</v>
      </c>
      <c r="I104">
        <f>SUMIFS(AnnualProduction!J$2:J$9923,AnnualProduction!$B$2:$B$9923,$A104)</f>
        <v>0</v>
      </c>
      <c r="J104">
        <f>SUMIFS(AnnualProduction!K$2:K$9923,AnnualProduction!$B$2:$B$9923,$A104)</f>
        <v>0</v>
      </c>
      <c r="K104">
        <f>SUMIFS(AnnualProduction!L$2:L$9923,AnnualProduction!$B$2:$B$9923,$A104)</f>
        <v>0</v>
      </c>
      <c r="L104">
        <f>SUMIFS(AnnualProduction!M$2:M$9923,AnnualProduction!$B$2:$B$9923,$A104)</f>
        <v>0</v>
      </c>
      <c r="M104">
        <f>SUMIFS(AnnualProduction!N$2:N$9923,AnnualProduction!$B$2:$B$9923,$A104)</f>
        <v>0</v>
      </c>
      <c r="N104">
        <f>SUMIFS(AnnualProduction!O$2:O$9923,AnnualProduction!$B$2:$B$9923,$A104)</f>
        <v>0</v>
      </c>
      <c r="O104">
        <f>SUMIFS(AnnualProduction!P$2:P$9923,AnnualProduction!$B$2:$B$9923,$A104)</f>
        <v>0</v>
      </c>
      <c r="P104">
        <f>SUMIFS(AnnualProduction!Q$2:Q$9923,AnnualProduction!$B$2:$B$9923,$A104)</f>
        <v>0</v>
      </c>
      <c r="Q104">
        <f>SUMIFS(AnnualProduction!R$2:R$9923,AnnualProduction!$B$2:$B$9923,$A104)</f>
        <v>0</v>
      </c>
      <c r="R104">
        <f>SUMIFS(AnnualProduction!S$2:S$9923,AnnualProduction!$B$2:$B$9923,$A104)</f>
        <v>0</v>
      </c>
      <c r="S104">
        <f>SUMIFS(AnnualProduction!T$2:T$9923,AnnualProduction!$B$2:$B$9923,$A104)</f>
        <v>0</v>
      </c>
      <c r="T104">
        <f>SUMIFS(AnnualProduction!U$2:U$9923,AnnualProduction!$B$2:$B$9923,$A104)</f>
        <v>0</v>
      </c>
      <c r="U104">
        <f>SUMIFS(AnnualProduction!V$2:V$9923,AnnualProduction!$B$2:$B$9923,$A104)</f>
        <v>0</v>
      </c>
      <c r="V104">
        <f>SUMIFS(AnnualProduction!W$2:W$9923,AnnualProduction!$B$2:$B$9923,$A104)</f>
        <v>0</v>
      </c>
      <c r="W104">
        <f>SUMIFS(AnnualProduction!X$2:X$9923,AnnualProduction!$B$2:$B$9923,$A104)</f>
        <v>0</v>
      </c>
      <c r="X104">
        <f>SUMIFS(AnnualProduction!Y$2:Y$9923,AnnualProduction!$B$2:$B$9923,$A104)</f>
        <v>0</v>
      </c>
      <c r="Y104">
        <f>SUMIFS(AnnualProduction!Z$2:Z$9923,AnnualProduction!$B$2:$B$9923,$A104)</f>
        <v>0</v>
      </c>
      <c r="Z104">
        <f>SUMIFS(AnnualProduction!AA$2:AA$9923,AnnualProduction!$B$2:$B$9923,$A104)</f>
        <v>0</v>
      </c>
      <c r="AA104">
        <f>SUMIFS(AnnualProduction!AB$2:AB$9923,AnnualProduction!$B$2:$B$9923,$A104)</f>
        <v>0</v>
      </c>
      <c r="AB104">
        <f>SUMIFS(AnnualProduction!AC$2:AC$9923,AnnualProduction!$B$2:$B$9923,$A104)</f>
        <v>0</v>
      </c>
      <c r="AC104">
        <f>SUMIFS(AnnualProduction!AD$2:AD$9923,AnnualProduction!$B$2:$B$9923,$A104)</f>
        <v>0</v>
      </c>
      <c r="AD104">
        <f>SUMIFS(AnnualProduction!AE$2:AE$9923,AnnualProduction!$B$2:$B$9923,$A104)</f>
        <v>0</v>
      </c>
      <c r="AE104">
        <f>SUMIFS(AnnualProduction!AF$2:AF$9923,AnnualProduction!$B$2:$B$9923,$A104)</f>
        <v>0</v>
      </c>
      <c r="AF104">
        <f>SUMIFS(AnnualProduction!AG$2:AG$9923,AnnualProduction!$B$2:$B$9923,$A104)</f>
        <v>0</v>
      </c>
      <c r="AG104">
        <f>SUMIFS(AnnualProduction!AH$2:AH$9923,AnnualProduction!$B$2:$B$9923,$A104)</f>
        <v>0</v>
      </c>
    </row>
    <row r="105" spans="1:58">
      <c r="A105" t="s">
        <v>142</v>
      </c>
      <c r="C105">
        <f>SUMIFS(AnnualProduction!D$2:D$9923,AnnualProduction!$B$2:$B$9923,$A105)</f>
        <v>0</v>
      </c>
      <c r="D105">
        <f>SUMIFS(AnnualProduction!E$2:E$9923,AnnualProduction!$B$2:$B$9923,$A105)</f>
        <v>0</v>
      </c>
      <c r="E105">
        <f>SUMIFS(AnnualProduction!F$2:F$9923,AnnualProduction!$B$2:$B$9923,$A105)</f>
        <v>0</v>
      </c>
      <c r="F105">
        <f>SUMIFS(AnnualProduction!G$2:G$9923,AnnualProduction!$B$2:$B$9923,$A105)</f>
        <v>0</v>
      </c>
      <c r="G105">
        <f>SUMIFS(AnnualProduction!H$2:H$9923,AnnualProduction!$B$2:$B$9923,$A105)</f>
        <v>0</v>
      </c>
      <c r="H105">
        <f>SUMIFS(AnnualProduction!I$2:I$9923,AnnualProduction!$B$2:$B$9923,$A105)</f>
        <v>66.049200000000013</v>
      </c>
      <c r="I105">
        <f>SUMIFS(AnnualProduction!J$2:J$9923,AnnualProduction!$B$2:$B$9923,$A105)</f>
        <v>66.049200000000013</v>
      </c>
      <c r="J105">
        <f>SUMIFS(AnnualProduction!K$2:K$9923,AnnualProduction!$B$2:$B$9923,$A105)</f>
        <v>66.049200000000013</v>
      </c>
      <c r="K105">
        <f>SUMIFS(AnnualProduction!L$2:L$9923,AnnualProduction!$B$2:$B$9923,$A105)</f>
        <v>66.049200000000013</v>
      </c>
      <c r="L105">
        <f>SUMIFS(AnnualProduction!M$2:M$9923,AnnualProduction!$B$2:$B$9923,$A105)</f>
        <v>66.049200000000013</v>
      </c>
      <c r="M105">
        <f>SUMIFS(AnnualProduction!N$2:N$9923,AnnualProduction!$B$2:$B$9923,$A105)</f>
        <v>66.049200000000013</v>
      </c>
      <c r="N105">
        <f>SUMIFS(AnnualProduction!O$2:O$9923,AnnualProduction!$B$2:$B$9923,$A105)</f>
        <v>93.289799999999985</v>
      </c>
      <c r="O105">
        <f>SUMIFS(AnnualProduction!P$2:P$9923,AnnualProduction!$B$2:$B$9923,$A105)</f>
        <v>180.59740000000002</v>
      </c>
      <c r="P105">
        <f>SUMIFS(AnnualProduction!Q$2:Q$9923,AnnualProduction!$B$2:$B$9923,$A105)</f>
        <v>212.61700000000005</v>
      </c>
      <c r="Q105">
        <f>SUMIFS(AnnualProduction!R$2:R$9923,AnnualProduction!$B$2:$B$9923,$A105)</f>
        <v>244.55680000000004</v>
      </c>
      <c r="R105">
        <f>SUMIFS(AnnualProduction!S$2:S$9923,AnnualProduction!$B$2:$B$9923,$A105)</f>
        <v>273.98120000000006</v>
      </c>
      <c r="S105">
        <f>SUMIFS(AnnualProduction!T$2:T$9923,AnnualProduction!$B$2:$B$9923,$A105)</f>
        <v>329.97800000000001</v>
      </c>
      <c r="T105">
        <f>SUMIFS(AnnualProduction!U$2:U$9923,AnnualProduction!$B$2:$B$9923,$A105)</f>
        <v>368.20759999999996</v>
      </c>
      <c r="U105">
        <f>SUMIFS(AnnualProduction!V$2:V$9923,AnnualProduction!$B$2:$B$9923,$A105)</f>
        <v>420.79000000000008</v>
      </c>
      <c r="V105">
        <f>SUMIFS(AnnualProduction!W$2:W$9923,AnnualProduction!$B$2:$B$9923,$A105)</f>
        <v>471.90940000000006</v>
      </c>
      <c r="W105">
        <f>SUMIFS(AnnualProduction!X$2:X$9923,AnnualProduction!$B$2:$B$9923,$A105)</f>
        <v>389.13400000000007</v>
      </c>
      <c r="X105">
        <f>SUMIFS(AnnualProduction!Y$2:Y$9923,AnnualProduction!$B$2:$B$9923,$A105)</f>
        <v>404.00659999999999</v>
      </c>
      <c r="Y105">
        <f>SUMIFS(AnnualProduction!Z$2:Z$9923,AnnualProduction!$B$2:$B$9923,$A105)</f>
        <v>430.36960000000016</v>
      </c>
      <c r="Z105">
        <f>SUMIFS(AnnualProduction!AA$2:AA$9923,AnnualProduction!$B$2:$B$9923,$A105)</f>
        <v>456.78980000000001</v>
      </c>
      <c r="AA105">
        <f>SUMIFS(AnnualProduction!AB$2:AB$9923,AnnualProduction!$B$2:$B$9923,$A105)</f>
        <v>483.26520000000005</v>
      </c>
      <c r="AB105">
        <f>SUMIFS(AnnualProduction!AC$2:AC$9923,AnnualProduction!$B$2:$B$9923,$A105)</f>
        <v>510.62660000000005</v>
      </c>
      <c r="AC105">
        <f>SUMIFS(AnnualProduction!AD$2:AD$9923,AnnualProduction!$B$2:$B$9923,$A105)</f>
        <v>543.8587</v>
      </c>
      <c r="AD105">
        <f>SUMIFS(AnnualProduction!AE$2:AE$9923,AnnualProduction!$B$2:$B$9923,$A105)</f>
        <v>571.44910000000004</v>
      </c>
      <c r="AE105">
        <f>SUMIFS(AnnualProduction!AF$2:AF$9923,AnnualProduction!$B$2:$B$9923,$A105)</f>
        <v>590.01800000000014</v>
      </c>
      <c r="AF105">
        <f>SUMIFS(AnnualProduction!AG$2:AG$9923,AnnualProduction!$B$2:$B$9923,$A105)</f>
        <v>601.14820000000009</v>
      </c>
      <c r="AG105">
        <f>SUMIFS(AnnualProduction!AH$2:AH$9923,AnnualProduction!$B$2:$B$9923,$A105)</f>
        <v>576.25540000000001</v>
      </c>
    </row>
    <row r="106" spans="1:58">
      <c r="A106" t="s">
        <v>143</v>
      </c>
      <c r="C106">
        <f>SUMIFS(AnnualProduction!D$2:D$9923,AnnualProduction!$B$2:$B$9923,$A106)</f>
        <v>0</v>
      </c>
      <c r="D106">
        <f>SUMIFS(AnnualProduction!E$2:E$9923,AnnualProduction!$B$2:$B$9923,$A106)</f>
        <v>0</v>
      </c>
      <c r="E106">
        <f>SUMIFS(AnnualProduction!F$2:F$9923,AnnualProduction!$B$2:$B$9923,$A106)</f>
        <v>0</v>
      </c>
      <c r="F106">
        <f>SUMIFS(AnnualProduction!G$2:G$9923,AnnualProduction!$B$2:$B$9923,$A106)</f>
        <v>0</v>
      </c>
      <c r="G106">
        <f>SUMIFS(AnnualProduction!H$2:H$9923,AnnualProduction!$B$2:$B$9923,$A106)</f>
        <v>0</v>
      </c>
      <c r="H106">
        <f>SUMIFS(AnnualProduction!I$2:I$9923,AnnualProduction!$B$2:$B$9923,$A106)</f>
        <v>0</v>
      </c>
      <c r="I106">
        <f>SUMIFS(AnnualProduction!J$2:J$9923,AnnualProduction!$B$2:$B$9923,$A106)</f>
        <v>0</v>
      </c>
      <c r="J106">
        <f>SUMIFS(AnnualProduction!K$2:K$9923,AnnualProduction!$B$2:$B$9923,$A106)</f>
        <v>0</v>
      </c>
      <c r="K106">
        <f>SUMIFS(AnnualProduction!L$2:L$9923,AnnualProduction!$B$2:$B$9923,$A106)</f>
        <v>0</v>
      </c>
      <c r="L106">
        <f>SUMIFS(AnnualProduction!M$2:M$9923,AnnualProduction!$B$2:$B$9923,$A106)</f>
        <v>0</v>
      </c>
      <c r="M106">
        <f>SUMIFS(AnnualProduction!N$2:N$9923,AnnualProduction!$B$2:$B$9923,$A106)</f>
        <v>0</v>
      </c>
      <c r="N106">
        <f>SUMIFS(AnnualProduction!O$2:O$9923,AnnualProduction!$B$2:$B$9923,$A106)</f>
        <v>0</v>
      </c>
      <c r="O106">
        <f>SUMIFS(AnnualProduction!P$2:P$9923,AnnualProduction!$B$2:$B$9923,$A106)</f>
        <v>0</v>
      </c>
      <c r="P106">
        <f>SUMIFS(AnnualProduction!Q$2:Q$9923,AnnualProduction!$B$2:$B$9923,$A106)</f>
        <v>0</v>
      </c>
      <c r="Q106">
        <f>SUMIFS(AnnualProduction!R$2:R$9923,AnnualProduction!$B$2:$B$9923,$A106)</f>
        <v>0</v>
      </c>
      <c r="R106">
        <f>SUMIFS(AnnualProduction!S$2:S$9923,AnnualProduction!$B$2:$B$9923,$A106)</f>
        <v>0</v>
      </c>
      <c r="S106">
        <f>SUMIFS(AnnualProduction!T$2:T$9923,AnnualProduction!$B$2:$B$9923,$A106)</f>
        <v>0</v>
      </c>
      <c r="T106">
        <f>SUMIFS(AnnualProduction!U$2:U$9923,AnnualProduction!$B$2:$B$9923,$A106)</f>
        <v>0</v>
      </c>
      <c r="U106">
        <f>SUMIFS(AnnualProduction!V$2:V$9923,AnnualProduction!$B$2:$B$9923,$A106)</f>
        <v>0</v>
      </c>
      <c r="V106">
        <f>SUMIFS(AnnualProduction!W$2:W$9923,AnnualProduction!$B$2:$B$9923,$A106)</f>
        <v>0</v>
      </c>
      <c r="W106">
        <f>SUMIFS(AnnualProduction!X$2:X$9923,AnnualProduction!$B$2:$B$9923,$A106)</f>
        <v>0</v>
      </c>
      <c r="X106">
        <f>SUMIFS(AnnualProduction!Y$2:Y$9923,AnnualProduction!$B$2:$B$9923,$A106)</f>
        <v>0</v>
      </c>
      <c r="Y106">
        <f>SUMIFS(AnnualProduction!Z$2:Z$9923,AnnualProduction!$B$2:$B$9923,$A106)</f>
        <v>0</v>
      </c>
      <c r="Z106">
        <f>SUMIFS(AnnualProduction!AA$2:AA$9923,AnnualProduction!$B$2:$B$9923,$A106)</f>
        <v>0</v>
      </c>
      <c r="AA106">
        <f>SUMIFS(AnnualProduction!AB$2:AB$9923,AnnualProduction!$B$2:$B$9923,$A106)</f>
        <v>0</v>
      </c>
      <c r="AB106">
        <f>SUMIFS(AnnualProduction!AC$2:AC$9923,AnnualProduction!$B$2:$B$9923,$A106)</f>
        <v>0</v>
      </c>
      <c r="AC106">
        <f>SUMIFS(AnnualProduction!AD$2:AD$9923,AnnualProduction!$B$2:$B$9923,$A106)</f>
        <v>0</v>
      </c>
      <c r="AD106">
        <f>SUMIFS(AnnualProduction!AE$2:AE$9923,AnnualProduction!$B$2:$B$9923,$A106)</f>
        <v>0</v>
      </c>
      <c r="AE106">
        <f>SUMIFS(AnnualProduction!AF$2:AF$9923,AnnualProduction!$B$2:$B$9923,$A106)</f>
        <v>0</v>
      </c>
      <c r="AF106">
        <f>SUMIFS(AnnualProduction!AG$2:AG$9923,AnnualProduction!$B$2:$B$9923,$A106)</f>
        <v>0</v>
      </c>
      <c r="AG106">
        <f>SUMIFS(AnnualProduction!AH$2:AH$9923,AnnualProduction!$B$2:$B$9923,$A106)</f>
        <v>0</v>
      </c>
    </row>
    <row r="107" spans="1:58">
      <c r="A107" t="s">
        <v>144</v>
      </c>
      <c r="C107">
        <f>SUMIFS(AnnualProduction!D$2:D$9923,AnnualProduction!$B$2:$B$9923,$A107)</f>
        <v>0</v>
      </c>
      <c r="D107">
        <f>SUMIFS(AnnualProduction!E$2:E$9923,AnnualProduction!$B$2:$B$9923,$A107)</f>
        <v>0</v>
      </c>
      <c r="E107">
        <f>SUMIFS(AnnualProduction!F$2:F$9923,AnnualProduction!$B$2:$B$9923,$A107)</f>
        <v>0</v>
      </c>
      <c r="F107">
        <f>SUMIFS(AnnualProduction!G$2:G$9923,AnnualProduction!$B$2:$B$9923,$A107)</f>
        <v>0</v>
      </c>
      <c r="G107">
        <f>SUMIFS(AnnualProduction!H$2:H$9923,AnnualProduction!$B$2:$B$9923,$A107)</f>
        <v>0</v>
      </c>
      <c r="H107">
        <f>SUMIFS(AnnualProduction!I$2:I$9923,AnnualProduction!$B$2:$B$9923,$A107)</f>
        <v>0</v>
      </c>
      <c r="I107">
        <f>SUMIFS(AnnualProduction!J$2:J$9923,AnnualProduction!$B$2:$B$9923,$A107)</f>
        <v>0</v>
      </c>
      <c r="J107">
        <f>SUMIFS(AnnualProduction!K$2:K$9923,AnnualProduction!$B$2:$B$9923,$A107)</f>
        <v>0</v>
      </c>
      <c r="K107">
        <f>SUMIFS(AnnualProduction!L$2:L$9923,AnnualProduction!$B$2:$B$9923,$A107)</f>
        <v>0</v>
      </c>
      <c r="L107">
        <f>SUMIFS(AnnualProduction!M$2:M$9923,AnnualProduction!$B$2:$B$9923,$A107)</f>
        <v>0</v>
      </c>
      <c r="M107">
        <f>SUMIFS(AnnualProduction!N$2:N$9923,AnnualProduction!$B$2:$B$9923,$A107)</f>
        <v>0</v>
      </c>
      <c r="N107">
        <f>SUMIFS(AnnualProduction!O$2:O$9923,AnnualProduction!$B$2:$B$9923,$A107)</f>
        <v>0</v>
      </c>
      <c r="O107">
        <f>SUMIFS(AnnualProduction!P$2:P$9923,AnnualProduction!$B$2:$B$9923,$A107)</f>
        <v>0</v>
      </c>
      <c r="P107">
        <f>SUMIFS(AnnualProduction!Q$2:Q$9923,AnnualProduction!$B$2:$B$9923,$A107)</f>
        <v>0</v>
      </c>
      <c r="Q107">
        <f>SUMIFS(AnnualProduction!R$2:R$9923,AnnualProduction!$B$2:$B$9923,$A107)</f>
        <v>0</v>
      </c>
      <c r="R107">
        <f>SUMIFS(AnnualProduction!S$2:S$9923,AnnualProduction!$B$2:$B$9923,$A107)</f>
        <v>0</v>
      </c>
      <c r="S107">
        <f>SUMIFS(AnnualProduction!T$2:T$9923,AnnualProduction!$B$2:$B$9923,$A107)</f>
        <v>0</v>
      </c>
      <c r="T107">
        <f>SUMIFS(AnnualProduction!U$2:U$9923,AnnualProduction!$B$2:$B$9923,$A107)</f>
        <v>0</v>
      </c>
      <c r="U107">
        <f>SUMIFS(AnnualProduction!V$2:V$9923,AnnualProduction!$B$2:$B$9923,$A107)</f>
        <v>0</v>
      </c>
      <c r="V107">
        <f>SUMIFS(AnnualProduction!W$2:W$9923,AnnualProduction!$B$2:$B$9923,$A107)</f>
        <v>0</v>
      </c>
      <c r="W107">
        <f>SUMIFS(AnnualProduction!X$2:X$9923,AnnualProduction!$B$2:$B$9923,$A107)</f>
        <v>0</v>
      </c>
      <c r="X107">
        <f>SUMIFS(AnnualProduction!Y$2:Y$9923,AnnualProduction!$B$2:$B$9923,$A107)</f>
        <v>0</v>
      </c>
      <c r="Y107">
        <f>SUMIFS(AnnualProduction!Z$2:Z$9923,AnnualProduction!$B$2:$B$9923,$A107)</f>
        <v>0</v>
      </c>
      <c r="Z107">
        <f>SUMIFS(AnnualProduction!AA$2:AA$9923,AnnualProduction!$B$2:$B$9923,$A107)</f>
        <v>0</v>
      </c>
      <c r="AA107">
        <f>SUMIFS(AnnualProduction!AB$2:AB$9923,AnnualProduction!$B$2:$B$9923,$A107)</f>
        <v>0</v>
      </c>
      <c r="AB107">
        <f>SUMIFS(AnnualProduction!AC$2:AC$9923,AnnualProduction!$B$2:$B$9923,$A107)</f>
        <v>0</v>
      </c>
      <c r="AC107">
        <f>SUMIFS(AnnualProduction!AD$2:AD$9923,AnnualProduction!$B$2:$B$9923,$A107)</f>
        <v>0</v>
      </c>
      <c r="AD107">
        <f>SUMIFS(AnnualProduction!AE$2:AE$9923,AnnualProduction!$B$2:$B$9923,$A107)</f>
        <v>0</v>
      </c>
      <c r="AE107">
        <f>SUMIFS(AnnualProduction!AF$2:AF$9923,AnnualProduction!$B$2:$B$9923,$A107)</f>
        <v>0</v>
      </c>
      <c r="AF107">
        <f>SUMIFS(AnnualProduction!AG$2:AG$9923,AnnualProduction!$B$2:$B$9923,$A107)</f>
        <v>0</v>
      </c>
      <c r="AG107">
        <f>SUMIFS(AnnualProduction!AH$2:AH$9923,AnnualProduction!$B$2:$B$9923,$A107)</f>
        <v>0</v>
      </c>
    </row>
    <row r="108" spans="1:58">
      <c r="A108" t="s">
        <v>145</v>
      </c>
      <c r="C108">
        <f>SUMIFS(AnnualProduction!D$2:D$9923,AnnualProduction!$B$2:$B$9923,$A108)</f>
        <v>25.885199999999987</v>
      </c>
      <c r="D108">
        <f>SUMIFS(AnnualProduction!E$2:E$9923,AnnualProduction!$B$2:$B$9923,$A108)</f>
        <v>33.065800000000003</v>
      </c>
      <c r="E108">
        <f>SUMIFS(AnnualProduction!F$2:F$9923,AnnualProduction!$B$2:$B$9923,$A108)</f>
        <v>36.306100000000008</v>
      </c>
      <c r="F108">
        <f>SUMIFS(AnnualProduction!G$2:G$9923,AnnualProduction!$B$2:$B$9923,$A108)</f>
        <v>37.033799999999999</v>
      </c>
      <c r="G108">
        <f>SUMIFS(AnnualProduction!H$2:H$9923,AnnualProduction!$B$2:$B$9923,$A108)</f>
        <v>39.271800000000006</v>
      </c>
      <c r="H108">
        <f>SUMIFS(AnnualProduction!I$2:I$9923,AnnualProduction!$B$2:$B$9923,$A108)</f>
        <v>39.271800000000006</v>
      </c>
      <c r="I108">
        <f>SUMIFS(AnnualProduction!J$2:J$9923,AnnualProduction!$B$2:$B$9923,$A108)</f>
        <v>39.271800000000006</v>
      </c>
      <c r="J108">
        <f>SUMIFS(AnnualProduction!K$2:K$9923,AnnualProduction!$B$2:$B$9923,$A108)</f>
        <v>39.271800000000006</v>
      </c>
      <c r="K108">
        <f>SUMIFS(AnnualProduction!L$2:L$9923,AnnualProduction!$B$2:$B$9923,$A108)</f>
        <v>39.271800000000006</v>
      </c>
      <c r="L108">
        <f>SUMIFS(AnnualProduction!M$2:M$9923,AnnualProduction!$B$2:$B$9923,$A108)</f>
        <v>39.271800000000006</v>
      </c>
      <c r="M108">
        <f>SUMIFS(AnnualProduction!N$2:N$9923,AnnualProduction!$B$2:$B$9923,$A108)</f>
        <v>39.271800000000006</v>
      </c>
      <c r="N108">
        <f>SUMIFS(AnnualProduction!O$2:O$9923,AnnualProduction!$B$2:$B$9923,$A108)</f>
        <v>39.271800000000006</v>
      </c>
      <c r="O108">
        <f>SUMIFS(AnnualProduction!P$2:P$9923,AnnualProduction!$B$2:$B$9923,$A108)</f>
        <v>39.271800000000006</v>
      </c>
      <c r="P108">
        <f>SUMIFS(AnnualProduction!Q$2:Q$9923,AnnualProduction!$B$2:$B$9923,$A108)</f>
        <v>39.271800000000006</v>
      </c>
      <c r="Q108">
        <f>SUMIFS(AnnualProduction!R$2:R$9923,AnnualProduction!$B$2:$B$9923,$A108)</f>
        <v>39.271800000000006</v>
      </c>
      <c r="R108">
        <f>SUMIFS(AnnualProduction!S$2:S$9923,AnnualProduction!$B$2:$B$9923,$A108)</f>
        <v>39.271800000000006</v>
      </c>
      <c r="S108">
        <f>SUMIFS(AnnualProduction!T$2:T$9923,AnnualProduction!$B$2:$B$9923,$A108)</f>
        <v>39.271800000000006</v>
      </c>
      <c r="T108">
        <f>SUMIFS(AnnualProduction!U$2:U$9923,AnnualProduction!$B$2:$B$9923,$A108)</f>
        <v>39.271800000000006</v>
      </c>
      <c r="U108">
        <f>SUMIFS(AnnualProduction!V$2:V$9923,AnnualProduction!$B$2:$B$9923,$A108)</f>
        <v>39.271800000000006</v>
      </c>
      <c r="V108">
        <f>SUMIFS(AnnualProduction!W$2:W$9923,AnnualProduction!$B$2:$B$9923,$A108)</f>
        <v>39.271800000000006</v>
      </c>
      <c r="W108">
        <f>SUMIFS(AnnualProduction!X$2:X$9923,AnnualProduction!$B$2:$B$9923,$A108)</f>
        <v>39.271800000000006</v>
      </c>
      <c r="X108">
        <f>SUMIFS(AnnualProduction!Y$2:Y$9923,AnnualProduction!$B$2:$B$9923,$A108)</f>
        <v>39.271800000000006</v>
      </c>
      <c r="Y108">
        <f>SUMIFS(AnnualProduction!Z$2:Z$9923,AnnualProduction!$B$2:$B$9923,$A108)</f>
        <v>39.271800000000006</v>
      </c>
      <c r="Z108">
        <f>SUMIFS(AnnualProduction!AA$2:AA$9923,AnnualProduction!$B$2:$B$9923,$A108)</f>
        <v>39.271800000000006</v>
      </c>
      <c r="AA108">
        <f>SUMIFS(AnnualProduction!AB$2:AB$9923,AnnualProduction!$B$2:$B$9923,$A108)</f>
        <v>39.271800000000006</v>
      </c>
      <c r="AB108">
        <f>SUMIFS(AnnualProduction!AC$2:AC$9923,AnnualProduction!$B$2:$B$9923,$A108)</f>
        <v>39.271800000000006</v>
      </c>
      <c r="AC108">
        <f>SUMIFS(AnnualProduction!AD$2:AD$9923,AnnualProduction!$B$2:$B$9923,$A108)</f>
        <v>39.271800000000006</v>
      </c>
      <c r="AD108">
        <f>SUMIFS(AnnualProduction!AE$2:AE$9923,AnnualProduction!$B$2:$B$9923,$A108)</f>
        <v>39.156600000000005</v>
      </c>
      <c r="AE108">
        <f>SUMIFS(AnnualProduction!AF$2:AF$9923,AnnualProduction!$B$2:$B$9923,$A108)</f>
        <v>39.156600000000005</v>
      </c>
      <c r="AF108">
        <f>SUMIFS(AnnualProduction!AG$2:AG$9923,AnnualProduction!$B$2:$B$9923,$A108)</f>
        <v>39.156600000000005</v>
      </c>
      <c r="AG108">
        <f>SUMIFS(AnnualProduction!AH$2:AH$9923,AnnualProduction!$B$2:$B$9923,$A108)</f>
        <v>39.156600000000005</v>
      </c>
    </row>
    <row r="109" spans="1:58">
      <c r="A109" t="s">
        <v>146</v>
      </c>
      <c r="C109">
        <f>SUMIFS(AnnualProduction!D$2:D$9923,AnnualProduction!$B$2:$B$9923,$A109)</f>
        <v>0</v>
      </c>
      <c r="D109">
        <f>SUMIFS(AnnualProduction!E$2:E$9923,AnnualProduction!$B$2:$B$9923,$A109)</f>
        <v>0</v>
      </c>
      <c r="E109">
        <f>SUMIFS(AnnualProduction!F$2:F$9923,AnnualProduction!$B$2:$B$9923,$A109)</f>
        <v>0</v>
      </c>
      <c r="F109">
        <f>SUMIFS(AnnualProduction!G$2:G$9923,AnnualProduction!$B$2:$B$9923,$A109)</f>
        <v>0</v>
      </c>
      <c r="G109">
        <f>SUMIFS(AnnualProduction!H$2:H$9923,AnnualProduction!$B$2:$B$9923,$A109)</f>
        <v>0</v>
      </c>
      <c r="H109">
        <f>SUMIFS(AnnualProduction!I$2:I$9923,AnnualProduction!$B$2:$B$9923,$A109)</f>
        <v>5.5426000000000002</v>
      </c>
      <c r="I109">
        <f>SUMIFS(AnnualProduction!J$2:J$9923,AnnualProduction!$B$2:$B$9923,$A109)</f>
        <v>5.6577999999999999</v>
      </c>
      <c r="J109">
        <f>SUMIFS(AnnualProduction!K$2:K$9923,AnnualProduction!$B$2:$B$9923,$A109)</f>
        <v>5.7598000000000003</v>
      </c>
      <c r="K109">
        <f>SUMIFS(AnnualProduction!L$2:L$9923,AnnualProduction!$B$2:$B$9923,$A109)</f>
        <v>5.8164000000000007</v>
      </c>
      <c r="L109">
        <f>SUMIFS(AnnualProduction!M$2:M$9923,AnnualProduction!$B$2:$B$9923,$A109)</f>
        <v>7.1935000000000011</v>
      </c>
      <c r="M109">
        <f>SUMIFS(AnnualProduction!N$2:N$9923,AnnualProduction!$B$2:$B$9923,$A109)</f>
        <v>7.6731000000000016</v>
      </c>
      <c r="N109">
        <f>SUMIFS(AnnualProduction!O$2:O$9923,AnnualProduction!$B$2:$B$9923,$A109)</f>
        <v>7.7795000000000014</v>
      </c>
      <c r="O109">
        <f>SUMIFS(AnnualProduction!P$2:P$9923,AnnualProduction!$B$2:$B$9923,$A109)</f>
        <v>4.2029999999999994</v>
      </c>
      <c r="P109">
        <f>SUMIFS(AnnualProduction!Q$2:Q$9923,AnnualProduction!$B$2:$B$9923,$A109)</f>
        <v>4.0327999999999999</v>
      </c>
      <c r="Q109">
        <f>SUMIFS(AnnualProduction!R$2:R$9923,AnnualProduction!$B$2:$B$9923,$A109)</f>
        <v>3.8602000000000007</v>
      </c>
      <c r="R109">
        <f>SUMIFS(AnnualProduction!S$2:S$9923,AnnualProduction!$B$2:$B$9923,$A109)</f>
        <v>3.6900000000000004</v>
      </c>
      <c r="S109">
        <f>SUMIFS(AnnualProduction!T$2:T$9923,AnnualProduction!$B$2:$B$9923,$A109)</f>
        <v>3.4832000000000001</v>
      </c>
      <c r="T109">
        <f>SUMIFS(AnnualProduction!U$2:U$9923,AnnualProduction!$B$2:$B$9923,$A109)</f>
        <v>3.2764000000000006</v>
      </c>
      <c r="U109">
        <f>SUMIFS(AnnualProduction!V$2:V$9923,AnnualProduction!$B$2:$B$9923,$A109)</f>
        <v>3.2876000000000003</v>
      </c>
      <c r="V109">
        <f>SUMIFS(AnnualProduction!W$2:W$9923,AnnualProduction!$B$2:$B$9923,$A109)</f>
        <v>8.0191999999999997</v>
      </c>
      <c r="W109">
        <f>SUMIFS(AnnualProduction!X$2:X$9923,AnnualProduction!$B$2:$B$9923,$A109)</f>
        <v>17.805199999999999</v>
      </c>
      <c r="X109">
        <f>SUMIFS(AnnualProduction!Y$2:Y$9923,AnnualProduction!$B$2:$B$9923,$A109)</f>
        <v>22.325000000000003</v>
      </c>
      <c r="Y109">
        <f>SUMIFS(AnnualProduction!Z$2:Z$9923,AnnualProduction!$B$2:$B$9923,$A109)</f>
        <v>23.422599999999999</v>
      </c>
      <c r="Z109">
        <f>SUMIFS(AnnualProduction!AA$2:AA$9923,AnnualProduction!$B$2:$B$9923,$A109)</f>
        <v>24.451499999999999</v>
      </c>
      <c r="AA109">
        <f>SUMIFS(AnnualProduction!AB$2:AB$9923,AnnualProduction!$B$2:$B$9923,$A109)</f>
        <v>25.697099999999999</v>
      </c>
      <c r="AB109">
        <f>SUMIFS(AnnualProduction!AC$2:AC$9923,AnnualProduction!$B$2:$B$9923,$A109)</f>
        <v>26.963300000000004</v>
      </c>
      <c r="AC109">
        <f>SUMIFS(AnnualProduction!AD$2:AD$9923,AnnualProduction!$B$2:$B$9923,$A109)</f>
        <v>29.497299999999999</v>
      </c>
      <c r="AD109">
        <f>SUMIFS(AnnualProduction!AE$2:AE$9923,AnnualProduction!$B$2:$B$9923,$A109)</f>
        <v>30.755000000000003</v>
      </c>
      <c r="AE109">
        <f>SUMIFS(AnnualProduction!AF$2:AF$9923,AnnualProduction!$B$2:$B$9923,$A109)</f>
        <v>32.661000000000001</v>
      </c>
      <c r="AF109">
        <f>SUMIFS(AnnualProduction!AG$2:AG$9923,AnnualProduction!$B$2:$B$9923,$A109)</f>
        <v>45.9039</v>
      </c>
      <c r="AG109">
        <f>SUMIFS(AnnualProduction!AH$2:AH$9923,AnnualProduction!$B$2:$B$9923,$A109)</f>
        <v>65.1113</v>
      </c>
    </row>
    <row r="110" spans="1:58">
      <c r="A110" t="s">
        <v>147</v>
      </c>
      <c r="C110">
        <f>SUMIFS(AnnualProduction!D$2:D$9923,AnnualProduction!$B$2:$B$9923,$A110)</f>
        <v>0</v>
      </c>
      <c r="D110">
        <f>SUMIFS(AnnualProduction!E$2:E$9923,AnnualProduction!$B$2:$B$9923,$A110)</f>
        <v>0</v>
      </c>
      <c r="E110">
        <f>SUMIFS(AnnualProduction!F$2:F$9923,AnnualProduction!$B$2:$B$9923,$A110)</f>
        <v>0</v>
      </c>
      <c r="F110">
        <f>SUMIFS(AnnualProduction!G$2:G$9923,AnnualProduction!$B$2:$B$9923,$A110)</f>
        <v>0</v>
      </c>
      <c r="G110">
        <f>SUMIFS(AnnualProduction!H$2:H$9923,AnnualProduction!$B$2:$B$9923,$A110)</f>
        <v>0</v>
      </c>
      <c r="H110">
        <f>SUMIFS(AnnualProduction!I$2:I$9923,AnnualProduction!$B$2:$B$9923,$A110)</f>
        <v>0</v>
      </c>
      <c r="I110">
        <f>SUMIFS(AnnualProduction!J$2:J$9923,AnnualProduction!$B$2:$B$9923,$A110)</f>
        <v>0</v>
      </c>
      <c r="J110">
        <f>SUMIFS(AnnualProduction!K$2:K$9923,AnnualProduction!$B$2:$B$9923,$A110)</f>
        <v>0</v>
      </c>
      <c r="K110">
        <f>SUMIFS(AnnualProduction!L$2:L$9923,AnnualProduction!$B$2:$B$9923,$A110)</f>
        <v>0</v>
      </c>
      <c r="L110">
        <f>SUMIFS(AnnualProduction!M$2:M$9923,AnnualProduction!$B$2:$B$9923,$A110)</f>
        <v>0</v>
      </c>
      <c r="M110">
        <f>SUMIFS(AnnualProduction!N$2:N$9923,AnnualProduction!$B$2:$B$9923,$A110)</f>
        <v>0</v>
      </c>
      <c r="N110">
        <f>SUMIFS(AnnualProduction!O$2:O$9923,AnnualProduction!$B$2:$B$9923,$A110)</f>
        <v>0</v>
      </c>
      <c r="O110">
        <f>SUMIFS(AnnualProduction!P$2:P$9923,AnnualProduction!$B$2:$B$9923,$A110)</f>
        <v>0</v>
      </c>
      <c r="P110">
        <f>SUMIFS(AnnualProduction!Q$2:Q$9923,AnnualProduction!$B$2:$B$9923,$A110)</f>
        <v>0</v>
      </c>
      <c r="Q110">
        <f>SUMIFS(AnnualProduction!R$2:R$9923,AnnualProduction!$B$2:$B$9923,$A110)</f>
        <v>0</v>
      </c>
      <c r="R110">
        <f>SUMIFS(AnnualProduction!S$2:S$9923,AnnualProduction!$B$2:$B$9923,$A110)</f>
        <v>0</v>
      </c>
      <c r="S110">
        <f>SUMIFS(AnnualProduction!T$2:T$9923,AnnualProduction!$B$2:$B$9923,$A110)</f>
        <v>0</v>
      </c>
      <c r="T110">
        <f>SUMIFS(AnnualProduction!U$2:U$9923,AnnualProduction!$B$2:$B$9923,$A110)</f>
        <v>0</v>
      </c>
      <c r="U110">
        <f>SUMIFS(AnnualProduction!V$2:V$9923,AnnualProduction!$B$2:$B$9923,$A110)</f>
        <v>0</v>
      </c>
      <c r="V110">
        <f>SUMIFS(AnnualProduction!W$2:W$9923,AnnualProduction!$B$2:$B$9923,$A110)</f>
        <v>0</v>
      </c>
      <c r="W110">
        <f>SUMIFS(AnnualProduction!X$2:X$9923,AnnualProduction!$B$2:$B$9923,$A110)</f>
        <v>0</v>
      </c>
      <c r="X110">
        <f>SUMIFS(AnnualProduction!Y$2:Y$9923,AnnualProduction!$B$2:$B$9923,$A110)</f>
        <v>0</v>
      </c>
      <c r="Y110">
        <f>SUMIFS(AnnualProduction!Z$2:Z$9923,AnnualProduction!$B$2:$B$9923,$A110)</f>
        <v>0</v>
      </c>
      <c r="Z110">
        <f>SUMIFS(AnnualProduction!AA$2:AA$9923,AnnualProduction!$B$2:$B$9923,$A110)</f>
        <v>0</v>
      </c>
      <c r="AA110">
        <f>SUMIFS(AnnualProduction!AB$2:AB$9923,AnnualProduction!$B$2:$B$9923,$A110)</f>
        <v>0</v>
      </c>
      <c r="AB110">
        <f>SUMIFS(AnnualProduction!AC$2:AC$9923,AnnualProduction!$B$2:$B$9923,$A110)</f>
        <v>0</v>
      </c>
      <c r="AC110">
        <f>SUMIFS(AnnualProduction!AD$2:AD$9923,AnnualProduction!$B$2:$B$9923,$A110)</f>
        <v>0</v>
      </c>
      <c r="AD110">
        <f>SUMIFS(AnnualProduction!AE$2:AE$9923,AnnualProduction!$B$2:$B$9923,$A110)</f>
        <v>0</v>
      </c>
      <c r="AE110">
        <f>SUMIFS(AnnualProduction!AF$2:AF$9923,AnnualProduction!$B$2:$B$9923,$A110)</f>
        <v>0</v>
      </c>
      <c r="AF110">
        <f>SUMIFS(AnnualProduction!AG$2:AG$9923,AnnualProduction!$B$2:$B$9923,$A110)</f>
        <v>0</v>
      </c>
      <c r="AG110">
        <f>SUMIFS(AnnualProduction!AH$2:AH$9923,AnnualProduction!$B$2:$B$9923,$A110)</f>
        <v>0</v>
      </c>
    </row>
    <row r="111" spans="1:58">
      <c r="A111" t="s">
        <v>148</v>
      </c>
      <c r="C111">
        <f>SUMIFS(AnnualProduction!D$2:D$9923,AnnualProduction!$B$2:$B$9923,$A111)</f>
        <v>0</v>
      </c>
      <c r="D111">
        <f>SUMIFS(AnnualProduction!E$2:E$9923,AnnualProduction!$B$2:$B$9923,$A111)</f>
        <v>0</v>
      </c>
      <c r="E111">
        <f>SUMIFS(AnnualProduction!F$2:F$9923,AnnualProduction!$B$2:$B$9923,$A111)</f>
        <v>0</v>
      </c>
      <c r="F111">
        <f>SUMIFS(AnnualProduction!G$2:G$9923,AnnualProduction!$B$2:$B$9923,$A111)</f>
        <v>0</v>
      </c>
      <c r="G111">
        <f>SUMIFS(AnnualProduction!H$2:H$9923,AnnualProduction!$B$2:$B$9923,$A111)</f>
        <v>0</v>
      </c>
      <c r="H111">
        <f>SUMIFS(AnnualProduction!I$2:I$9923,AnnualProduction!$B$2:$B$9923,$A111)</f>
        <v>0</v>
      </c>
      <c r="I111">
        <f>SUMIFS(AnnualProduction!J$2:J$9923,AnnualProduction!$B$2:$B$9923,$A111)</f>
        <v>0</v>
      </c>
      <c r="J111">
        <f>SUMIFS(AnnualProduction!K$2:K$9923,AnnualProduction!$B$2:$B$9923,$A111)</f>
        <v>0</v>
      </c>
      <c r="K111">
        <f>SUMIFS(AnnualProduction!L$2:L$9923,AnnualProduction!$B$2:$B$9923,$A111)</f>
        <v>0</v>
      </c>
      <c r="L111">
        <f>SUMIFS(AnnualProduction!M$2:M$9923,AnnualProduction!$B$2:$B$9923,$A111)</f>
        <v>0</v>
      </c>
      <c r="M111">
        <f>SUMIFS(AnnualProduction!N$2:N$9923,AnnualProduction!$B$2:$B$9923,$A111)</f>
        <v>0</v>
      </c>
      <c r="N111">
        <f>SUMIFS(AnnualProduction!O$2:O$9923,AnnualProduction!$B$2:$B$9923,$A111)</f>
        <v>0</v>
      </c>
      <c r="O111">
        <f>SUMIFS(AnnualProduction!P$2:P$9923,AnnualProduction!$B$2:$B$9923,$A111)</f>
        <v>0</v>
      </c>
      <c r="P111">
        <f>SUMIFS(AnnualProduction!Q$2:Q$9923,AnnualProduction!$B$2:$B$9923,$A111)</f>
        <v>0</v>
      </c>
      <c r="Q111">
        <f>SUMIFS(AnnualProduction!R$2:R$9923,AnnualProduction!$B$2:$B$9923,$A111)</f>
        <v>0</v>
      </c>
      <c r="R111">
        <f>SUMIFS(AnnualProduction!S$2:S$9923,AnnualProduction!$B$2:$B$9923,$A111)</f>
        <v>0</v>
      </c>
      <c r="S111">
        <f>SUMIFS(AnnualProduction!T$2:T$9923,AnnualProduction!$B$2:$B$9923,$A111)</f>
        <v>0</v>
      </c>
      <c r="T111">
        <f>SUMIFS(AnnualProduction!U$2:U$9923,AnnualProduction!$B$2:$B$9923,$A111)</f>
        <v>0</v>
      </c>
      <c r="U111">
        <f>SUMIFS(AnnualProduction!V$2:V$9923,AnnualProduction!$B$2:$B$9923,$A111)</f>
        <v>0</v>
      </c>
      <c r="V111">
        <f>SUMIFS(AnnualProduction!W$2:W$9923,AnnualProduction!$B$2:$B$9923,$A111)</f>
        <v>0</v>
      </c>
      <c r="W111">
        <f>SUMIFS(AnnualProduction!X$2:X$9923,AnnualProduction!$B$2:$B$9923,$A111)</f>
        <v>0</v>
      </c>
      <c r="X111">
        <f>SUMIFS(AnnualProduction!Y$2:Y$9923,AnnualProduction!$B$2:$B$9923,$A111)</f>
        <v>0</v>
      </c>
      <c r="Y111">
        <f>SUMIFS(AnnualProduction!Z$2:Z$9923,AnnualProduction!$B$2:$B$9923,$A111)</f>
        <v>0</v>
      </c>
      <c r="Z111">
        <f>SUMIFS(AnnualProduction!AA$2:AA$9923,AnnualProduction!$B$2:$B$9923,$A111)</f>
        <v>0</v>
      </c>
      <c r="AA111">
        <f>SUMIFS(AnnualProduction!AB$2:AB$9923,AnnualProduction!$B$2:$B$9923,$A111)</f>
        <v>0</v>
      </c>
      <c r="AB111">
        <f>SUMIFS(AnnualProduction!AC$2:AC$9923,AnnualProduction!$B$2:$B$9923,$A111)</f>
        <v>0</v>
      </c>
      <c r="AC111">
        <f>SUMIFS(AnnualProduction!AD$2:AD$9923,AnnualProduction!$B$2:$B$9923,$A111)</f>
        <v>0</v>
      </c>
      <c r="AD111">
        <f>SUMIFS(AnnualProduction!AE$2:AE$9923,AnnualProduction!$B$2:$B$9923,$A111)</f>
        <v>0</v>
      </c>
      <c r="AE111">
        <f>SUMIFS(AnnualProduction!AF$2:AF$9923,AnnualProduction!$B$2:$B$9923,$A111)</f>
        <v>0</v>
      </c>
      <c r="AF111">
        <f>SUMIFS(AnnualProduction!AG$2:AG$9923,AnnualProduction!$B$2:$B$9923,$A111)</f>
        <v>0</v>
      </c>
      <c r="AG111">
        <f>SUMIFS(AnnualProduction!AH$2:AH$9923,AnnualProduction!$B$2:$B$9923,$A111)</f>
        <v>0</v>
      </c>
    </row>
    <row r="112" spans="1:58">
      <c r="A112" t="s">
        <v>149</v>
      </c>
      <c r="C112">
        <f>SUMIFS(AnnualProduction!D$2:D$9923,AnnualProduction!$B$2:$B$9923,$A112)</f>
        <v>0</v>
      </c>
      <c r="D112">
        <f>SUMIFS(AnnualProduction!E$2:E$9923,AnnualProduction!$B$2:$B$9923,$A112)</f>
        <v>0</v>
      </c>
      <c r="E112">
        <f>SUMIFS(AnnualProduction!F$2:F$9923,AnnualProduction!$B$2:$B$9923,$A112)</f>
        <v>0</v>
      </c>
      <c r="F112">
        <f>SUMIFS(AnnualProduction!G$2:G$9923,AnnualProduction!$B$2:$B$9923,$A112)</f>
        <v>0</v>
      </c>
      <c r="G112">
        <f>SUMIFS(AnnualProduction!H$2:H$9923,AnnualProduction!$B$2:$B$9923,$A112)</f>
        <v>0</v>
      </c>
      <c r="H112">
        <f>SUMIFS(AnnualProduction!I$2:I$9923,AnnualProduction!$B$2:$B$9923,$A112)</f>
        <v>0</v>
      </c>
      <c r="I112">
        <f>SUMIFS(AnnualProduction!J$2:J$9923,AnnualProduction!$B$2:$B$9923,$A112)</f>
        <v>0</v>
      </c>
      <c r="J112">
        <f>SUMIFS(AnnualProduction!K$2:K$9923,AnnualProduction!$B$2:$B$9923,$A112)</f>
        <v>0</v>
      </c>
      <c r="K112">
        <f>SUMIFS(AnnualProduction!L$2:L$9923,AnnualProduction!$B$2:$B$9923,$A112)</f>
        <v>0</v>
      </c>
      <c r="L112">
        <f>SUMIFS(AnnualProduction!M$2:M$9923,AnnualProduction!$B$2:$B$9923,$A112)</f>
        <v>0</v>
      </c>
      <c r="M112">
        <f>SUMIFS(AnnualProduction!N$2:N$9923,AnnualProduction!$B$2:$B$9923,$A112)</f>
        <v>0</v>
      </c>
      <c r="N112">
        <f>SUMIFS(AnnualProduction!O$2:O$9923,AnnualProduction!$B$2:$B$9923,$A112)</f>
        <v>0</v>
      </c>
      <c r="O112">
        <f>SUMIFS(AnnualProduction!P$2:P$9923,AnnualProduction!$B$2:$B$9923,$A112)</f>
        <v>0</v>
      </c>
      <c r="P112">
        <f>SUMIFS(AnnualProduction!Q$2:Q$9923,AnnualProduction!$B$2:$B$9923,$A112)</f>
        <v>0</v>
      </c>
      <c r="Q112">
        <f>SUMIFS(AnnualProduction!R$2:R$9923,AnnualProduction!$B$2:$B$9923,$A112)</f>
        <v>0</v>
      </c>
      <c r="R112">
        <f>SUMIFS(AnnualProduction!S$2:S$9923,AnnualProduction!$B$2:$B$9923,$A112)</f>
        <v>0</v>
      </c>
      <c r="S112">
        <f>SUMIFS(AnnualProduction!T$2:T$9923,AnnualProduction!$B$2:$B$9923,$A112)</f>
        <v>0</v>
      </c>
      <c r="T112">
        <f>SUMIFS(AnnualProduction!U$2:U$9923,AnnualProduction!$B$2:$B$9923,$A112)</f>
        <v>0</v>
      </c>
      <c r="U112">
        <f>SUMIFS(AnnualProduction!V$2:V$9923,AnnualProduction!$B$2:$B$9923,$A112)</f>
        <v>0</v>
      </c>
      <c r="V112">
        <f>SUMIFS(AnnualProduction!W$2:W$9923,AnnualProduction!$B$2:$B$9923,$A112)</f>
        <v>0</v>
      </c>
      <c r="W112">
        <f>SUMIFS(AnnualProduction!X$2:X$9923,AnnualProduction!$B$2:$B$9923,$A112)</f>
        <v>0</v>
      </c>
      <c r="X112">
        <f>SUMIFS(AnnualProduction!Y$2:Y$9923,AnnualProduction!$B$2:$B$9923,$A112)</f>
        <v>0</v>
      </c>
      <c r="Y112">
        <f>SUMIFS(AnnualProduction!Z$2:Z$9923,AnnualProduction!$B$2:$B$9923,$A112)</f>
        <v>0</v>
      </c>
      <c r="Z112">
        <f>SUMIFS(AnnualProduction!AA$2:AA$9923,AnnualProduction!$B$2:$B$9923,$A112)</f>
        <v>0</v>
      </c>
      <c r="AA112">
        <f>SUMIFS(AnnualProduction!AB$2:AB$9923,AnnualProduction!$B$2:$B$9923,$A112)</f>
        <v>0</v>
      </c>
      <c r="AB112">
        <f>SUMIFS(AnnualProduction!AC$2:AC$9923,AnnualProduction!$B$2:$B$9923,$A112)</f>
        <v>0</v>
      </c>
      <c r="AC112">
        <f>SUMIFS(AnnualProduction!AD$2:AD$9923,AnnualProduction!$B$2:$B$9923,$A112)</f>
        <v>0</v>
      </c>
      <c r="AD112">
        <f>SUMIFS(AnnualProduction!AE$2:AE$9923,AnnualProduction!$B$2:$B$9923,$A112)</f>
        <v>0</v>
      </c>
      <c r="AE112">
        <f>SUMIFS(AnnualProduction!AF$2:AF$9923,AnnualProduction!$B$2:$B$9923,$A112)</f>
        <v>0</v>
      </c>
      <c r="AF112">
        <f>SUMIFS(AnnualProduction!AG$2:AG$9923,AnnualProduction!$B$2:$B$9923,$A112)</f>
        <v>0</v>
      </c>
      <c r="AG112">
        <f>SUMIFS(AnnualProduction!AH$2:AH$9923,AnnualProduction!$B$2:$B$9923,$A112)</f>
        <v>0</v>
      </c>
    </row>
    <row r="113" spans="1:58">
      <c r="A113" t="s">
        <v>150</v>
      </c>
      <c r="C113">
        <f>SUMIFS(AnnualProduction!D$2:D$9923,AnnualProduction!$B$2:$B$9923,$A113)</f>
        <v>4.9569999999999999</v>
      </c>
      <c r="D113">
        <f>SUMIFS(AnnualProduction!E$2:E$9923,AnnualProduction!$B$2:$B$9923,$A113)</f>
        <v>5.2921999999999993</v>
      </c>
      <c r="E113">
        <f>SUMIFS(AnnualProduction!F$2:F$9923,AnnualProduction!$B$2:$B$9923,$A113)</f>
        <v>6.5590999999999999</v>
      </c>
      <c r="F113">
        <f>SUMIFS(AnnualProduction!G$2:G$9923,AnnualProduction!$B$2:$B$9923,$A113)</f>
        <v>9.1578999999999997</v>
      </c>
      <c r="G113">
        <f>SUMIFS(AnnualProduction!H$2:H$9923,AnnualProduction!$B$2:$B$9923,$A113)</f>
        <v>13.720099999999999</v>
      </c>
      <c r="H113">
        <f>SUMIFS(AnnualProduction!I$2:I$9923,AnnualProduction!$B$2:$B$9923,$A113)</f>
        <v>17.098199999999999</v>
      </c>
      <c r="I113">
        <f>SUMIFS(AnnualProduction!J$2:J$9923,AnnualProduction!$B$2:$B$9923,$A113)</f>
        <v>17.098199999999999</v>
      </c>
      <c r="J113">
        <f>SUMIFS(AnnualProduction!K$2:K$9923,AnnualProduction!$B$2:$B$9923,$A113)</f>
        <v>17.098199999999999</v>
      </c>
      <c r="K113">
        <f>SUMIFS(AnnualProduction!L$2:L$9923,AnnualProduction!$B$2:$B$9923,$A113)</f>
        <v>17.098199999999999</v>
      </c>
      <c r="L113">
        <f>SUMIFS(AnnualProduction!M$2:M$9923,AnnualProduction!$B$2:$B$9923,$A113)</f>
        <v>17.098199999999999</v>
      </c>
      <c r="M113">
        <f>SUMIFS(AnnualProduction!N$2:N$9923,AnnualProduction!$B$2:$B$9923,$A113)</f>
        <v>71.401600000000002</v>
      </c>
      <c r="N113">
        <f>SUMIFS(AnnualProduction!O$2:O$9923,AnnualProduction!$B$2:$B$9923,$A113)</f>
        <v>71.401600000000002</v>
      </c>
      <c r="O113">
        <f>SUMIFS(AnnualProduction!P$2:P$9923,AnnualProduction!$B$2:$B$9923,$A113)</f>
        <v>71.401600000000002</v>
      </c>
      <c r="P113">
        <f>SUMIFS(AnnualProduction!Q$2:Q$9923,AnnualProduction!$B$2:$B$9923,$A113)</f>
        <v>71.401600000000002</v>
      </c>
      <c r="Q113">
        <f>SUMIFS(AnnualProduction!R$2:R$9923,AnnualProduction!$B$2:$B$9923,$A113)</f>
        <v>71.595399999999998</v>
      </c>
      <c r="R113">
        <f>SUMIFS(AnnualProduction!S$2:S$9923,AnnualProduction!$B$2:$B$9923,$A113)</f>
        <v>71.595399999999998</v>
      </c>
      <c r="S113">
        <f>SUMIFS(AnnualProduction!T$2:T$9923,AnnualProduction!$B$2:$B$9923,$A113)</f>
        <v>71.595399999999998</v>
      </c>
      <c r="T113">
        <f>SUMIFS(AnnualProduction!U$2:U$9923,AnnualProduction!$B$2:$B$9923,$A113)</f>
        <v>71.595399999999998</v>
      </c>
      <c r="U113">
        <f>SUMIFS(AnnualProduction!V$2:V$9923,AnnualProduction!$B$2:$B$9923,$A113)</f>
        <v>71.595399999999998</v>
      </c>
      <c r="V113">
        <f>SUMIFS(AnnualProduction!W$2:W$9923,AnnualProduction!$B$2:$B$9923,$A113)</f>
        <v>71.595399999999998</v>
      </c>
      <c r="W113">
        <f>SUMIFS(AnnualProduction!X$2:X$9923,AnnualProduction!$B$2:$B$9923,$A113)</f>
        <v>173.77699999999999</v>
      </c>
      <c r="X113">
        <f>SUMIFS(AnnualProduction!Y$2:Y$9923,AnnualProduction!$B$2:$B$9923,$A113)</f>
        <v>182.77559999999997</v>
      </c>
      <c r="Y113">
        <f>SUMIFS(AnnualProduction!Z$2:Z$9923,AnnualProduction!$B$2:$B$9923,$A113)</f>
        <v>192.44040000000001</v>
      </c>
      <c r="Z113">
        <f>SUMIFS(AnnualProduction!AA$2:AA$9923,AnnualProduction!$B$2:$B$9923,$A113)</f>
        <v>202.12540000000001</v>
      </c>
      <c r="AA113">
        <f>SUMIFS(AnnualProduction!AB$2:AB$9923,AnnualProduction!$B$2:$B$9923,$A113)</f>
        <v>211.82900000000001</v>
      </c>
      <c r="AB113">
        <f>SUMIFS(AnnualProduction!AC$2:AC$9923,AnnualProduction!$B$2:$B$9923,$A113)</f>
        <v>221.94040000000001</v>
      </c>
      <c r="AC113">
        <f>SUMIFS(AnnualProduction!AD$2:AD$9923,AnnualProduction!$B$2:$B$9923,$A113)</f>
        <v>232.23959999999997</v>
      </c>
      <c r="AD113">
        <f>SUMIFS(AnnualProduction!AE$2:AE$9923,AnnualProduction!$B$2:$B$9923,$A113)</f>
        <v>242.43700000000001</v>
      </c>
      <c r="AE113">
        <f>SUMIFS(AnnualProduction!AF$2:AF$9923,AnnualProduction!$B$2:$B$9923,$A113)</f>
        <v>260.28380000000004</v>
      </c>
      <c r="AF113">
        <f>SUMIFS(AnnualProduction!AG$2:AG$9923,AnnualProduction!$B$2:$B$9923,$A113)</f>
        <v>262.82779999999997</v>
      </c>
      <c r="AG113">
        <f>SUMIFS(AnnualProduction!AH$2:AH$9923,AnnualProduction!$B$2:$B$9923,$A113)</f>
        <v>311.99869999999999</v>
      </c>
    </row>
    <row r="114" spans="1:58">
      <c r="A114" t="s">
        <v>151</v>
      </c>
      <c r="C114">
        <f>SUMIFS(AnnualProduction!D$2:D$9923,AnnualProduction!$B$2:$B$9923,$A114)</f>
        <v>0</v>
      </c>
      <c r="D114">
        <f>SUMIFS(AnnualProduction!E$2:E$9923,AnnualProduction!$B$2:$B$9923,$A114)</f>
        <v>0</v>
      </c>
      <c r="E114">
        <f>SUMIFS(AnnualProduction!F$2:F$9923,AnnualProduction!$B$2:$B$9923,$A114)</f>
        <v>0</v>
      </c>
      <c r="F114">
        <f>SUMIFS(AnnualProduction!G$2:G$9923,AnnualProduction!$B$2:$B$9923,$A114)</f>
        <v>0</v>
      </c>
      <c r="G114">
        <f>SUMIFS(AnnualProduction!H$2:H$9923,AnnualProduction!$B$2:$B$9923,$A114)</f>
        <v>0</v>
      </c>
      <c r="H114">
        <f>SUMIFS(AnnualProduction!I$2:I$9923,AnnualProduction!$B$2:$B$9923,$A114)</f>
        <v>0</v>
      </c>
      <c r="I114">
        <f>SUMIFS(AnnualProduction!J$2:J$9923,AnnualProduction!$B$2:$B$9923,$A114)</f>
        <v>0</v>
      </c>
      <c r="J114">
        <f>SUMIFS(AnnualProduction!K$2:K$9923,AnnualProduction!$B$2:$B$9923,$A114)</f>
        <v>0</v>
      </c>
      <c r="K114">
        <f>SUMIFS(AnnualProduction!L$2:L$9923,AnnualProduction!$B$2:$B$9923,$A114)</f>
        <v>0</v>
      </c>
      <c r="L114">
        <f>SUMIFS(AnnualProduction!M$2:M$9923,AnnualProduction!$B$2:$B$9923,$A114)</f>
        <v>0</v>
      </c>
      <c r="M114">
        <f>SUMIFS(AnnualProduction!N$2:N$9923,AnnualProduction!$B$2:$B$9923,$A114)</f>
        <v>0</v>
      </c>
      <c r="N114">
        <f>SUMIFS(AnnualProduction!O$2:O$9923,AnnualProduction!$B$2:$B$9923,$A114)</f>
        <v>0</v>
      </c>
      <c r="O114">
        <f>SUMIFS(AnnualProduction!P$2:P$9923,AnnualProduction!$B$2:$B$9923,$A114)</f>
        <v>0</v>
      </c>
      <c r="P114">
        <f>SUMIFS(AnnualProduction!Q$2:Q$9923,AnnualProduction!$B$2:$B$9923,$A114)</f>
        <v>0</v>
      </c>
      <c r="Q114">
        <f>SUMIFS(AnnualProduction!R$2:R$9923,AnnualProduction!$B$2:$B$9923,$A114)</f>
        <v>0</v>
      </c>
      <c r="R114">
        <f>SUMIFS(AnnualProduction!S$2:S$9923,AnnualProduction!$B$2:$B$9923,$A114)</f>
        <v>0</v>
      </c>
      <c r="S114">
        <f>SUMIFS(AnnualProduction!T$2:T$9923,AnnualProduction!$B$2:$B$9923,$A114)</f>
        <v>0</v>
      </c>
      <c r="T114">
        <f>SUMIFS(AnnualProduction!U$2:U$9923,AnnualProduction!$B$2:$B$9923,$A114)</f>
        <v>0</v>
      </c>
      <c r="U114">
        <f>SUMIFS(AnnualProduction!V$2:V$9923,AnnualProduction!$B$2:$B$9923,$A114)</f>
        <v>0</v>
      </c>
      <c r="V114">
        <f>SUMIFS(AnnualProduction!W$2:W$9923,AnnualProduction!$B$2:$B$9923,$A114)</f>
        <v>0</v>
      </c>
      <c r="W114">
        <f>SUMIFS(AnnualProduction!X$2:X$9923,AnnualProduction!$B$2:$B$9923,$A114)</f>
        <v>0</v>
      </c>
      <c r="X114">
        <f>SUMIFS(AnnualProduction!Y$2:Y$9923,AnnualProduction!$B$2:$B$9923,$A114)</f>
        <v>0</v>
      </c>
      <c r="Y114">
        <f>SUMIFS(AnnualProduction!Z$2:Z$9923,AnnualProduction!$B$2:$B$9923,$A114)</f>
        <v>0</v>
      </c>
      <c r="Z114">
        <f>SUMIFS(AnnualProduction!AA$2:AA$9923,AnnualProduction!$B$2:$B$9923,$A114)</f>
        <v>0</v>
      </c>
      <c r="AA114">
        <f>SUMIFS(AnnualProduction!AB$2:AB$9923,AnnualProduction!$B$2:$B$9923,$A114)</f>
        <v>0</v>
      </c>
      <c r="AB114">
        <f>SUMIFS(AnnualProduction!AC$2:AC$9923,AnnualProduction!$B$2:$B$9923,$A114)</f>
        <v>0</v>
      </c>
      <c r="AC114">
        <f>SUMIFS(AnnualProduction!AD$2:AD$9923,AnnualProduction!$B$2:$B$9923,$A114)</f>
        <v>0</v>
      </c>
      <c r="AD114">
        <f>SUMIFS(AnnualProduction!AE$2:AE$9923,AnnualProduction!$B$2:$B$9923,$A114)</f>
        <v>0</v>
      </c>
      <c r="AE114">
        <f>SUMIFS(AnnualProduction!AF$2:AF$9923,AnnualProduction!$B$2:$B$9923,$A114)</f>
        <v>0</v>
      </c>
      <c r="AF114">
        <f>SUMIFS(AnnualProduction!AG$2:AG$9923,AnnualProduction!$B$2:$B$9923,$A114)</f>
        <v>0</v>
      </c>
      <c r="AG114">
        <f>SUMIFS(AnnualProduction!AH$2:AH$9923,AnnualProduction!$B$2:$B$9923,$A114)</f>
        <v>0</v>
      </c>
    </row>
    <row r="115" spans="1:58">
      <c r="A115" t="s">
        <v>152</v>
      </c>
      <c r="C115">
        <f>SUMIFS(AnnualProduction!D$2:D$9923,AnnualProduction!$B$2:$B$9923,$A115)</f>
        <v>3.7079999999999997</v>
      </c>
      <c r="D115">
        <f>SUMIFS(AnnualProduction!E$2:E$9923,AnnualProduction!$B$2:$B$9923,$A115)</f>
        <v>4.5722000000000005</v>
      </c>
      <c r="E115">
        <f>SUMIFS(AnnualProduction!F$2:F$9923,AnnualProduction!$B$2:$B$9923,$A115)</f>
        <v>3.7081999999999997</v>
      </c>
      <c r="F115">
        <f>SUMIFS(AnnualProduction!G$2:G$9923,AnnualProduction!$B$2:$B$9923,$A115)</f>
        <v>4.7092000000000001</v>
      </c>
      <c r="G115">
        <f>SUMIFS(AnnualProduction!H$2:H$9923,AnnualProduction!$B$2:$B$9923,$A115)</f>
        <v>4.4601999999999995</v>
      </c>
      <c r="H115">
        <f>SUMIFS(AnnualProduction!I$2:I$9923,AnnualProduction!$B$2:$B$9923,$A115)</f>
        <v>4.7092000000000001</v>
      </c>
      <c r="I115">
        <f>SUMIFS(AnnualProduction!J$2:J$9923,AnnualProduction!$B$2:$B$9923,$A115)</f>
        <v>4.7092000000000001</v>
      </c>
      <c r="J115">
        <f>SUMIFS(AnnualProduction!K$2:K$9923,AnnualProduction!$B$2:$B$9923,$A115)</f>
        <v>4.7092000000000001</v>
      </c>
      <c r="K115">
        <f>SUMIFS(AnnualProduction!L$2:L$9923,AnnualProduction!$B$2:$B$9923,$A115)</f>
        <v>4.7092000000000001</v>
      </c>
      <c r="L115">
        <f>SUMIFS(AnnualProduction!M$2:M$9923,AnnualProduction!$B$2:$B$9923,$A115)</f>
        <v>4.7092000000000001</v>
      </c>
      <c r="M115">
        <f>SUMIFS(AnnualProduction!N$2:N$9923,AnnualProduction!$B$2:$B$9923,$A115)</f>
        <v>4.5250000000000004</v>
      </c>
      <c r="N115">
        <f>SUMIFS(AnnualProduction!O$2:O$9923,AnnualProduction!$B$2:$B$9923,$A115)</f>
        <v>4.5250000000000004</v>
      </c>
      <c r="O115">
        <f>SUMIFS(AnnualProduction!P$2:P$9923,AnnualProduction!$B$2:$B$9923,$A115)</f>
        <v>4.5250000000000004</v>
      </c>
      <c r="P115">
        <f>SUMIFS(AnnualProduction!Q$2:Q$9923,AnnualProduction!$B$2:$B$9923,$A115)</f>
        <v>4.5250000000000004</v>
      </c>
      <c r="Q115">
        <f>SUMIFS(AnnualProduction!R$2:R$9923,AnnualProduction!$B$2:$B$9923,$A115)</f>
        <v>4.5250000000000004</v>
      </c>
      <c r="R115">
        <f>SUMIFS(AnnualProduction!S$2:S$9923,AnnualProduction!$B$2:$B$9923,$A115)</f>
        <v>4.5250000000000004</v>
      </c>
      <c r="S115">
        <f>SUMIFS(AnnualProduction!T$2:T$9923,AnnualProduction!$B$2:$B$9923,$A115)</f>
        <v>4.5250000000000004</v>
      </c>
      <c r="T115">
        <f>SUMIFS(AnnualProduction!U$2:U$9923,AnnualProduction!$B$2:$B$9923,$A115)</f>
        <v>4.5250000000000004</v>
      </c>
      <c r="U115">
        <f>SUMIFS(AnnualProduction!V$2:V$9923,AnnualProduction!$B$2:$B$9923,$A115)</f>
        <v>4.5250000000000004</v>
      </c>
      <c r="V115">
        <f>SUMIFS(AnnualProduction!W$2:W$9923,AnnualProduction!$B$2:$B$9923,$A115)</f>
        <v>2.8333999999999997</v>
      </c>
      <c r="W115">
        <f>SUMIFS(AnnualProduction!X$2:X$9923,AnnualProduction!$B$2:$B$9923,$A115)</f>
        <v>2.3317999999999994</v>
      </c>
      <c r="X115">
        <f>SUMIFS(AnnualProduction!Y$2:Y$9923,AnnualProduction!$B$2:$B$9923,$A115)</f>
        <v>2.3317999999999994</v>
      </c>
      <c r="Y115">
        <f>SUMIFS(AnnualProduction!Z$2:Z$9923,AnnualProduction!$B$2:$B$9923,$A115)</f>
        <v>2.3317999999999994</v>
      </c>
      <c r="Z115">
        <f>SUMIFS(AnnualProduction!AA$2:AA$9923,AnnualProduction!$B$2:$B$9923,$A115)</f>
        <v>2.3317999999999994</v>
      </c>
      <c r="AA115">
        <f>SUMIFS(AnnualProduction!AB$2:AB$9923,AnnualProduction!$B$2:$B$9923,$A115)</f>
        <v>2.3317999999999994</v>
      </c>
      <c r="AB115">
        <f>SUMIFS(AnnualProduction!AC$2:AC$9923,AnnualProduction!$B$2:$B$9923,$A115)</f>
        <v>1.0010000000000001</v>
      </c>
      <c r="AC115">
        <f>SUMIFS(AnnualProduction!AD$2:AD$9923,AnnualProduction!$B$2:$B$9923,$A115)</f>
        <v>0.13719999999999996</v>
      </c>
      <c r="AD115">
        <f>SUMIFS(AnnualProduction!AE$2:AE$9923,AnnualProduction!$B$2:$B$9923,$A115)</f>
        <v>0.13719999999999996</v>
      </c>
      <c r="AE115">
        <f>SUMIFS(AnnualProduction!AF$2:AF$9923,AnnualProduction!$B$2:$B$9923,$A115)</f>
        <v>0</v>
      </c>
      <c r="AF115">
        <f>SUMIFS(AnnualProduction!AG$2:AG$9923,AnnualProduction!$B$2:$B$9923,$A115)</f>
        <v>0</v>
      </c>
      <c r="AG115">
        <f>SUMIFS(AnnualProduction!AH$2:AH$9923,AnnualProduction!$B$2:$B$9923,$A115)</f>
        <v>0</v>
      </c>
    </row>
    <row r="116" spans="1:58">
      <c r="A116" t="s">
        <v>135</v>
      </c>
      <c r="C116">
        <f>SUMIFS(AnnualProduction!D$2:D$9923,AnnualProduction!$B$2:$B$9923,$A116)</f>
        <v>8.892199999999999</v>
      </c>
      <c r="D116">
        <f>SUMIFS(AnnualProduction!E$2:E$9923,AnnualProduction!$B$2:$B$9923,$A116)</f>
        <v>5.8180000000000005</v>
      </c>
      <c r="E116">
        <f>SUMIFS(AnnualProduction!F$2:F$9923,AnnualProduction!$B$2:$B$9923,$A116)</f>
        <v>9.0679999999999996</v>
      </c>
      <c r="F116">
        <f>SUMIFS(AnnualProduction!G$2:G$9923,AnnualProduction!$B$2:$B$9923,$A116)</f>
        <v>4.6938000000000004</v>
      </c>
      <c r="G116">
        <f>SUMIFS(AnnualProduction!H$2:H$9923,AnnualProduction!$B$2:$B$9923,$A116)</f>
        <v>4.8309999999999995</v>
      </c>
      <c r="H116">
        <f>SUMIFS(AnnualProduction!I$2:I$9923,AnnualProduction!$B$2:$B$9923,$A116)</f>
        <v>0</v>
      </c>
      <c r="I116">
        <f>SUMIFS(AnnualProduction!J$2:J$9923,AnnualProduction!$B$2:$B$9923,$A116)</f>
        <v>0</v>
      </c>
      <c r="J116">
        <f>SUMIFS(AnnualProduction!K$2:K$9923,AnnualProduction!$B$2:$B$9923,$A116)</f>
        <v>0</v>
      </c>
      <c r="K116">
        <f>SUMIFS(AnnualProduction!L$2:L$9923,AnnualProduction!$B$2:$B$9923,$A116)</f>
        <v>0</v>
      </c>
      <c r="L116">
        <f>SUMIFS(AnnualProduction!M$2:M$9923,AnnualProduction!$B$2:$B$9923,$A116)</f>
        <v>0</v>
      </c>
      <c r="M116">
        <f>SUMIFS(AnnualProduction!N$2:N$9923,AnnualProduction!$B$2:$B$9923,$A116)</f>
        <v>0</v>
      </c>
      <c r="N116">
        <f>SUMIFS(AnnualProduction!O$2:O$9923,AnnualProduction!$B$2:$B$9923,$A116)</f>
        <v>0</v>
      </c>
      <c r="O116">
        <f>SUMIFS(AnnualProduction!P$2:P$9923,AnnualProduction!$B$2:$B$9923,$A116)</f>
        <v>0</v>
      </c>
      <c r="P116">
        <f>SUMIFS(AnnualProduction!Q$2:Q$9923,AnnualProduction!$B$2:$B$9923,$A116)</f>
        <v>0</v>
      </c>
      <c r="Q116">
        <f>SUMIFS(AnnualProduction!R$2:R$9923,AnnualProduction!$B$2:$B$9923,$A116)</f>
        <v>0</v>
      </c>
      <c r="R116">
        <f>SUMIFS(AnnualProduction!S$2:S$9923,AnnualProduction!$B$2:$B$9923,$A116)</f>
        <v>0</v>
      </c>
      <c r="S116">
        <f>SUMIFS(AnnualProduction!T$2:T$9923,AnnualProduction!$B$2:$B$9923,$A116)</f>
        <v>0</v>
      </c>
      <c r="T116">
        <f>SUMIFS(AnnualProduction!U$2:U$9923,AnnualProduction!$B$2:$B$9923,$A116)</f>
        <v>0</v>
      </c>
      <c r="U116">
        <f>SUMIFS(AnnualProduction!V$2:V$9923,AnnualProduction!$B$2:$B$9923,$A116)</f>
        <v>0</v>
      </c>
      <c r="V116">
        <f>SUMIFS(AnnualProduction!W$2:W$9923,AnnualProduction!$B$2:$B$9923,$A116)</f>
        <v>0</v>
      </c>
      <c r="W116">
        <f>SUMIFS(AnnualProduction!X$2:X$9923,AnnualProduction!$B$2:$B$9923,$A116)</f>
        <v>0</v>
      </c>
      <c r="X116">
        <f>SUMIFS(AnnualProduction!Y$2:Y$9923,AnnualProduction!$B$2:$B$9923,$A116)</f>
        <v>0</v>
      </c>
      <c r="Y116">
        <f>SUMIFS(AnnualProduction!Z$2:Z$9923,AnnualProduction!$B$2:$B$9923,$A116)</f>
        <v>0</v>
      </c>
      <c r="Z116">
        <f>SUMIFS(AnnualProduction!AA$2:AA$9923,AnnualProduction!$B$2:$B$9923,$A116)</f>
        <v>0</v>
      </c>
      <c r="AA116">
        <f>SUMIFS(AnnualProduction!AB$2:AB$9923,AnnualProduction!$B$2:$B$9923,$A116)</f>
        <v>0</v>
      </c>
      <c r="AB116">
        <f>SUMIFS(AnnualProduction!AC$2:AC$9923,AnnualProduction!$B$2:$B$9923,$A116)</f>
        <v>0</v>
      </c>
      <c r="AC116">
        <f>SUMIFS(AnnualProduction!AD$2:AD$9923,AnnualProduction!$B$2:$B$9923,$A116)</f>
        <v>0</v>
      </c>
      <c r="AD116">
        <f>SUMIFS(AnnualProduction!AE$2:AE$9923,AnnualProduction!$B$2:$B$9923,$A116)</f>
        <v>0</v>
      </c>
      <c r="AE116">
        <f>SUMIFS(AnnualProduction!AF$2:AF$9923,AnnualProduction!$B$2:$B$9923,$A116)</f>
        <v>0</v>
      </c>
      <c r="AF116">
        <f>SUMIFS(AnnualProduction!AG$2:AG$9923,AnnualProduction!$B$2:$B$9923,$A116)</f>
        <v>0</v>
      </c>
      <c r="AG116">
        <f>SUMIFS(AnnualProduction!AH$2:AH$9923,AnnualProduction!$B$2:$B$9923,$A116)</f>
        <v>0</v>
      </c>
    </row>
    <row r="117" spans="1:58">
      <c r="A117" t="s">
        <v>134</v>
      </c>
      <c r="C117">
        <f>SUMIFS(AnnualProduction!D$2:D$9923,AnnualProduction!$B$2:$B$9923,$A117)</f>
        <v>70.199999999999989</v>
      </c>
      <c r="D117">
        <f>SUMIFS(AnnualProduction!E$2:E$9923,AnnualProduction!$B$2:$B$9923,$A117)</f>
        <v>68.615799999999993</v>
      </c>
      <c r="E117">
        <f>SUMIFS(AnnualProduction!F$2:F$9923,AnnualProduction!$B$2:$B$9923,$A117)</f>
        <v>64.381799999999984</v>
      </c>
      <c r="F117">
        <f>SUMIFS(AnnualProduction!G$2:G$9923,AnnualProduction!$B$2:$B$9923,$A117)</f>
        <v>60.005099999999992</v>
      </c>
      <c r="G117">
        <f>SUMIFS(AnnualProduction!H$2:H$9923,AnnualProduction!$B$2:$B$9923,$A117)</f>
        <v>64.968999999999994</v>
      </c>
      <c r="H117">
        <f>SUMIFS(AnnualProduction!I$2:I$9923,AnnualProduction!$B$2:$B$9923,$A117)</f>
        <v>1.1774</v>
      </c>
      <c r="I117">
        <f>SUMIFS(AnnualProduction!J$2:J$9923,AnnualProduction!$B$2:$B$9923,$A117)</f>
        <v>1.4883999999999999</v>
      </c>
      <c r="J117">
        <f>SUMIFS(AnnualProduction!K$2:K$9923,AnnualProduction!$B$2:$B$9923,$A117)</f>
        <v>1.7730000000000001</v>
      </c>
      <c r="K117">
        <f>SUMIFS(AnnualProduction!L$2:L$9923,AnnualProduction!$B$2:$B$9923,$A117)</f>
        <v>1.9663999999999999</v>
      </c>
      <c r="L117">
        <f>SUMIFS(AnnualProduction!M$2:M$9923,AnnualProduction!$B$2:$B$9923,$A117)</f>
        <v>6.6182000000000007</v>
      </c>
      <c r="M117">
        <f>SUMIFS(AnnualProduction!N$2:N$9923,AnnualProduction!$B$2:$B$9923,$A117)</f>
        <v>11.751200000000001</v>
      </c>
      <c r="N117">
        <f>SUMIFS(AnnualProduction!O$2:O$9923,AnnualProduction!$B$2:$B$9923,$A117)</f>
        <v>13.424999999999997</v>
      </c>
      <c r="O117">
        <f>SUMIFS(AnnualProduction!P$2:P$9923,AnnualProduction!$B$2:$B$9923,$A117)</f>
        <v>1.2662</v>
      </c>
      <c r="P117">
        <f>SUMIFS(AnnualProduction!Q$2:Q$9923,AnnualProduction!$B$2:$B$9923,$A117)</f>
        <v>1.2662</v>
      </c>
      <c r="Q117">
        <f>SUMIFS(AnnualProduction!R$2:R$9923,AnnualProduction!$B$2:$B$9923,$A117)</f>
        <v>1.2662</v>
      </c>
      <c r="R117">
        <f>SUMIFS(AnnualProduction!S$2:S$9923,AnnualProduction!$B$2:$B$9923,$A117)</f>
        <v>1.2662</v>
      </c>
      <c r="S117">
        <f>SUMIFS(AnnualProduction!T$2:T$9923,AnnualProduction!$B$2:$B$9923,$A117)</f>
        <v>1.2662</v>
      </c>
      <c r="T117">
        <f>SUMIFS(AnnualProduction!U$2:U$9923,AnnualProduction!$B$2:$B$9923,$A117)</f>
        <v>1.2662</v>
      </c>
      <c r="U117">
        <f>SUMIFS(AnnualProduction!V$2:V$9923,AnnualProduction!$B$2:$B$9923,$A117)</f>
        <v>1.2662</v>
      </c>
      <c r="V117">
        <f>SUMIFS(AnnualProduction!W$2:W$9923,AnnualProduction!$B$2:$B$9923,$A117)</f>
        <v>1.2662</v>
      </c>
      <c r="W117">
        <f>SUMIFS(AnnualProduction!X$2:X$9923,AnnualProduction!$B$2:$B$9923,$A117)</f>
        <v>1.2662</v>
      </c>
      <c r="X117">
        <f>SUMIFS(AnnualProduction!Y$2:Y$9923,AnnualProduction!$B$2:$B$9923,$A117)</f>
        <v>1.2662</v>
      </c>
      <c r="Y117">
        <f>SUMIFS(AnnualProduction!Z$2:Z$9923,AnnualProduction!$B$2:$B$9923,$A117)</f>
        <v>1.264</v>
      </c>
      <c r="Z117">
        <f>SUMIFS(AnnualProduction!AA$2:AA$9923,AnnualProduction!$B$2:$B$9923,$A117)</f>
        <v>1.3</v>
      </c>
      <c r="AA117">
        <f>SUMIFS(AnnualProduction!AB$2:AB$9923,AnnualProduction!$B$2:$B$9923,$A117)</f>
        <v>1.264</v>
      </c>
      <c r="AB117">
        <f>SUMIFS(AnnualProduction!AC$2:AC$9923,AnnualProduction!$B$2:$B$9923,$A117)</f>
        <v>1.264</v>
      </c>
      <c r="AC117">
        <f>SUMIFS(AnnualProduction!AD$2:AD$9923,AnnualProduction!$B$2:$B$9923,$A117)</f>
        <v>0</v>
      </c>
      <c r="AD117">
        <f>SUMIFS(AnnualProduction!AE$2:AE$9923,AnnualProduction!$B$2:$B$9923,$A117)</f>
        <v>0</v>
      </c>
      <c r="AE117">
        <f>SUMIFS(AnnualProduction!AF$2:AF$9923,AnnualProduction!$B$2:$B$9923,$A117)</f>
        <v>0</v>
      </c>
      <c r="AF117">
        <f>SUMIFS(AnnualProduction!AG$2:AG$9923,AnnualProduction!$B$2:$B$9923,$A117)</f>
        <v>0</v>
      </c>
      <c r="AG117">
        <f>SUMIFS(AnnualProduction!AH$2:AH$9923,AnnualProduction!$B$2:$B$9923,$A117)</f>
        <v>0</v>
      </c>
    </row>
    <row r="118" spans="1:58">
      <c r="A118" t="s">
        <v>266</v>
      </c>
      <c r="C118" s="49">
        <f>SUM(C101,C103,C104,C107:C108,C113:C115)/SUM(C101:C117)</f>
        <v>0.21249703192421368</v>
      </c>
      <c r="D118" s="49">
        <f t="shared" ref="D118:L118" si="7">SUM(D101,D103,D104,D107:D108,D113:D115)/SUM(D101:D117)</f>
        <v>0.2203875751254348</v>
      </c>
      <c r="E118" s="49">
        <f t="shared" si="7"/>
        <v>0.22134915955575185</v>
      </c>
      <c r="F118" s="49">
        <f t="shared" si="7"/>
        <v>0.2226880737076388</v>
      </c>
      <c r="G118" s="49">
        <f t="shared" si="7"/>
        <v>0.22210075102316265</v>
      </c>
      <c r="H118" s="49">
        <f t="shared" si="7"/>
        <v>0.23158225728861256</v>
      </c>
      <c r="I118" s="49">
        <f t="shared" si="7"/>
        <v>0.27743972384180426</v>
      </c>
      <c r="J118" s="49">
        <f t="shared" si="7"/>
        <v>0.31936712971075448</v>
      </c>
      <c r="K118" s="49">
        <f t="shared" si="7"/>
        <v>0.35878727557331591</v>
      </c>
      <c r="L118" s="49">
        <f t="shared" si="7"/>
        <v>0.35501304357809443</v>
      </c>
      <c r="M118" s="49">
        <f t="shared" ref="M118" si="8">SUM(M101,M103,M104,M107:M108,M113:M115)/SUM(M101:M117)</f>
        <v>0.43891450554733752</v>
      </c>
      <c r="N118" s="49">
        <f t="shared" ref="N118" si="9">SUM(N101,N103,N104,N107:N108,N113:N115)/SUM(N101:N117)</f>
        <v>0.41824793874534499</v>
      </c>
      <c r="O118" s="49">
        <f t="shared" ref="O118" si="10">SUM(O101,O103,O104,O107:O108,O113:O115)/SUM(O101:O117)</f>
        <v>0.39885238229890652</v>
      </c>
      <c r="P118" s="49">
        <f t="shared" ref="P118" si="11">SUM(P101,P103,P104,P107:P108,P113:P115)/SUM(P101:P117)</f>
        <v>0.38176977104108295</v>
      </c>
      <c r="Q118" s="49">
        <f t="shared" ref="Q118" si="12">SUM(Q101,Q103,Q104,Q107:Q108,Q113:Q115)/SUM(Q101:Q117)</f>
        <v>0.36633783722874536</v>
      </c>
      <c r="R118" s="49">
        <f t="shared" ref="R118" si="13">SUM(R101,R103,R104,R107:R108,R113:R115)/SUM(R101:R117)</f>
        <v>0.35743459098403557</v>
      </c>
      <c r="S118" s="49">
        <f t="shared" ref="S118" si="14">SUM(S101,S103,S104,S107:S108,S113:S115)/SUM(S101:S117)</f>
        <v>0.34080594032371397</v>
      </c>
      <c r="T118" s="49">
        <f t="shared" ref="T118:U118" si="15">SUM(T101,T103,T104,T107:T108,T113:T115)/SUM(T101:T117)</f>
        <v>0.32565496672249128</v>
      </c>
      <c r="U118" s="49">
        <f t="shared" si="15"/>
        <v>0.31179380747673158</v>
      </c>
      <c r="V118" s="49">
        <f t="shared" ref="V118" si="16">SUM(V101,V103,V104,V107:V108,V113:V115)/SUM(V101:V117)</f>
        <v>0.29696884399498785</v>
      </c>
      <c r="W118" s="49">
        <f t="shared" ref="W118" si="17">SUM(W101,W103,W104,W107:W108,W113:W115)/SUM(W101:W117)</f>
        <v>0.40768311423043097</v>
      </c>
      <c r="X118" s="49">
        <f t="shared" ref="X118" si="18">SUM(X101,X103,X104,X107:X108,X113:X115)/SUM(X101:X117)</f>
        <v>0.40256430434378698</v>
      </c>
      <c r="Y118" s="49">
        <f t="shared" ref="Y118" si="19">SUM(Y101,Y103,Y104,Y107:Y108,Y113:Y115)/SUM(Y101:Y117)</f>
        <v>0.39743349516566034</v>
      </c>
      <c r="Z118" s="49">
        <f t="shared" ref="Z118" si="20">SUM(Z101,Z103,Z104,Z107:Z108,Z113:Z115)/SUM(Z101:Z117)</f>
        <v>0.39271745363628802</v>
      </c>
      <c r="AA118" s="49">
        <f t="shared" ref="AA118" si="21">SUM(AA101,AA103,AA104,AA107:AA108,AA113:AA115)/SUM(AA101:AA117)</f>
        <v>0.38819187635072905</v>
      </c>
      <c r="AB118" s="49">
        <f t="shared" ref="AB118" si="22">SUM(AB101,AB103,AB104,AB107:AB108,AB113:AB115)/SUM(AB101:AB117)</f>
        <v>0.38310387705558852</v>
      </c>
      <c r="AC118" s="49">
        <f t="shared" ref="AC118:AD118" si="23">SUM(AC101,AC103,AC104,AC107:AC108,AC113:AC115)/SUM(AC101:AC117)</f>
        <v>0.3784751976405043</v>
      </c>
      <c r="AD118" s="49">
        <f t="shared" si="23"/>
        <v>0.374697993591945</v>
      </c>
      <c r="AE118" s="49">
        <f t="shared" ref="AE118" si="24">SUM(AE101,AE103,AE104,AE107:AE108,AE113:AE115)/SUM(AE101:AE117)</f>
        <v>0.37790957315530471</v>
      </c>
      <c r="AF118" s="49">
        <f t="shared" ref="AF118" si="25">SUM(AF101,AF103,AF104,AF107:AF108,AF113:AF115)/SUM(AF101:AF117)</f>
        <v>0.36783304459905491</v>
      </c>
      <c r="AG118" s="49">
        <f t="shared" ref="AG118" si="26">SUM(AG101,AG103,AG104,AG107:AG108,AG113:AG115)/SUM(AG101:AG117)</f>
        <v>0.39200168841041488</v>
      </c>
    </row>
    <row r="119" spans="1:58">
      <c r="A119" s="33" t="s">
        <v>225</v>
      </c>
      <c r="W119"/>
    </row>
    <row r="120" spans="1:58">
      <c r="A120" t="s">
        <v>223</v>
      </c>
      <c r="B120" t="s">
        <v>80</v>
      </c>
      <c r="C120">
        <v>3.0333428869999999</v>
      </c>
      <c r="D120">
        <v>3.0452851820000002</v>
      </c>
      <c r="E120">
        <v>3.0572274770000001</v>
      </c>
      <c r="F120">
        <v>3.069169772</v>
      </c>
      <c r="G120">
        <v>3.0811120660000002</v>
      </c>
      <c r="H120">
        <v>3.0930543610000001</v>
      </c>
      <c r="I120">
        <v>3.104996656</v>
      </c>
      <c r="J120">
        <v>3.1169389509999998</v>
      </c>
      <c r="K120">
        <v>3.1288812460000002</v>
      </c>
      <c r="L120">
        <v>3.1408235410000001</v>
      </c>
      <c r="M120">
        <v>3.1527658349999998</v>
      </c>
      <c r="N120">
        <v>3.190981179</v>
      </c>
      <c r="O120">
        <v>3.2291965220000001</v>
      </c>
      <c r="P120">
        <v>3.2674118660000002</v>
      </c>
      <c r="Q120">
        <v>3.3056272089999998</v>
      </c>
      <c r="R120">
        <v>3.343842553</v>
      </c>
      <c r="S120">
        <v>3.3820578960000001</v>
      </c>
      <c r="T120">
        <v>3.4202732400000002</v>
      </c>
      <c r="U120">
        <v>3.4584885829999998</v>
      </c>
      <c r="V120">
        <v>3.496703927</v>
      </c>
      <c r="W120">
        <v>3.5349192700000001</v>
      </c>
      <c r="X120">
        <v>3.5420846469999998</v>
      </c>
      <c r="Y120">
        <v>3.549250024</v>
      </c>
      <c r="Z120">
        <v>3.5564154010000002</v>
      </c>
      <c r="AA120">
        <v>3.5635807779999999</v>
      </c>
      <c r="AB120">
        <v>3.5707461550000001</v>
      </c>
      <c r="AC120">
        <v>3.5779115309999998</v>
      </c>
      <c r="AD120">
        <v>3.585076908</v>
      </c>
      <c r="AE120">
        <v>3.5922422850000002</v>
      </c>
      <c r="AF120">
        <v>3.599407662</v>
      </c>
      <c r="AG120">
        <v>3.6065730390000001</v>
      </c>
    </row>
    <row r="121" spans="1:58">
      <c r="A121" t="s">
        <v>79</v>
      </c>
      <c r="B121" t="s">
        <v>80</v>
      </c>
      <c r="C121">
        <v>13.950988819999999</v>
      </c>
      <c r="D121">
        <v>14.184818959999999</v>
      </c>
      <c r="E121">
        <v>14.418649090000001</v>
      </c>
      <c r="F121">
        <v>14.65247922</v>
      </c>
      <c r="G121">
        <v>14.886309349999999</v>
      </c>
      <c r="H121">
        <v>15.12013949</v>
      </c>
      <c r="I121">
        <v>15.353969620000001</v>
      </c>
      <c r="J121">
        <v>15.587799759999999</v>
      </c>
      <c r="K121">
        <v>15.82162988</v>
      </c>
      <c r="L121">
        <v>16.055460010000001</v>
      </c>
      <c r="M121">
        <v>16.289290149999999</v>
      </c>
      <c r="N121">
        <v>16.643976309999999</v>
      </c>
      <c r="O121">
        <v>16.998662459999998</v>
      </c>
      <c r="P121">
        <v>17.353348619999998</v>
      </c>
      <c r="Q121">
        <v>17.708034770000001</v>
      </c>
      <c r="R121">
        <v>18.062720930000001</v>
      </c>
      <c r="S121">
        <v>18.417407090000001</v>
      </c>
      <c r="T121">
        <v>18.77209324</v>
      </c>
      <c r="U121">
        <v>19.1267794</v>
      </c>
      <c r="V121">
        <v>19.481465549999999</v>
      </c>
      <c r="W121">
        <v>19.83615172</v>
      </c>
      <c r="X121">
        <v>19.9859081</v>
      </c>
      <c r="Y121">
        <v>20.135664469999998</v>
      </c>
      <c r="Z121">
        <v>20.285420850000001</v>
      </c>
      <c r="AA121">
        <v>20.43517722</v>
      </c>
      <c r="AB121">
        <v>20.584933599999999</v>
      </c>
      <c r="AC121">
        <v>20.734689979999999</v>
      </c>
      <c r="AD121">
        <v>20.884446350000001</v>
      </c>
      <c r="AE121">
        <v>21.034202730000001</v>
      </c>
      <c r="AF121">
        <v>21.183959120000001</v>
      </c>
      <c r="AG121">
        <v>21.333715489999999</v>
      </c>
    </row>
    <row r="122" spans="1:58">
      <c r="A122" t="s">
        <v>81</v>
      </c>
      <c r="B122" t="s">
        <v>80</v>
      </c>
      <c r="C122">
        <v>9.9837584790000005</v>
      </c>
      <c r="D122">
        <v>10.021973819999999</v>
      </c>
      <c r="E122">
        <v>10.060189169999999</v>
      </c>
      <c r="F122">
        <v>10.09840451</v>
      </c>
      <c r="G122">
        <v>10.136619850000001</v>
      </c>
      <c r="H122">
        <v>10.1748352</v>
      </c>
      <c r="I122">
        <v>10.213050539999999</v>
      </c>
      <c r="J122">
        <v>10.25126588</v>
      </c>
      <c r="K122">
        <v>10.28948123</v>
      </c>
      <c r="L122">
        <v>10.327696570000001</v>
      </c>
      <c r="M122">
        <v>10.365911909999999</v>
      </c>
      <c r="N122">
        <v>10.4017388</v>
      </c>
      <c r="O122">
        <v>10.437565680000001</v>
      </c>
      <c r="P122">
        <v>10.47339257</v>
      </c>
      <c r="Q122">
        <v>10.50921945</v>
      </c>
      <c r="R122">
        <v>10.545046340000001</v>
      </c>
      <c r="S122">
        <v>10.580873220000001</v>
      </c>
      <c r="T122">
        <v>10.61670011</v>
      </c>
      <c r="U122">
        <v>10.65252699</v>
      </c>
      <c r="V122">
        <v>10.68835387</v>
      </c>
      <c r="W122">
        <v>10.724180759999999</v>
      </c>
      <c r="X122">
        <v>10.72656922</v>
      </c>
      <c r="Y122">
        <v>10.728957680000001</v>
      </c>
      <c r="Z122">
        <v>10.731346139999999</v>
      </c>
      <c r="AA122">
        <v>10.733734589999999</v>
      </c>
      <c r="AB122">
        <v>10.73612305</v>
      </c>
      <c r="AC122">
        <v>10.73851151</v>
      </c>
      <c r="AD122">
        <v>10.740899969999999</v>
      </c>
      <c r="AE122">
        <v>10.74328843</v>
      </c>
      <c r="AF122">
        <v>10.74567689</v>
      </c>
      <c r="AG122">
        <v>10.748065349999999</v>
      </c>
    </row>
    <row r="123" spans="1:58">
      <c r="A123" t="s">
        <v>82</v>
      </c>
      <c r="B123" t="s">
        <v>80</v>
      </c>
      <c r="C123">
        <v>16</v>
      </c>
      <c r="D123">
        <v>16</v>
      </c>
      <c r="E123">
        <v>16</v>
      </c>
      <c r="F123">
        <v>16</v>
      </c>
      <c r="G123">
        <v>16</v>
      </c>
      <c r="H123">
        <v>16</v>
      </c>
      <c r="I123">
        <v>16</v>
      </c>
      <c r="J123">
        <v>16</v>
      </c>
      <c r="K123">
        <v>16</v>
      </c>
      <c r="L123">
        <v>16</v>
      </c>
      <c r="M123">
        <v>16</v>
      </c>
      <c r="N123">
        <v>16</v>
      </c>
      <c r="O123">
        <v>16</v>
      </c>
      <c r="P123">
        <v>16</v>
      </c>
      <c r="Q123">
        <v>16</v>
      </c>
      <c r="R123">
        <v>16</v>
      </c>
      <c r="S123">
        <v>16</v>
      </c>
      <c r="T123">
        <v>16</v>
      </c>
      <c r="U123">
        <v>16</v>
      </c>
      <c r="V123">
        <v>16</v>
      </c>
      <c r="W123">
        <v>16</v>
      </c>
      <c r="X123">
        <v>16</v>
      </c>
      <c r="Y123">
        <v>16</v>
      </c>
      <c r="Z123">
        <v>16</v>
      </c>
      <c r="AA123">
        <v>16</v>
      </c>
      <c r="AB123">
        <v>16</v>
      </c>
      <c r="AC123">
        <v>16</v>
      </c>
      <c r="AD123">
        <v>16</v>
      </c>
      <c r="AE123">
        <v>16</v>
      </c>
      <c r="AF123">
        <v>16</v>
      </c>
      <c r="AG123">
        <v>16</v>
      </c>
    </row>
    <row r="124" spans="1:58">
      <c r="A124" t="s">
        <v>265</v>
      </c>
      <c r="B124" t="s">
        <v>80</v>
      </c>
      <c r="C124" s="45">
        <v>0.48099999999999998</v>
      </c>
      <c r="D124" s="45">
        <v>0.48099999999999998</v>
      </c>
      <c r="E124" s="45">
        <v>0.48099999999999998</v>
      </c>
      <c r="F124" s="45">
        <v>0.48099999999999998</v>
      </c>
      <c r="G124" s="45">
        <v>0.48099999999999998</v>
      </c>
      <c r="H124" s="45">
        <v>0.48099999999999998</v>
      </c>
      <c r="I124" s="45">
        <v>0.50039999999999996</v>
      </c>
      <c r="J124" s="45">
        <v>0.51979999999999993</v>
      </c>
      <c r="K124" s="45">
        <v>0.5391999999999999</v>
      </c>
      <c r="L124" s="45">
        <v>0.55859999999999999</v>
      </c>
      <c r="M124" s="45">
        <v>0.57799999999999996</v>
      </c>
      <c r="N124" s="45">
        <v>0.57329999999999992</v>
      </c>
      <c r="O124" s="45">
        <v>0.56859999999999988</v>
      </c>
      <c r="P124" s="45">
        <v>0.56389999999999985</v>
      </c>
      <c r="Q124" s="45">
        <v>0.55919999999999992</v>
      </c>
      <c r="R124" s="45">
        <v>0.55449999999999999</v>
      </c>
      <c r="S124" s="45">
        <v>0.54979999999999996</v>
      </c>
      <c r="T124" s="45">
        <v>0.54509999999999992</v>
      </c>
      <c r="U124" s="45">
        <v>0.54039999999999999</v>
      </c>
      <c r="V124" s="45">
        <v>0.53570000000000007</v>
      </c>
      <c r="W124" s="45">
        <v>0.53100000000000003</v>
      </c>
      <c r="X124" s="45">
        <v>0.54349999999999998</v>
      </c>
      <c r="Y124" s="45">
        <v>0.55599999999999994</v>
      </c>
      <c r="Z124" s="45">
        <v>0.56850000000000001</v>
      </c>
      <c r="AA124" s="45">
        <v>0.58099999999999996</v>
      </c>
      <c r="AB124" s="45">
        <v>0.59349999999999992</v>
      </c>
      <c r="AC124" s="45">
        <v>0.60599999999999998</v>
      </c>
      <c r="AD124" s="45">
        <v>0.61850000000000005</v>
      </c>
      <c r="AE124" s="45">
        <v>0.63100000000000001</v>
      </c>
      <c r="AF124" s="45">
        <v>0.64349999999999996</v>
      </c>
      <c r="AG124" s="45">
        <v>0.65600000000000003</v>
      </c>
      <c r="AH124" s="45">
        <v>0.65600000000000003</v>
      </c>
      <c r="AI124" s="45">
        <v>0.65600000000000003</v>
      </c>
      <c r="AJ124" s="45">
        <v>0.65600000000000003</v>
      </c>
    </row>
    <row r="125" spans="1:58">
      <c r="W125"/>
    </row>
    <row r="126" spans="1:58">
      <c r="W126"/>
    </row>
    <row r="127" spans="1:58" ht="15" thickBot="1">
      <c r="W127"/>
    </row>
    <row r="128" spans="1:58" ht="15" thickBot="1">
      <c r="A128" s="3" t="s">
        <v>26</v>
      </c>
      <c r="C128" s="22">
        <v>2020</v>
      </c>
      <c r="D128" s="22">
        <v>2021</v>
      </c>
      <c r="E128" s="22">
        <v>2022</v>
      </c>
      <c r="F128" s="22">
        <v>2023</v>
      </c>
      <c r="G128" s="22">
        <v>2024</v>
      </c>
      <c r="H128" s="22">
        <v>2025</v>
      </c>
      <c r="I128" s="22">
        <v>2026</v>
      </c>
      <c r="J128" s="22">
        <v>2027</v>
      </c>
      <c r="K128" s="22">
        <v>2028</v>
      </c>
      <c r="L128" s="22">
        <v>2029</v>
      </c>
      <c r="M128" s="22">
        <v>2030</v>
      </c>
      <c r="N128" s="22">
        <v>2031</v>
      </c>
      <c r="O128" s="22">
        <v>2032</v>
      </c>
      <c r="P128" s="22">
        <v>2033</v>
      </c>
      <c r="Q128" s="22">
        <v>2034</v>
      </c>
      <c r="R128" s="22">
        <v>2035</v>
      </c>
      <c r="S128" s="22">
        <v>2036</v>
      </c>
      <c r="T128" s="22">
        <v>2037</v>
      </c>
      <c r="U128" s="22">
        <v>2038</v>
      </c>
      <c r="V128" s="22">
        <v>2039</v>
      </c>
      <c r="W128" s="22">
        <v>2040</v>
      </c>
      <c r="X128" s="22">
        <v>2041</v>
      </c>
      <c r="Y128" s="22">
        <v>2042</v>
      </c>
      <c r="Z128" s="22">
        <v>2043</v>
      </c>
      <c r="AA128" s="22">
        <v>2044</v>
      </c>
      <c r="AB128" s="22">
        <v>2045</v>
      </c>
      <c r="AC128" s="22">
        <v>2046</v>
      </c>
      <c r="AD128" s="22">
        <v>2047</v>
      </c>
      <c r="AE128" s="22">
        <v>2048</v>
      </c>
      <c r="AF128" s="22">
        <v>2049</v>
      </c>
      <c r="AG128" s="22">
        <v>2050</v>
      </c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33">
      <c r="A129" t="s">
        <v>132</v>
      </c>
      <c r="C129">
        <f>SUMIFS('New Capacity'!C$2:C$10000,'New Capacity'!$B$2:$B$10000,$A129)</f>
        <v>0</v>
      </c>
      <c r="D129">
        <f>SUMIFS('New Capacity'!D$2:D$10000,'New Capacity'!$B$2:$B$10000,$A129)</f>
        <v>0</v>
      </c>
      <c r="E129">
        <f>SUMIFS('New Capacity'!E$2:E$10000,'New Capacity'!$B$2:$B$10000,$A129)</f>
        <v>8.2000000000000003E-2</v>
      </c>
      <c r="F129">
        <f>SUMIFS('New Capacity'!F$2:F$10000,'New Capacity'!$B$2:$B$10000,$A129)</f>
        <v>6.0000000000000001E-3</v>
      </c>
      <c r="G129">
        <f>SUMIFS('New Capacity'!G$2:G$10000,'New Capacity'!$B$2:$B$10000,$A129)</f>
        <v>9.9000000000000008E-3</v>
      </c>
      <c r="H129">
        <f>SUMIFS('New Capacity'!H$2:H$10000,'New Capacity'!$B$2:$B$10000,$A129)</f>
        <v>0</v>
      </c>
      <c r="I129">
        <f>SUMIFS('New Capacity'!I$2:I$10000,'New Capacity'!$B$2:$B$10000,$A129)</f>
        <v>0</v>
      </c>
      <c r="J129">
        <f>SUMIFS('New Capacity'!J$2:J$10000,'New Capacity'!$B$2:$B$10000,$A129)</f>
        <v>0</v>
      </c>
      <c r="K129">
        <f>SUMIFS('New Capacity'!K$2:K$10000,'New Capacity'!$B$2:$B$10000,$A129)</f>
        <v>0</v>
      </c>
      <c r="L129">
        <f>SUMIFS('New Capacity'!L$2:L$10000,'New Capacity'!$B$2:$B$10000,$A129)</f>
        <v>0</v>
      </c>
      <c r="M129">
        <f>SUMIFS('New Capacity'!M$2:M$10000,'New Capacity'!$B$2:$B$10000,$A129)</f>
        <v>0</v>
      </c>
      <c r="N129">
        <f>SUMIFS('New Capacity'!N$2:N$10000,'New Capacity'!$B$2:$B$10000,$A129)</f>
        <v>0</v>
      </c>
      <c r="O129">
        <f>SUMIFS('New Capacity'!O$2:O$10000,'New Capacity'!$B$2:$B$10000,$A129)</f>
        <v>0</v>
      </c>
      <c r="P129">
        <f>SUMIFS('New Capacity'!P$2:P$10000,'New Capacity'!$B$2:$B$10000,$A129)</f>
        <v>0</v>
      </c>
      <c r="Q129">
        <f>SUMIFS('New Capacity'!Q$2:Q$10000,'New Capacity'!$B$2:$B$10000,$A129)</f>
        <v>0</v>
      </c>
      <c r="R129">
        <f>SUMIFS('New Capacity'!R$2:R$10000,'New Capacity'!$B$2:$B$10000,$A129)</f>
        <v>0</v>
      </c>
      <c r="S129">
        <f>SUMIFS('New Capacity'!S$2:S$10000,'New Capacity'!$B$2:$B$10000,$A129)</f>
        <v>0</v>
      </c>
      <c r="T129">
        <f>SUMIFS('New Capacity'!T$2:T$10000,'New Capacity'!$B$2:$B$10000,$A129)</f>
        <v>0</v>
      </c>
      <c r="U129">
        <f>SUMIFS('New Capacity'!U$2:U$10000,'New Capacity'!$B$2:$B$10000,$A129)</f>
        <v>0</v>
      </c>
      <c r="V129">
        <f>SUMIFS('New Capacity'!V$2:V$10000,'New Capacity'!$B$2:$B$10000,$A129)</f>
        <v>0</v>
      </c>
      <c r="W129">
        <f>SUMIFS('New Capacity'!W$2:W$10000,'New Capacity'!$B$2:$B$10000,$A129)</f>
        <v>0</v>
      </c>
      <c r="X129">
        <f>SUMIFS('New Capacity'!X$2:X$10000,'New Capacity'!$B$2:$B$10000,$A129)</f>
        <v>0</v>
      </c>
      <c r="Y129">
        <f>SUMIFS('New Capacity'!Y$2:Y$10000,'New Capacity'!$B$2:$B$10000,$A129)</f>
        <v>0</v>
      </c>
      <c r="Z129">
        <f>SUMIFS('New Capacity'!Z$2:Z$10000,'New Capacity'!$B$2:$B$10000,$A129)</f>
        <v>0</v>
      </c>
      <c r="AA129">
        <f>SUMIFS('New Capacity'!AA$2:AA$10000,'New Capacity'!$B$2:$B$10000,$A129)</f>
        <v>0</v>
      </c>
      <c r="AB129">
        <f>SUMIFS('New Capacity'!AB$2:AB$10000,'New Capacity'!$B$2:$B$10000,$A129)</f>
        <v>0</v>
      </c>
      <c r="AC129">
        <f>SUMIFS('New Capacity'!AC$2:AC$10000,'New Capacity'!$B$2:$B$10000,$A129)</f>
        <v>0</v>
      </c>
      <c r="AD129">
        <f>SUMIFS('New Capacity'!AD$2:AD$10000,'New Capacity'!$B$2:$B$10000,$A129)</f>
        <v>0</v>
      </c>
      <c r="AE129">
        <f>SUMIFS('New Capacity'!AE$2:AE$10000,'New Capacity'!$B$2:$B$10000,$A129)</f>
        <v>0</v>
      </c>
      <c r="AF129">
        <f>SUMIFS('New Capacity'!AF$2:AF$10000,'New Capacity'!$B$2:$B$10000,$A129)</f>
        <v>0</v>
      </c>
      <c r="AG129">
        <f>SUMIFS('New Capacity'!AG$2:AG$10000,'New Capacity'!$B$2:$B$10000,$A129)</f>
        <v>0</v>
      </c>
    </row>
    <row r="130" spans="1:33">
      <c r="A130" t="s">
        <v>133</v>
      </c>
      <c r="C130">
        <f>SUMIFS('New Capacity'!C$2:C$10000,'New Capacity'!$B$2:$B$10000,$A130)</f>
        <v>0</v>
      </c>
      <c r="D130">
        <f>SUMIFS('New Capacity'!D$2:D$10000,'New Capacity'!$B$2:$B$10000,$A130)</f>
        <v>0</v>
      </c>
      <c r="E130">
        <f>SUMIFS('New Capacity'!E$2:E$10000,'New Capacity'!$B$2:$B$10000,$A130)</f>
        <v>0</v>
      </c>
      <c r="F130">
        <f>SUMIFS('New Capacity'!F$2:F$10000,'New Capacity'!$B$2:$B$10000,$A130)</f>
        <v>0</v>
      </c>
      <c r="G130">
        <f>SUMIFS('New Capacity'!G$2:G$10000,'New Capacity'!$B$2:$B$10000,$A130)</f>
        <v>0</v>
      </c>
      <c r="H130">
        <f>SUMIFS('New Capacity'!H$2:H$10000,'New Capacity'!$B$2:$B$10000,$A130)</f>
        <v>0</v>
      </c>
      <c r="I130">
        <f>SUMIFS('New Capacity'!I$2:I$10000,'New Capacity'!$B$2:$B$10000,$A130)</f>
        <v>0</v>
      </c>
      <c r="J130">
        <f>SUMIFS('New Capacity'!J$2:J$10000,'New Capacity'!$B$2:$B$10000,$A130)</f>
        <v>0</v>
      </c>
      <c r="K130">
        <f>SUMIFS('New Capacity'!K$2:K$10000,'New Capacity'!$B$2:$B$10000,$A130)</f>
        <v>0</v>
      </c>
      <c r="L130">
        <f>SUMIFS('New Capacity'!L$2:L$10000,'New Capacity'!$B$2:$B$10000,$A130)</f>
        <v>0</v>
      </c>
      <c r="M130">
        <f>SUMIFS('New Capacity'!M$2:M$10000,'New Capacity'!$B$2:$B$10000,$A130)</f>
        <v>0</v>
      </c>
      <c r="N130">
        <f>SUMIFS('New Capacity'!N$2:N$10000,'New Capacity'!$B$2:$B$10000,$A130)</f>
        <v>0</v>
      </c>
      <c r="O130">
        <f>SUMIFS('New Capacity'!O$2:O$10000,'New Capacity'!$B$2:$B$10000,$A130)</f>
        <v>0</v>
      </c>
      <c r="P130">
        <f>SUMIFS('New Capacity'!P$2:P$10000,'New Capacity'!$B$2:$B$10000,$A130)</f>
        <v>0</v>
      </c>
      <c r="Q130">
        <f>SUMIFS('New Capacity'!Q$2:Q$10000,'New Capacity'!$B$2:$B$10000,$A130)</f>
        <v>0</v>
      </c>
      <c r="R130">
        <f>SUMIFS('New Capacity'!R$2:R$10000,'New Capacity'!$B$2:$B$10000,$A130)</f>
        <v>0</v>
      </c>
      <c r="S130">
        <f>SUMIFS('New Capacity'!S$2:S$10000,'New Capacity'!$B$2:$B$10000,$A130)</f>
        <v>0</v>
      </c>
      <c r="T130">
        <f>SUMIFS('New Capacity'!T$2:T$10000,'New Capacity'!$B$2:$B$10000,$A130)</f>
        <v>0</v>
      </c>
      <c r="U130">
        <f>SUMIFS('New Capacity'!U$2:U$10000,'New Capacity'!$B$2:$B$10000,$A130)</f>
        <v>0</v>
      </c>
      <c r="V130">
        <f>SUMIFS('New Capacity'!V$2:V$10000,'New Capacity'!$B$2:$B$10000,$A130)</f>
        <v>0</v>
      </c>
      <c r="W130">
        <f>SUMIFS('New Capacity'!W$2:W$10000,'New Capacity'!$B$2:$B$10000,$A130)</f>
        <v>0</v>
      </c>
      <c r="X130">
        <f>SUMIFS('New Capacity'!X$2:X$10000,'New Capacity'!$B$2:$B$10000,$A130)</f>
        <v>0</v>
      </c>
      <c r="Y130">
        <f>SUMIFS('New Capacity'!Y$2:Y$10000,'New Capacity'!$B$2:$B$10000,$A130)</f>
        <v>0</v>
      </c>
      <c r="Z130">
        <f>SUMIFS('New Capacity'!Z$2:Z$10000,'New Capacity'!$B$2:$B$10000,$A130)</f>
        <v>0</v>
      </c>
      <c r="AA130">
        <f>SUMIFS('New Capacity'!AA$2:AA$10000,'New Capacity'!$B$2:$B$10000,$A130)</f>
        <v>0</v>
      </c>
      <c r="AB130">
        <f>SUMIFS('New Capacity'!AB$2:AB$10000,'New Capacity'!$B$2:$B$10000,$A130)</f>
        <v>0</v>
      </c>
      <c r="AC130">
        <f>SUMIFS('New Capacity'!AC$2:AC$10000,'New Capacity'!$B$2:$B$10000,$A130)</f>
        <v>0</v>
      </c>
      <c r="AD130">
        <f>SUMIFS('New Capacity'!AD$2:AD$10000,'New Capacity'!$B$2:$B$10000,$A130)</f>
        <v>0</v>
      </c>
      <c r="AE130">
        <f>SUMIFS('New Capacity'!AE$2:AE$10000,'New Capacity'!$B$2:$B$10000,$A130)</f>
        <v>0</v>
      </c>
      <c r="AF130">
        <f>SUMIFS('New Capacity'!AF$2:AF$10000,'New Capacity'!$B$2:$B$10000,$A130)</f>
        <v>0</v>
      </c>
      <c r="AG130">
        <f>SUMIFS('New Capacity'!AG$2:AG$10000,'New Capacity'!$B$2:$B$10000,$A130)</f>
        <v>0</v>
      </c>
    </row>
    <row r="131" spans="1:33">
      <c r="A131" t="s">
        <v>138</v>
      </c>
      <c r="C131">
        <f>SUMIFS('New Capacity'!C$2:C$10000,'New Capacity'!$B$2:$B$10000,$A131)</f>
        <v>0</v>
      </c>
      <c r="D131">
        <f>SUMIFS('New Capacity'!D$2:D$10000,'New Capacity'!$B$2:$B$10000,$A131)</f>
        <v>0</v>
      </c>
      <c r="E131">
        <f>SUMIFS('New Capacity'!E$2:E$10000,'New Capacity'!$B$2:$B$10000,$A131)</f>
        <v>3.7000000000000002E-3</v>
      </c>
      <c r="F131">
        <f>SUMIFS('New Capacity'!F$2:F$10000,'New Capacity'!$B$2:$B$10000,$A131)</f>
        <v>0.28110000000000002</v>
      </c>
      <c r="G131">
        <f>SUMIFS('New Capacity'!G$2:G$10000,'New Capacity'!$B$2:$B$10000,$A131)</f>
        <v>6.7000000000000002E-3</v>
      </c>
      <c r="H131">
        <f>SUMIFS('New Capacity'!H$2:H$10000,'New Capacity'!$B$2:$B$10000,$A131)</f>
        <v>3.5700000000000003E-2</v>
      </c>
      <c r="I131">
        <f>SUMIFS('New Capacity'!I$2:I$10000,'New Capacity'!$B$2:$B$10000,$A131)</f>
        <v>0.83379999999999999</v>
      </c>
      <c r="J131">
        <f>SUMIFS('New Capacity'!J$2:J$10000,'New Capacity'!$B$2:$B$10000,$A131)</f>
        <v>0.83979999999999999</v>
      </c>
      <c r="K131">
        <f>SUMIFS('New Capacity'!K$2:K$10000,'New Capacity'!$B$2:$B$10000,$A131)</f>
        <v>0.86050000000000004</v>
      </c>
      <c r="L131">
        <f>SUMIFS('New Capacity'!L$2:L$10000,'New Capacity'!$B$2:$B$10000,$A131)</f>
        <v>0.19400000000000001</v>
      </c>
      <c r="M131">
        <f>SUMIFS('New Capacity'!M$2:M$10000,'New Capacity'!$B$2:$B$10000,$A131)</f>
        <v>0</v>
      </c>
      <c r="N131">
        <f>SUMIFS('New Capacity'!N$2:N$10000,'New Capacity'!$B$2:$B$10000,$A131)</f>
        <v>0</v>
      </c>
      <c r="O131">
        <f>SUMIFS('New Capacity'!O$2:O$10000,'New Capacity'!$B$2:$B$10000,$A131)</f>
        <v>0</v>
      </c>
      <c r="P131">
        <f>SUMIFS('New Capacity'!P$2:P$10000,'New Capacity'!$B$2:$B$10000,$A131)</f>
        <v>0.14000000000000001</v>
      </c>
      <c r="Q131">
        <f>SUMIFS('New Capacity'!Q$2:Q$10000,'New Capacity'!$B$2:$B$10000,$A131)</f>
        <v>0</v>
      </c>
      <c r="R131">
        <f>SUMIFS('New Capacity'!R$2:R$10000,'New Capacity'!$B$2:$B$10000,$A131)</f>
        <v>0</v>
      </c>
      <c r="S131">
        <f>SUMIFS('New Capacity'!S$2:S$10000,'New Capacity'!$B$2:$B$10000,$A131)</f>
        <v>0.1085</v>
      </c>
      <c r="T131">
        <f>SUMIFS('New Capacity'!T$2:T$10000,'New Capacity'!$B$2:$B$10000,$A131)</f>
        <v>0.61019999999999996</v>
      </c>
      <c r="U131">
        <f>SUMIFS('New Capacity'!U$2:U$10000,'New Capacity'!$B$2:$B$10000,$A131)</f>
        <v>0</v>
      </c>
      <c r="V131">
        <f>SUMIFS('New Capacity'!V$2:V$10000,'New Capacity'!$B$2:$B$10000,$A131)</f>
        <v>0</v>
      </c>
      <c r="W131">
        <f>SUMIFS('New Capacity'!W$2:W$10000,'New Capacity'!$B$2:$B$10000,$A131)</f>
        <v>0</v>
      </c>
      <c r="X131">
        <f>SUMIFS('New Capacity'!X$2:X$10000,'New Capacity'!$B$2:$B$10000,$A131)</f>
        <v>0</v>
      </c>
      <c r="Y131">
        <f>SUMIFS('New Capacity'!Y$2:Y$10000,'New Capacity'!$B$2:$B$10000,$A131)</f>
        <v>0</v>
      </c>
      <c r="Z131">
        <f>SUMIFS('New Capacity'!Z$2:Z$10000,'New Capacity'!$B$2:$B$10000,$A131)</f>
        <v>0</v>
      </c>
      <c r="AA131">
        <f>SUMIFS('New Capacity'!AA$2:AA$10000,'New Capacity'!$B$2:$B$10000,$A131)</f>
        <v>0</v>
      </c>
      <c r="AB131">
        <f>SUMIFS('New Capacity'!AB$2:AB$10000,'New Capacity'!$B$2:$B$10000,$A131)</f>
        <v>0</v>
      </c>
      <c r="AC131">
        <f>SUMIFS('New Capacity'!AC$2:AC$10000,'New Capacity'!$B$2:$B$10000,$A131)</f>
        <v>0</v>
      </c>
      <c r="AD131">
        <f>SUMIFS('New Capacity'!AD$2:AD$10000,'New Capacity'!$B$2:$B$10000,$A131)</f>
        <v>0</v>
      </c>
      <c r="AE131">
        <f>SUMIFS('New Capacity'!AE$2:AE$10000,'New Capacity'!$B$2:$B$10000,$A131)</f>
        <v>0</v>
      </c>
      <c r="AF131">
        <f>SUMIFS('New Capacity'!AF$2:AF$10000,'New Capacity'!$B$2:$B$10000,$A131)</f>
        <v>0</v>
      </c>
      <c r="AG131">
        <f>SUMIFS('New Capacity'!AG$2:AG$10000,'New Capacity'!$B$2:$B$10000,$A131)</f>
        <v>4.5999999999999999E-3</v>
      </c>
    </row>
    <row r="132" spans="1:33">
      <c r="A132" t="s">
        <v>141</v>
      </c>
      <c r="C132">
        <f>SUMIFS('New Capacity'!C$2:C$10000,'New Capacity'!$B$2:$B$10000,$A132)</f>
        <v>0</v>
      </c>
      <c r="D132">
        <f>SUMIFS('New Capacity'!D$2:D$10000,'New Capacity'!$B$2:$B$10000,$A132)</f>
        <v>0</v>
      </c>
      <c r="E132">
        <f>SUMIFS('New Capacity'!E$2:E$10000,'New Capacity'!$B$2:$B$10000,$A132)</f>
        <v>0</v>
      </c>
      <c r="F132">
        <f>SUMIFS('New Capacity'!F$2:F$10000,'New Capacity'!$B$2:$B$10000,$A132)</f>
        <v>0</v>
      </c>
      <c r="G132">
        <f>SUMIFS('New Capacity'!G$2:G$10000,'New Capacity'!$B$2:$B$10000,$A132)</f>
        <v>0</v>
      </c>
      <c r="H132">
        <f>SUMIFS('New Capacity'!H$2:H$10000,'New Capacity'!$B$2:$B$10000,$A132)</f>
        <v>0</v>
      </c>
      <c r="I132">
        <f>SUMIFS('New Capacity'!I$2:I$10000,'New Capacity'!$B$2:$B$10000,$A132)</f>
        <v>0</v>
      </c>
      <c r="J132">
        <f>SUMIFS('New Capacity'!J$2:J$10000,'New Capacity'!$B$2:$B$10000,$A132)</f>
        <v>0</v>
      </c>
      <c r="K132">
        <f>SUMIFS('New Capacity'!K$2:K$10000,'New Capacity'!$B$2:$B$10000,$A132)</f>
        <v>0</v>
      </c>
      <c r="L132">
        <f>SUMIFS('New Capacity'!L$2:L$10000,'New Capacity'!$B$2:$B$10000,$A132)</f>
        <v>0</v>
      </c>
      <c r="M132">
        <f>SUMIFS('New Capacity'!M$2:M$10000,'New Capacity'!$B$2:$B$10000,$A132)</f>
        <v>0</v>
      </c>
      <c r="N132">
        <f>SUMIFS('New Capacity'!N$2:N$10000,'New Capacity'!$B$2:$B$10000,$A132)</f>
        <v>0</v>
      </c>
      <c r="O132">
        <f>SUMIFS('New Capacity'!O$2:O$10000,'New Capacity'!$B$2:$B$10000,$A132)</f>
        <v>0</v>
      </c>
      <c r="P132">
        <f>SUMIFS('New Capacity'!P$2:P$10000,'New Capacity'!$B$2:$B$10000,$A132)</f>
        <v>0</v>
      </c>
      <c r="Q132">
        <f>SUMIFS('New Capacity'!Q$2:Q$10000,'New Capacity'!$B$2:$B$10000,$A132)</f>
        <v>0</v>
      </c>
      <c r="R132">
        <f>SUMIFS('New Capacity'!R$2:R$10000,'New Capacity'!$B$2:$B$10000,$A132)</f>
        <v>0</v>
      </c>
      <c r="S132">
        <f>SUMIFS('New Capacity'!S$2:S$10000,'New Capacity'!$B$2:$B$10000,$A132)</f>
        <v>0</v>
      </c>
      <c r="T132">
        <f>SUMIFS('New Capacity'!T$2:T$10000,'New Capacity'!$B$2:$B$10000,$A132)</f>
        <v>0</v>
      </c>
      <c r="U132">
        <f>SUMIFS('New Capacity'!U$2:U$10000,'New Capacity'!$B$2:$B$10000,$A132)</f>
        <v>0</v>
      </c>
      <c r="V132">
        <f>SUMIFS('New Capacity'!V$2:V$10000,'New Capacity'!$B$2:$B$10000,$A132)</f>
        <v>0</v>
      </c>
      <c r="W132">
        <f>SUMIFS('New Capacity'!W$2:W$10000,'New Capacity'!$B$2:$B$10000,$A132)</f>
        <v>0</v>
      </c>
      <c r="X132">
        <f>SUMIFS('New Capacity'!X$2:X$10000,'New Capacity'!$B$2:$B$10000,$A132)</f>
        <v>0</v>
      </c>
      <c r="Y132">
        <f>SUMIFS('New Capacity'!Y$2:Y$10000,'New Capacity'!$B$2:$B$10000,$A132)</f>
        <v>0</v>
      </c>
      <c r="Z132">
        <f>SUMIFS('New Capacity'!Z$2:Z$10000,'New Capacity'!$B$2:$B$10000,$A132)</f>
        <v>0</v>
      </c>
      <c r="AA132">
        <f>SUMIFS('New Capacity'!AA$2:AA$10000,'New Capacity'!$B$2:$B$10000,$A132)</f>
        <v>0</v>
      </c>
      <c r="AB132">
        <f>SUMIFS('New Capacity'!AB$2:AB$10000,'New Capacity'!$B$2:$B$10000,$A132)</f>
        <v>0</v>
      </c>
      <c r="AC132">
        <f>SUMIFS('New Capacity'!AC$2:AC$10000,'New Capacity'!$B$2:$B$10000,$A132)</f>
        <v>0</v>
      </c>
      <c r="AD132">
        <f>SUMIFS('New Capacity'!AD$2:AD$10000,'New Capacity'!$B$2:$B$10000,$A132)</f>
        <v>0</v>
      </c>
      <c r="AE132">
        <f>SUMIFS('New Capacity'!AE$2:AE$10000,'New Capacity'!$B$2:$B$10000,$A132)</f>
        <v>0</v>
      </c>
      <c r="AF132">
        <f>SUMIFS('New Capacity'!AF$2:AF$10000,'New Capacity'!$B$2:$B$10000,$A132)</f>
        <v>0</v>
      </c>
      <c r="AG132">
        <f>SUMIFS('New Capacity'!AG$2:AG$10000,'New Capacity'!$B$2:$B$10000,$A132)</f>
        <v>0</v>
      </c>
    </row>
    <row r="133" spans="1:33">
      <c r="A133" t="s">
        <v>142</v>
      </c>
      <c r="C133">
        <f>SUMIFS('New Capacity'!C$2:C$10000,'New Capacity'!$B$2:$B$10000,$A133)</f>
        <v>0</v>
      </c>
      <c r="D133">
        <f>SUMIFS('New Capacity'!D$2:D$10000,'New Capacity'!$B$2:$B$10000,$A133)</f>
        <v>0.72499999999999998</v>
      </c>
      <c r="E133">
        <f>SUMIFS('New Capacity'!E$2:E$10000,'New Capacity'!$B$2:$B$10000,$A133)</f>
        <v>0.76939999999999997</v>
      </c>
      <c r="F133">
        <f>SUMIFS('New Capacity'!F$2:F$10000,'New Capacity'!$B$2:$B$10000,$A133)</f>
        <v>0</v>
      </c>
      <c r="G133">
        <f>SUMIFS('New Capacity'!G$2:G$10000,'New Capacity'!$B$2:$B$10000,$A133)</f>
        <v>0.6</v>
      </c>
      <c r="H133">
        <f>SUMIFS('New Capacity'!H$2:H$10000,'New Capacity'!$B$2:$B$10000,$A133)</f>
        <v>0</v>
      </c>
      <c r="I133">
        <f>SUMIFS('New Capacity'!I$2:I$10000,'New Capacity'!$B$2:$B$10000,$A133)</f>
        <v>0</v>
      </c>
      <c r="J133">
        <f>SUMIFS('New Capacity'!J$2:J$10000,'New Capacity'!$B$2:$B$10000,$A133)</f>
        <v>0</v>
      </c>
      <c r="K133">
        <f>SUMIFS('New Capacity'!K$2:K$10000,'New Capacity'!$B$2:$B$10000,$A133)</f>
        <v>0</v>
      </c>
      <c r="L133">
        <f>SUMIFS('New Capacity'!L$2:L$10000,'New Capacity'!$B$2:$B$10000,$A133)</f>
        <v>0</v>
      </c>
      <c r="M133">
        <f>SUMIFS('New Capacity'!M$2:M$10000,'New Capacity'!$B$2:$B$10000,$A133)</f>
        <v>0</v>
      </c>
      <c r="N133">
        <f>SUMIFS('New Capacity'!N$2:N$10000,'New Capacity'!$B$2:$B$10000,$A133)</f>
        <v>0.86380000000000001</v>
      </c>
      <c r="O133">
        <f>SUMIFS('New Capacity'!O$2:O$10000,'New Capacity'!$B$2:$B$10000,$A133)</f>
        <v>3.1221000000000001</v>
      </c>
      <c r="P133">
        <f>SUMIFS('New Capacity'!P$2:P$10000,'New Capacity'!$B$2:$B$10000,$A133)</f>
        <v>1.0991</v>
      </c>
      <c r="Q133">
        <f>SUMIFS('New Capacity'!Q$2:Q$10000,'New Capacity'!$B$2:$B$10000,$A133)</f>
        <v>1.0991</v>
      </c>
      <c r="R133">
        <f>SUMIFS('New Capacity'!R$2:R$10000,'New Capacity'!$B$2:$B$10000,$A133)</f>
        <v>1.0991</v>
      </c>
      <c r="S133">
        <f>SUMIFS('New Capacity'!S$2:S$10000,'New Capacity'!$B$2:$B$10000,$A133)</f>
        <v>2.0987</v>
      </c>
      <c r="T133">
        <f>SUMIFS('New Capacity'!T$2:T$10000,'New Capacity'!$B$2:$B$10000,$A133)</f>
        <v>1.3347</v>
      </c>
      <c r="U133">
        <f>SUMIFS('New Capacity'!U$2:U$10000,'New Capacity'!$B$2:$B$10000,$A133)</f>
        <v>2.0057999999999998</v>
      </c>
      <c r="V133">
        <f>SUMIFS('New Capacity'!V$2:V$10000,'New Capacity'!$B$2:$B$10000,$A133)</f>
        <v>1.9447000000000001</v>
      </c>
      <c r="W133">
        <f>SUMIFS('New Capacity'!W$2:W$10000,'New Capacity'!$B$2:$B$10000,$A133)</f>
        <v>0</v>
      </c>
      <c r="X133">
        <f>SUMIFS('New Capacity'!X$2:X$10000,'New Capacity'!$B$2:$B$10000,$A133)</f>
        <v>0.59340000000000004</v>
      </c>
      <c r="Y133">
        <f>SUMIFS('New Capacity'!Y$2:Y$10000,'New Capacity'!$B$2:$B$10000,$A133)</f>
        <v>1.2123999999999999</v>
      </c>
      <c r="Z133">
        <f>SUMIFS('New Capacity'!Z$2:Z$10000,'New Capacity'!$B$2:$B$10000,$A133)</f>
        <v>1.2151000000000001</v>
      </c>
      <c r="AA133">
        <f>SUMIFS('New Capacity'!AA$2:AA$10000,'New Capacity'!$B$2:$B$10000,$A133)</f>
        <v>1.2176</v>
      </c>
      <c r="AB133">
        <f>SUMIFS('New Capacity'!AB$2:AB$10000,'New Capacity'!$B$2:$B$10000,$A133)</f>
        <v>1.2548999999999999</v>
      </c>
      <c r="AC133">
        <f>SUMIFS('New Capacity'!AC$2:AC$10000,'New Capacity'!$B$2:$B$10000,$A133)</f>
        <v>2.3025000000000002</v>
      </c>
      <c r="AD133">
        <f>SUMIFS('New Capacity'!AD$2:AD$10000,'New Capacity'!$B$2:$B$10000,$A133)</f>
        <v>2.0387</v>
      </c>
      <c r="AE133">
        <f>SUMIFS('New Capacity'!AE$2:AE$10000,'New Capacity'!$B$2:$B$10000,$A133)</f>
        <v>1.1518999999999999</v>
      </c>
      <c r="AF133">
        <f>SUMIFS('New Capacity'!AF$2:AF$10000,'New Capacity'!$B$2:$B$10000,$A133)</f>
        <v>0.57020000000000004</v>
      </c>
      <c r="AG133">
        <f>SUMIFS('New Capacity'!AG$2:AG$10000,'New Capacity'!$B$2:$B$10000,$A133)</f>
        <v>0</v>
      </c>
    </row>
    <row r="134" spans="1:33">
      <c r="A134" t="s">
        <v>143</v>
      </c>
      <c r="C134">
        <f>SUMIFS('New Capacity'!C$2:C$10000,'New Capacity'!$B$2:$B$10000,$A134)</f>
        <v>0</v>
      </c>
      <c r="D134">
        <f>SUMIFS('New Capacity'!D$2:D$10000,'New Capacity'!$B$2:$B$10000,$A134)</f>
        <v>0</v>
      </c>
      <c r="E134">
        <f>SUMIFS('New Capacity'!E$2:E$10000,'New Capacity'!$B$2:$B$10000,$A134)</f>
        <v>0</v>
      </c>
      <c r="F134">
        <f>SUMIFS('New Capacity'!F$2:F$10000,'New Capacity'!$B$2:$B$10000,$A134)</f>
        <v>0</v>
      </c>
      <c r="G134">
        <f>SUMIFS('New Capacity'!G$2:G$10000,'New Capacity'!$B$2:$B$10000,$A134)</f>
        <v>0</v>
      </c>
      <c r="H134">
        <f>SUMIFS('New Capacity'!H$2:H$10000,'New Capacity'!$B$2:$B$10000,$A134)</f>
        <v>0</v>
      </c>
      <c r="I134">
        <f>SUMIFS('New Capacity'!I$2:I$10000,'New Capacity'!$B$2:$B$10000,$A134)</f>
        <v>0</v>
      </c>
      <c r="J134">
        <f>SUMIFS('New Capacity'!J$2:J$10000,'New Capacity'!$B$2:$B$10000,$A134)</f>
        <v>0</v>
      </c>
      <c r="K134">
        <f>SUMIFS('New Capacity'!K$2:K$10000,'New Capacity'!$B$2:$B$10000,$A134)</f>
        <v>0</v>
      </c>
      <c r="L134">
        <f>SUMIFS('New Capacity'!L$2:L$10000,'New Capacity'!$B$2:$B$10000,$A134)</f>
        <v>0</v>
      </c>
      <c r="M134">
        <f>SUMIFS('New Capacity'!M$2:M$10000,'New Capacity'!$B$2:$B$10000,$A134)</f>
        <v>0</v>
      </c>
      <c r="N134">
        <f>SUMIFS('New Capacity'!N$2:N$10000,'New Capacity'!$B$2:$B$10000,$A134)</f>
        <v>0</v>
      </c>
      <c r="O134">
        <f>SUMIFS('New Capacity'!O$2:O$10000,'New Capacity'!$B$2:$B$10000,$A134)</f>
        <v>0</v>
      </c>
      <c r="P134">
        <f>SUMIFS('New Capacity'!P$2:P$10000,'New Capacity'!$B$2:$B$10000,$A134)</f>
        <v>0</v>
      </c>
      <c r="Q134">
        <f>SUMIFS('New Capacity'!Q$2:Q$10000,'New Capacity'!$B$2:$B$10000,$A134)</f>
        <v>0</v>
      </c>
      <c r="R134">
        <f>SUMIFS('New Capacity'!R$2:R$10000,'New Capacity'!$B$2:$B$10000,$A134)</f>
        <v>0</v>
      </c>
      <c r="S134">
        <f>SUMIFS('New Capacity'!S$2:S$10000,'New Capacity'!$B$2:$B$10000,$A134)</f>
        <v>0</v>
      </c>
      <c r="T134">
        <f>SUMIFS('New Capacity'!T$2:T$10000,'New Capacity'!$B$2:$B$10000,$A134)</f>
        <v>0</v>
      </c>
      <c r="U134">
        <f>SUMIFS('New Capacity'!U$2:U$10000,'New Capacity'!$B$2:$B$10000,$A134)</f>
        <v>0</v>
      </c>
      <c r="V134">
        <f>SUMIFS('New Capacity'!V$2:V$10000,'New Capacity'!$B$2:$B$10000,$A134)</f>
        <v>0</v>
      </c>
      <c r="W134">
        <f>SUMIFS('New Capacity'!W$2:W$10000,'New Capacity'!$B$2:$B$10000,$A134)</f>
        <v>0</v>
      </c>
      <c r="X134">
        <f>SUMIFS('New Capacity'!X$2:X$10000,'New Capacity'!$B$2:$B$10000,$A134)</f>
        <v>0</v>
      </c>
      <c r="Y134">
        <f>SUMIFS('New Capacity'!Y$2:Y$10000,'New Capacity'!$B$2:$B$10000,$A134)</f>
        <v>0</v>
      </c>
      <c r="Z134">
        <f>SUMIFS('New Capacity'!Z$2:Z$10000,'New Capacity'!$B$2:$B$10000,$A134)</f>
        <v>0</v>
      </c>
      <c r="AA134">
        <f>SUMIFS('New Capacity'!AA$2:AA$10000,'New Capacity'!$B$2:$B$10000,$A134)</f>
        <v>0</v>
      </c>
      <c r="AB134">
        <f>SUMIFS('New Capacity'!AB$2:AB$10000,'New Capacity'!$B$2:$B$10000,$A134)</f>
        <v>0</v>
      </c>
      <c r="AC134">
        <f>SUMIFS('New Capacity'!AC$2:AC$10000,'New Capacity'!$B$2:$B$10000,$A134)</f>
        <v>0</v>
      </c>
      <c r="AD134">
        <f>SUMIFS('New Capacity'!AD$2:AD$10000,'New Capacity'!$B$2:$B$10000,$A134)</f>
        <v>0</v>
      </c>
      <c r="AE134">
        <f>SUMIFS('New Capacity'!AE$2:AE$10000,'New Capacity'!$B$2:$B$10000,$A134)</f>
        <v>0</v>
      </c>
      <c r="AF134">
        <f>SUMIFS('New Capacity'!AF$2:AF$10000,'New Capacity'!$B$2:$B$10000,$A134)</f>
        <v>0</v>
      </c>
      <c r="AG134">
        <f>SUMIFS('New Capacity'!AG$2:AG$10000,'New Capacity'!$B$2:$B$10000,$A134)</f>
        <v>0</v>
      </c>
    </row>
    <row r="135" spans="1:33">
      <c r="A135" t="s">
        <v>144</v>
      </c>
      <c r="C135">
        <f>SUMIFS('New Capacity'!C$2:C$10000,'New Capacity'!$B$2:$B$10000,$A135)</f>
        <v>0</v>
      </c>
      <c r="D135">
        <f>SUMIFS('New Capacity'!D$2:D$10000,'New Capacity'!$B$2:$B$10000,$A135)</f>
        <v>0</v>
      </c>
      <c r="E135">
        <f>SUMIFS('New Capacity'!E$2:E$10000,'New Capacity'!$B$2:$B$10000,$A135)</f>
        <v>0</v>
      </c>
      <c r="F135">
        <f>SUMIFS('New Capacity'!F$2:F$10000,'New Capacity'!$B$2:$B$10000,$A135)</f>
        <v>0</v>
      </c>
      <c r="G135">
        <f>SUMIFS('New Capacity'!G$2:G$10000,'New Capacity'!$B$2:$B$10000,$A135)</f>
        <v>0</v>
      </c>
      <c r="H135">
        <f>SUMIFS('New Capacity'!H$2:H$10000,'New Capacity'!$B$2:$B$10000,$A135)</f>
        <v>0</v>
      </c>
      <c r="I135">
        <f>SUMIFS('New Capacity'!I$2:I$10000,'New Capacity'!$B$2:$B$10000,$A135)</f>
        <v>0</v>
      </c>
      <c r="J135">
        <f>SUMIFS('New Capacity'!J$2:J$10000,'New Capacity'!$B$2:$B$10000,$A135)</f>
        <v>0</v>
      </c>
      <c r="K135">
        <f>SUMIFS('New Capacity'!K$2:K$10000,'New Capacity'!$B$2:$B$10000,$A135)</f>
        <v>0</v>
      </c>
      <c r="L135">
        <f>SUMIFS('New Capacity'!L$2:L$10000,'New Capacity'!$B$2:$B$10000,$A135)</f>
        <v>0</v>
      </c>
      <c r="M135">
        <f>SUMIFS('New Capacity'!M$2:M$10000,'New Capacity'!$B$2:$B$10000,$A135)</f>
        <v>0</v>
      </c>
      <c r="N135">
        <f>SUMIFS('New Capacity'!N$2:N$10000,'New Capacity'!$B$2:$B$10000,$A135)</f>
        <v>0</v>
      </c>
      <c r="O135">
        <f>SUMIFS('New Capacity'!O$2:O$10000,'New Capacity'!$B$2:$B$10000,$A135)</f>
        <v>0</v>
      </c>
      <c r="P135">
        <f>SUMIFS('New Capacity'!P$2:P$10000,'New Capacity'!$B$2:$B$10000,$A135)</f>
        <v>0</v>
      </c>
      <c r="Q135">
        <f>SUMIFS('New Capacity'!Q$2:Q$10000,'New Capacity'!$B$2:$B$10000,$A135)</f>
        <v>0</v>
      </c>
      <c r="R135">
        <f>SUMIFS('New Capacity'!R$2:R$10000,'New Capacity'!$B$2:$B$10000,$A135)</f>
        <v>0</v>
      </c>
      <c r="S135">
        <f>SUMIFS('New Capacity'!S$2:S$10000,'New Capacity'!$B$2:$B$10000,$A135)</f>
        <v>0</v>
      </c>
      <c r="T135">
        <f>SUMIFS('New Capacity'!T$2:T$10000,'New Capacity'!$B$2:$B$10000,$A135)</f>
        <v>0</v>
      </c>
      <c r="U135">
        <f>SUMIFS('New Capacity'!U$2:U$10000,'New Capacity'!$B$2:$B$10000,$A135)</f>
        <v>0</v>
      </c>
      <c r="V135">
        <f>SUMIFS('New Capacity'!V$2:V$10000,'New Capacity'!$B$2:$B$10000,$A135)</f>
        <v>0</v>
      </c>
      <c r="W135">
        <f>SUMIFS('New Capacity'!W$2:W$10000,'New Capacity'!$B$2:$B$10000,$A135)</f>
        <v>0</v>
      </c>
      <c r="X135">
        <f>SUMIFS('New Capacity'!X$2:X$10000,'New Capacity'!$B$2:$B$10000,$A135)</f>
        <v>0</v>
      </c>
      <c r="Y135">
        <f>SUMIFS('New Capacity'!Y$2:Y$10000,'New Capacity'!$B$2:$B$10000,$A135)</f>
        <v>0</v>
      </c>
      <c r="Z135">
        <f>SUMIFS('New Capacity'!Z$2:Z$10000,'New Capacity'!$B$2:$B$10000,$A135)</f>
        <v>0</v>
      </c>
      <c r="AA135">
        <f>SUMIFS('New Capacity'!AA$2:AA$10000,'New Capacity'!$B$2:$B$10000,$A135)</f>
        <v>0</v>
      </c>
      <c r="AB135">
        <f>SUMIFS('New Capacity'!AB$2:AB$10000,'New Capacity'!$B$2:$B$10000,$A135)</f>
        <v>0</v>
      </c>
      <c r="AC135">
        <f>SUMIFS('New Capacity'!AC$2:AC$10000,'New Capacity'!$B$2:$B$10000,$A135)</f>
        <v>0</v>
      </c>
      <c r="AD135">
        <f>SUMIFS('New Capacity'!AD$2:AD$10000,'New Capacity'!$B$2:$B$10000,$A135)</f>
        <v>0</v>
      </c>
      <c r="AE135">
        <f>SUMIFS('New Capacity'!AE$2:AE$10000,'New Capacity'!$B$2:$B$10000,$A135)</f>
        <v>0</v>
      </c>
      <c r="AF135">
        <f>SUMIFS('New Capacity'!AF$2:AF$10000,'New Capacity'!$B$2:$B$10000,$A135)</f>
        <v>0</v>
      </c>
      <c r="AG135">
        <f>SUMIFS('New Capacity'!AG$2:AG$10000,'New Capacity'!$B$2:$B$10000,$A135)</f>
        <v>0</v>
      </c>
    </row>
    <row r="136" spans="1:33">
      <c r="A136" t="s">
        <v>145</v>
      </c>
      <c r="C136">
        <f>SUMIFS('New Capacity'!C$2:C$10000,'New Capacity'!$B$2:$B$10000,$A136)</f>
        <v>1.4633</v>
      </c>
      <c r="D136">
        <f>SUMIFS('New Capacity'!D$2:D$10000,'New Capacity'!$B$2:$B$10000,$A136)</f>
        <v>2.5546000000000002</v>
      </c>
      <c r="E136">
        <f>SUMIFS('New Capacity'!E$2:E$10000,'New Capacity'!$B$2:$B$10000,$A136)</f>
        <v>1.5900000000000001E-2</v>
      </c>
      <c r="F136">
        <f>SUMIFS('New Capacity'!F$2:F$10000,'New Capacity'!$B$2:$B$10000,$A136)</f>
        <v>4.6800000000000001E-2</v>
      </c>
      <c r="G136">
        <f>SUMIFS('New Capacity'!G$2:G$10000,'New Capacity'!$B$2:$B$10000,$A136)</f>
        <v>3.5200000000000002E-2</v>
      </c>
      <c r="H136">
        <f>SUMIFS('New Capacity'!H$2:H$10000,'New Capacity'!$B$2:$B$10000,$A136)</f>
        <v>0</v>
      </c>
      <c r="I136">
        <f>SUMIFS('New Capacity'!I$2:I$10000,'New Capacity'!$B$2:$B$10000,$A136)</f>
        <v>0</v>
      </c>
      <c r="J136">
        <f>SUMIFS('New Capacity'!J$2:J$10000,'New Capacity'!$B$2:$B$10000,$A136)</f>
        <v>0</v>
      </c>
      <c r="K136">
        <f>SUMIFS('New Capacity'!K$2:K$10000,'New Capacity'!$B$2:$B$10000,$A136)</f>
        <v>0</v>
      </c>
      <c r="L136">
        <f>SUMIFS('New Capacity'!L$2:L$10000,'New Capacity'!$B$2:$B$10000,$A136)</f>
        <v>0</v>
      </c>
      <c r="M136">
        <f>SUMIFS('New Capacity'!M$2:M$10000,'New Capacity'!$B$2:$B$10000,$A136)</f>
        <v>0</v>
      </c>
      <c r="N136">
        <f>SUMIFS('New Capacity'!N$2:N$10000,'New Capacity'!$B$2:$B$10000,$A136)</f>
        <v>0</v>
      </c>
      <c r="O136">
        <f>SUMIFS('New Capacity'!O$2:O$10000,'New Capacity'!$B$2:$B$10000,$A136)</f>
        <v>0</v>
      </c>
      <c r="P136">
        <f>SUMIFS('New Capacity'!P$2:P$10000,'New Capacity'!$B$2:$B$10000,$A136)</f>
        <v>0</v>
      </c>
      <c r="Q136">
        <f>SUMIFS('New Capacity'!Q$2:Q$10000,'New Capacity'!$B$2:$B$10000,$A136)</f>
        <v>0</v>
      </c>
      <c r="R136">
        <f>SUMIFS('New Capacity'!R$2:R$10000,'New Capacity'!$B$2:$B$10000,$A136)</f>
        <v>0</v>
      </c>
      <c r="S136">
        <f>SUMIFS('New Capacity'!S$2:S$10000,'New Capacity'!$B$2:$B$10000,$A136)</f>
        <v>0</v>
      </c>
      <c r="T136">
        <f>SUMIFS('New Capacity'!T$2:T$10000,'New Capacity'!$B$2:$B$10000,$A136)</f>
        <v>0</v>
      </c>
      <c r="U136">
        <f>SUMIFS('New Capacity'!U$2:U$10000,'New Capacity'!$B$2:$B$10000,$A136)</f>
        <v>0</v>
      </c>
      <c r="V136">
        <f>SUMIFS('New Capacity'!V$2:V$10000,'New Capacity'!$B$2:$B$10000,$A136)</f>
        <v>0</v>
      </c>
      <c r="W136">
        <f>SUMIFS('New Capacity'!W$2:W$10000,'New Capacity'!$B$2:$B$10000,$A136)</f>
        <v>0</v>
      </c>
      <c r="X136">
        <f>SUMIFS('New Capacity'!X$2:X$10000,'New Capacity'!$B$2:$B$10000,$A136)</f>
        <v>0</v>
      </c>
      <c r="Y136">
        <f>SUMIFS('New Capacity'!Y$2:Y$10000,'New Capacity'!$B$2:$B$10000,$A136)</f>
        <v>0</v>
      </c>
      <c r="Z136">
        <f>SUMIFS('New Capacity'!Z$2:Z$10000,'New Capacity'!$B$2:$B$10000,$A136)</f>
        <v>0</v>
      </c>
      <c r="AA136">
        <f>SUMIFS('New Capacity'!AA$2:AA$10000,'New Capacity'!$B$2:$B$10000,$A136)</f>
        <v>0</v>
      </c>
      <c r="AB136">
        <f>SUMIFS('New Capacity'!AB$2:AB$10000,'New Capacity'!$B$2:$B$10000,$A136)</f>
        <v>0</v>
      </c>
      <c r="AC136">
        <f>SUMIFS('New Capacity'!AC$2:AC$10000,'New Capacity'!$B$2:$B$10000,$A136)</f>
        <v>0</v>
      </c>
      <c r="AD136">
        <f>SUMIFS('New Capacity'!AD$2:AD$10000,'New Capacity'!$B$2:$B$10000,$A136)</f>
        <v>0</v>
      </c>
      <c r="AE136">
        <f>SUMIFS('New Capacity'!AE$2:AE$10000,'New Capacity'!$B$2:$B$10000,$A136)</f>
        <v>0</v>
      </c>
      <c r="AF136">
        <f>SUMIFS('New Capacity'!AF$2:AF$10000,'New Capacity'!$B$2:$B$10000,$A136)</f>
        <v>0</v>
      </c>
      <c r="AG136">
        <f>SUMIFS('New Capacity'!AG$2:AG$10000,'New Capacity'!$B$2:$B$10000,$A136)</f>
        <v>0</v>
      </c>
    </row>
    <row r="137" spans="1:33">
      <c r="A137" t="s">
        <v>146</v>
      </c>
      <c r="C137">
        <f>SUMIFS('New Capacity'!C$2:C$10000,'New Capacity'!$B$2:$B$10000,$A137)</f>
        <v>0</v>
      </c>
      <c r="D137">
        <f>SUMIFS('New Capacity'!D$2:D$10000,'New Capacity'!$B$2:$B$10000,$A137)</f>
        <v>0</v>
      </c>
      <c r="E137">
        <f>SUMIFS('New Capacity'!E$2:E$10000,'New Capacity'!$B$2:$B$10000,$A137)</f>
        <v>0</v>
      </c>
      <c r="F137">
        <f>SUMIFS('New Capacity'!F$2:F$10000,'New Capacity'!$B$2:$B$10000,$A137)</f>
        <v>0</v>
      </c>
      <c r="G137">
        <f>SUMIFS('New Capacity'!G$2:G$10000,'New Capacity'!$B$2:$B$10000,$A137)</f>
        <v>0</v>
      </c>
      <c r="H137">
        <f>SUMIFS('New Capacity'!H$2:H$10000,'New Capacity'!$B$2:$B$10000,$A137)</f>
        <v>0.88</v>
      </c>
      <c r="I137">
        <f>SUMIFS('New Capacity'!I$2:I$10000,'New Capacity'!$B$2:$B$10000,$A137)</f>
        <v>0</v>
      </c>
      <c r="J137">
        <f>SUMIFS('New Capacity'!J$2:J$10000,'New Capacity'!$B$2:$B$10000,$A137)</f>
        <v>0</v>
      </c>
      <c r="K137">
        <f>SUMIFS('New Capacity'!K$2:K$10000,'New Capacity'!$B$2:$B$10000,$A137)</f>
        <v>0</v>
      </c>
      <c r="L137">
        <f>SUMIFS('New Capacity'!L$2:L$10000,'New Capacity'!$B$2:$B$10000,$A137)</f>
        <v>0</v>
      </c>
      <c r="M137">
        <f>SUMIFS('New Capacity'!M$2:M$10000,'New Capacity'!$B$2:$B$10000,$A137)</f>
        <v>0</v>
      </c>
      <c r="N137">
        <f>SUMIFS('New Capacity'!N$2:N$10000,'New Capacity'!$B$2:$B$10000,$A137)</f>
        <v>0</v>
      </c>
      <c r="O137">
        <f>SUMIFS('New Capacity'!O$2:O$10000,'New Capacity'!$B$2:$B$10000,$A137)</f>
        <v>0</v>
      </c>
      <c r="P137">
        <f>SUMIFS('New Capacity'!P$2:P$10000,'New Capacity'!$B$2:$B$10000,$A137)</f>
        <v>0</v>
      </c>
      <c r="Q137">
        <f>SUMIFS('New Capacity'!Q$2:Q$10000,'New Capacity'!$B$2:$B$10000,$A137)</f>
        <v>0</v>
      </c>
      <c r="R137">
        <f>SUMIFS('New Capacity'!R$2:R$10000,'New Capacity'!$B$2:$B$10000,$A137)</f>
        <v>0</v>
      </c>
      <c r="S137">
        <f>SUMIFS('New Capacity'!S$2:S$10000,'New Capacity'!$B$2:$B$10000,$A137)</f>
        <v>0</v>
      </c>
      <c r="T137">
        <f>SUMIFS('New Capacity'!T$2:T$10000,'New Capacity'!$B$2:$B$10000,$A137)</f>
        <v>0</v>
      </c>
      <c r="U137">
        <f>SUMIFS('New Capacity'!U$2:U$10000,'New Capacity'!$B$2:$B$10000,$A137)</f>
        <v>3.3000000000000002E-2</v>
      </c>
      <c r="V137">
        <f>SUMIFS('New Capacity'!V$2:V$10000,'New Capacity'!$B$2:$B$10000,$A137)</f>
        <v>0.74539999999999995</v>
      </c>
      <c r="W137">
        <f>SUMIFS('New Capacity'!W$2:W$10000,'New Capacity'!$B$2:$B$10000,$A137)</f>
        <v>1.4545999999999999</v>
      </c>
      <c r="X137">
        <f>SUMIFS('New Capacity'!X$2:X$10000,'New Capacity'!$B$2:$B$10000,$A137)</f>
        <v>0.70430000000000004</v>
      </c>
      <c r="Y137">
        <f>SUMIFS('New Capacity'!Y$2:Y$10000,'New Capacity'!$B$2:$B$10000,$A137)</f>
        <v>0.189</v>
      </c>
      <c r="Z137">
        <f>SUMIFS('New Capacity'!Z$2:Z$10000,'New Capacity'!$B$2:$B$10000,$A137)</f>
        <v>0.1731</v>
      </c>
      <c r="AA137">
        <f>SUMIFS('New Capacity'!AA$2:AA$10000,'New Capacity'!$B$2:$B$10000,$A137)</f>
        <v>0.23830000000000001</v>
      </c>
      <c r="AB137">
        <f>SUMIFS('New Capacity'!AB$2:AB$10000,'New Capacity'!$B$2:$B$10000,$A137)</f>
        <v>0.25219999999999998</v>
      </c>
      <c r="AC137">
        <f>SUMIFS('New Capacity'!AC$2:AC$10000,'New Capacity'!$B$2:$B$10000,$A137)</f>
        <v>0.8226</v>
      </c>
      <c r="AD137">
        <f>SUMIFS('New Capacity'!AD$2:AD$10000,'New Capacity'!$B$2:$B$10000,$A137)</f>
        <v>0.2477</v>
      </c>
      <c r="AE137">
        <f>SUMIFS('New Capacity'!AE$2:AE$10000,'New Capacity'!$B$2:$B$10000,$A137)</f>
        <v>0.36849999999999999</v>
      </c>
      <c r="AF137">
        <f>SUMIFS('New Capacity'!AF$2:AF$10000,'New Capacity'!$B$2:$B$10000,$A137)</f>
        <v>1.5837000000000001</v>
      </c>
      <c r="AG137">
        <f>SUMIFS('New Capacity'!AG$2:AG$10000,'New Capacity'!$B$2:$B$10000,$A137)</f>
        <v>3.4535</v>
      </c>
    </row>
    <row r="138" spans="1:33">
      <c r="A138" t="s">
        <v>147</v>
      </c>
      <c r="C138">
        <f>SUMIFS('New Capacity'!C$2:C$10000,'New Capacity'!$B$2:$B$10000,$A138)</f>
        <v>0</v>
      </c>
      <c r="D138">
        <f>SUMIFS('New Capacity'!D$2:D$10000,'New Capacity'!$B$2:$B$10000,$A138)</f>
        <v>0</v>
      </c>
      <c r="E138">
        <f>SUMIFS('New Capacity'!E$2:E$10000,'New Capacity'!$B$2:$B$10000,$A138)</f>
        <v>0</v>
      </c>
      <c r="F138">
        <f>SUMIFS('New Capacity'!F$2:F$10000,'New Capacity'!$B$2:$B$10000,$A138)</f>
        <v>0</v>
      </c>
      <c r="G138">
        <f>SUMIFS('New Capacity'!G$2:G$10000,'New Capacity'!$B$2:$B$10000,$A138)</f>
        <v>0</v>
      </c>
      <c r="H138">
        <f>SUMIFS('New Capacity'!H$2:H$10000,'New Capacity'!$B$2:$B$10000,$A138)</f>
        <v>0</v>
      </c>
      <c r="I138">
        <f>SUMIFS('New Capacity'!I$2:I$10000,'New Capacity'!$B$2:$B$10000,$A138)</f>
        <v>0</v>
      </c>
      <c r="J138">
        <f>SUMIFS('New Capacity'!J$2:J$10000,'New Capacity'!$B$2:$B$10000,$A138)</f>
        <v>0</v>
      </c>
      <c r="K138">
        <f>SUMIFS('New Capacity'!K$2:K$10000,'New Capacity'!$B$2:$B$10000,$A138)</f>
        <v>0</v>
      </c>
      <c r="L138">
        <f>SUMIFS('New Capacity'!L$2:L$10000,'New Capacity'!$B$2:$B$10000,$A138)</f>
        <v>0</v>
      </c>
      <c r="M138">
        <f>SUMIFS('New Capacity'!M$2:M$10000,'New Capacity'!$B$2:$B$10000,$A138)</f>
        <v>0</v>
      </c>
      <c r="N138">
        <f>SUMIFS('New Capacity'!N$2:N$10000,'New Capacity'!$B$2:$B$10000,$A138)</f>
        <v>0</v>
      </c>
      <c r="O138">
        <f>SUMIFS('New Capacity'!O$2:O$10000,'New Capacity'!$B$2:$B$10000,$A138)</f>
        <v>0</v>
      </c>
      <c r="P138">
        <f>SUMIFS('New Capacity'!P$2:P$10000,'New Capacity'!$B$2:$B$10000,$A138)</f>
        <v>0</v>
      </c>
      <c r="Q138">
        <f>SUMIFS('New Capacity'!Q$2:Q$10000,'New Capacity'!$B$2:$B$10000,$A138)</f>
        <v>0</v>
      </c>
      <c r="R138">
        <f>SUMIFS('New Capacity'!R$2:R$10000,'New Capacity'!$B$2:$B$10000,$A138)</f>
        <v>0</v>
      </c>
      <c r="S138">
        <f>SUMIFS('New Capacity'!S$2:S$10000,'New Capacity'!$B$2:$B$10000,$A138)</f>
        <v>0</v>
      </c>
      <c r="T138">
        <f>SUMIFS('New Capacity'!T$2:T$10000,'New Capacity'!$B$2:$B$10000,$A138)</f>
        <v>0</v>
      </c>
      <c r="U138">
        <f>SUMIFS('New Capacity'!U$2:U$10000,'New Capacity'!$B$2:$B$10000,$A138)</f>
        <v>0</v>
      </c>
      <c r="V138">
        <f>SUMIFS('New Capacity'!V$2:V$10000,'New Capacity'!$B$2:$B$10000,$A138)</f>
        <v>0</v>
      </c>
      <c r="W138">
        <f>SUMIFS('New Capacity'!W$2:W$10000,'New Capacity'!$B$2:$B$10000,$A138)</f>
        <v>0</v>
      </c>
      <c r="X138">
        <f>SUMIFS('New Capacity'!X$2:X$10000,'New Capacity'!$B$2:$B$10000,$A138)</f>
        <v>0</v>
      </c>
      <c r="Y138">
        <f>SUMIFS('New Capacity'!Y$2:Y$10000,'New Capacity'!$B$2:$B$10000,$A138)</f>
        <v>0</v>
      </c>
      <c r="Z138">
        <f>SUMIFS('New Capacity'!Z$2:Z$10000,'New Capacity'!$B$2:$B$10000,$A138)</f>
        <v>0</v>
      </c>
      <c r="AA138">
        <f>SUMIFS('New Capacity'!AA$2:AA$10000,'New Capacity'!$B$2:$B$10000,$A138)</f>
        <v>0</v>
      </c>
      <c r="AB138">
        <f>SUMIFS('New Capacity'!AB$2:AB$10000,'New Capacity'!$B$2:$B$10000,$A138)</f>
        <v>0</v>
      </c>
      <c r="AC138">
        <f>SUMIFS('New Capacity'!AC$2:AC$10000,'New Capacity'!$B$2:$B$10000,$A138)</f>
        <v>0</v>
      </c>
      <c r="AD138">
        <f>SUMIFS('New Capacity'!AD$2:AD$10000,'New Capacity'!$B$2:$B$10000,$A138)</f>
        <v>0</v>
      </c>
      <c r="AE138">
        <f>SUMIFS('New Capacity'!AE$2:AE$10000,'New Capacity'!$B$2:$B$10000,$A138)</f>
        <v>0</v>
      </c>
      <c r="AF138">
        <f>SUMIFS('New Capacity'!AF$2:AF$10000,'New Capacity'!$B$2:$B$10000,$A138)</f>
        <v>0</v>
      </c>
      <c r="AG138">
        <f>SUMIFS('New Capacity'!AG$2:AG$10000,'New Capacity'!$B$2:$B$10000,$A138)</f>
        <v>0</v>
      </c>
    </row>
    <row r="139" spans="1:33">
      <c r="A139" t="s">
        <v>148</v>
      </c>
      <c r="C139">
        <f>SUMIFS('New Capacity'!C$2:C$10000,'New Capacity'!$B$2:$B$10000,$A139)</f>
        <v>0</v>
      </c>
      <c r="D139">
        <f>SUMIFS('New Capacity'!D$2:D$10000,'New Capacity'!$B$2:$B$10000,$A139)</f>
        <v>0</v>
      </c>
      <c r="E139">
        <f>SUMIFS('New Capacity'!E$2:E$10000,'New Capacity'!$B$2:$B$10000,$A139)</f>
        <v>0</v>
      </c>
      <c r="F139">
        <f>SUMIFS('New Capacity'!F$2:F$10000,'New Capacity'!$B$2:$B$10000,$A139)</f>
        <v>0</v>
      </c>
      <c r="G139">
        <f>SUMIFS('New Capacity'!G$2:G$10000,'New Capacity'!$B$2:$B$10000,$A139)</f>
        <v>0</v>
      </c>
      <c r="H139">
        <f>SUMIFS('New Capacity'!H$2:H$10000,'New Capacity'!$B$2:$B$10000,$A139)</f>
        <v>0</v>
      </c>
      <c r="I139">
        <f>SUMIFS('New Capacity'!I$2:I$10000,'New Capacity'!$B$2:$B$10000,$A139)</f>
        <v>0</v>
      </c>
      <c r="J139">
        <f>SUMIFS('New Capacity'!J$2:J$10000,'New Capacity'!$B$2:$B$10000,$A139)</f>
        <v>0</v>
      </c>
      <c r="K139">
        <f>SUMIFS('New Capacity'!K$2:K$10000,'New Capacity'!$B$2:$B$10000,$A139)</f>
        <v>0</v>
      </c>
      <c r="L139">
        <f>SUMIFS('New Capacity'!L$2:L$10000,'New Capacity'!$B$2:$B$10000,$A139)</f>
        <v>0</v>
      </c>
      <c r="M139">
        <f>SUMIFS('New Capacity'!M$2:M$10000,'New Capacity'!$B$2:$B$10000,$A139)</f>
        <v>0</v>
      </c>
      <c r="N139">
        <f>SUMIFS('New Capacity'!N$2:N$10000,'New Capacity'!$B$2:$B$10000,$A139)</f>
        <v>0</v>
      </c>
      <c r="O139">
        <f>SUMIFS('New Capacity'!O$2:O$10000,'New Capacity'!$B$2:$B$10000,$A139)</f>
        <v>0</v>
      </c>
      <c r="P139">
        <f>SUMIFS('New Capacity'!P$2:P$10000,'New Capacity'!$B$2:$B$10000,$A139)</f>
        <v>0</v>
      </c>
      <c r="Q139">
        <f>SUMIFS('New Capacity'!Q$2:Q$10000,'New Capacity'!$B$2:$B$10000,$A139)</f>
        <v>0</v>
      </c>
      <c r="R139">
        <f>SUMIFS('New Capacity'!R$2:R$10000,'New Capacity'!$B$2:$B$10000,$A139)</f>
        <v>0</v>
      </c>
      <c r="S139">
        <f>SUMIFS('New Capacity'!S$2:S$10000,'New Capacity'!$B$2:$B$10000,$A139)</f>
        <v>0</v>
      </c>
      <c r="T139">
        <f>SUMIFS('New Capacity'!T$2:T$10000,'New Capacity'!$B$2:$B$10000,$A139)</f>
        <v>0</v>
      </c>
      <c r="U139">
        <f>SUMIFS('New Capacity'!U$2:U$10000,'New Capacity'!$B$2:$B$10000,$A139)</f>
        <v>0</v>
      </c>
      <c r="V139">
        <f>SUMIFS('New Capacity'!V$2:V$10000,'New Capacity'!$B$2:$B$10000,$A139)</f>
        <v>0</v>
      </c>
      <c r="W139">
        <f>SUMIFS('New Capacity'!W$2:W$10000,'New Capacity'!$B$2:$B$10000,$A139)</f>
        <v>0</v>
      </c>
      <c r="X139">
        <f>SUMIFS('New Capacity'!X$2:X$10000,'New Capacity'!$B$2:$B$10000,$A139)</f>
        <v>0</v>
      </c>
      <c r="Y139">
        <f>SUMIFS('New Capacity'!Y$2:Y$10000,'New Capacity'!$B$2:$B$10000,$A139)</f>
        <v>0</v>
      </c>
      <c r="Z139">
        <f>SUMIFS('New Capacity'!Z$2:Z$10000,'New Capacity'!$B$2:$B$10000,$A139)</f>
        <v>0</v>
      </c>
      <c r="AA139">
        <f>SUMIFS('New Capacity'!AA$2:AA$10000,'New Capacity'!$B$2:$B$10000,$A139)</f>
        <v>0</v>
      </c>
      <c r="AB139">
        <f>SUMIFS('New Capacity'!AB$2:AB$10000,'New Capacity'!$B$2:$B$10000,$A139)</f>
        <v>0</v>
      </c>
      <c r="AC139">
        <f>SUMIFS('New Capacity'!AC$2:AC$10000,'New Capacity'!$B$2:$B$10000,$A139)</f>
        <v>0</v>
      </c>
      <c r="AD139">
        <f>SUMIFS('New Capacity'!AD$2:AD$10000,'New Capacity'!$B$2:$B$10000,$A139)</f>
        <v>0</v>
      </c>
      <c r="AE139">
        <f>SUMIFS('New Capacity'!AE$2:AE$10000,'New Capacity'!$B$2:$B$10000,$A139)</f>
        <v>0</v>
      </c>
      <c r="AF139">
        <f>SUMIFS('New Capacity'!AF$2:AF$10000,'New Capacity'!$B$2:$B$10000,$A139)</f>
        <v>0</v>
      </c>
      <c r="AG139">
        <f>SUMIFS('New Capacity'!AG$2:AG$10000,'New Capacity'!$B$2:$B$10000,$A139)</f>
        <v>0</v>
      </c>
    </row>
    <row r="140" spans="1:33">
      <c r="A140" t="s">
        <v>149</v>
      </c>
      <c r="C140">
        <f>SUMIFS('New Capacity'!C$2:C$10000,'New Capacity'!$B$2:$B$10000,$A140)</f>
        <v>0</v>
      </c>
      <c r="D140">
        <f>SUMIFS('New Capacity'!D$2:D$10000,'New Capacity'!$B$2:$B$10000,$A140)</f>
        <v>0</v>
      </c>
      <c r="E140">
        <f>SUMIFS('New Capacity'!E$2:E$10000,'New Capacity'!$B$2:$B$10000,$A140)</f>
        <v>0</v>
      </c>
      <c r="F140">
        <f>SUMIFS('New Capacity'!F$2:F$10000,'New Capacity'!$B$2:$B$10000,$A140)</f>
        <v>0</v>
      </c>
      <c r="G140">
        <f>SUMIFS('New Capacity'!G$2:G$10000,'New Capacity'!$B$2:$B$10000,$A140)</f>
        <v>0</v>
      </c>
      <c r="H140">
        <f>SUMIFS('New Capacity'!H$2:H$10000,'New Capacity'!$B$2:$B$10000,$A140)</f>
        <v>0</v>
      </c>
      <c r="I140">
        <f>SUMIFS('New Capacity'!I$2:I$10000,'New Capacity'!$B$2:$B$10000,$A140)</f>
        <v>0</v>
      </c>
      <c r="J140">
        <f>SUMIFS('New Capacity'!J$2:J$10000,'New Capacity'!$B$2:$B$10000,$A140)</f>
        <v>0</v>
      </c>
      <c r="K140">
        <f>SUMIFS('New Capacity'!K$2:K$10000,'New Capacity'!$B$2:$B$10000,$A140)</f>
        <v>0</v>
      </c>
      <c r="L140">
        <f>SUMIFS('New Capacity'!L$2:L$10000,'New Capacity'!$B$2:$B$10000,$A140)</f>
        <v>0</v>
      </c>
      <c r="M140">
        <f>SUMIFS('New Capacity'!M$2:M$10000,'New Capacity'!$B$2:$B$10000,$A140)</f>
        <v>0</v>
      </c>
      <c r="N140">
        <f>SUMIFS('New Capacity'!N$2:N$10000,'New Capacity'!$B$2:$B$10000,$A140)</f>
        <v>0</v>
      </c>
      <c r="O140">
        <f>SUMIFS('New Capacity'!O$2:O$10000,'New Capacity'!$B$2:$B$10000,$A140)</f>
        <v>0</v>
      </c>
      <c r="P140">
        <f>SUMIFS('New Capacity'!P$2:P$10000,'New Capacity'!$B$2:$B$10000,$A140)</f>
        <v>0</v>
      </c>
      <c r="Q140">
        <f>SUMIFS('New Capacity'!Q$2:Q$10000,'New Capacity'!$B$2:$B$10000,$A140)</f>
        <v>0</v>
      </c>
      <c r="R140">
        <f>SUMIFS('New Capacity'!R$2:R$10000,'New Capacity'!$B$2:$B$10000,$A140)</f>
        <v>0</v>
      </c>
      <c r="S140">
        <f>SUMIFS('New Capacity'!S$2:S$10000,'New Capacity'!$B$2:$B$10000,$A140)</f>
        <v>0</v>
      </c>
      <c r="T140">
        <f>SUMIFS('New Capacity'!T$2:T$10000,'New Capacity'!$B$2:$B$10000,$A140)</f>
        <v>0</v>
      </c>
      <c r="U140">
        <f>SUMIFS('New Capacity'!U$2:U$10000,'New Capacity'!$B$2:$B$10000,$A140)</f>
        <v>0</v>
      </c>
      <c r="V140">
        <f>SUMIFS('New Capacity'!V$2:V$10000,'New Capacity'!$B$2:$B$10000,$A140)</f>
        <v>0</v>
      </c>
      <c r="W140">
        <f>SUMIFS('New Capacity'!W$2:W$10000,'New Capacity'!$B$2:$B$10000,$A140)</f>
        <v>0</v>
      </c>
      <c r="X140">
        <f>SUMIFS('New Capacity'!X$2:X$10000,'New Capacity'!$B$2:$B$10000,$A140)</f>
        <v>0</v>
      </c>
      <c r="Y140">
        <f>SUMIFS('New Capacity'!Y$2:Y$10000,'New Capacity'!$B$2:$B$10000,$A140)</f>
        <v>0</v>
      </c>
      <c r="Z140">
        <f>SUMIFS('New Capacity'!Z$2:Z$10000,'New Capacity'!$B$2:$B$10000,$A140)</f>
        <v>0</v>
      </c>
      <c r="AA140">
        <f>SUMIFS('New Capacity'!AA$2:AA$10000,'New Capacity'!$B$2:$B$10000,$A140)</f>
        <v>0</v>
      </c>
      <c r="AB140">
        <f>SUMIFS('New Capacity'!AB$2:AB$10000,'New Capacity'!$B$2:$B$10000,$A140)</f>
        <v>0</v>
      </c>
      <c r="AC140">
        <f>SUMIFS('New Capacity'!AC$2:AC$10000,'New Capacity'!$B$2:$B$10000,$A140)</f>
        <v>0</v>
      </c>
      <c r="AD140">
        <f>SUMIFS('New Capacity'!AD$2:AD$10000,'New Capacity'!$B$2:$B$10000,$A140)</f>
        <v>0</v>
      </c>
      <c r="AE140">
        <f>SUMIFS('New Capacity'!AE$2:AE$10000,'New Capacity'!$B$2:$B$10000,$A140)</f>
        <v>0</v>
      </c>
      <c r="AF140">
        <f>SUMIFS('New Capacity'!AF$2:AF$10000,'New Capacity'!$B$2:$B$10000,$A140)</f>
        <v>0</v>
      </c>
      <c r="AG140">
        <f>SUMIFS('New Capacity'!AG$2:AG$10000,'New Capacity'!$B$2:$B$10000,$A140)</f>
        <v>0</v>
      </c>
    </row>
    <row r="141" spans="1:33">
      <c r="A141" t="s">
        <v>150</v>
      </c>
      <c r="C141">
        <f>SUMIFS('New Capacity'!C$2:C$10000,'New Capacity'!$B$2:$B$10000,$A141)</f>
        <v>0</v>
      </c>
      <c r="D141">
        <f>SUMIFS('New Capacity'!D$2:D$10000,'New Capacity'!$B$2:$B$10000,$A141)</f>
        <v>0.3024</v>
      </c>
      <c r="E141">
        <f>SUMIFS('New Capacity'!E$2:E$10000,'New Capacity'!$B$2:$B$10000,$A141)</f>
        <v>0.3049</v>
      </c>
      <c r="F141">
        <f>SUMIFS('New Capacity'!F$2:F$10000,'New Capacity'!$B$2:$B$10000,$A141)</f>
        <v>0.15679999999999999</v>
      </c>
      <c r="G141">
        <f>SUMIFS('New Capacity'!G$2:G$10000,'New Capacity'!$B$2:$B$10000,$A141)</f>
        <v>1.0012000000000001</v>
      </c>
      <c r="H141">
        <f>SUMIFS('New Capacity'!H$2:H$10000,'New Capacity'!$B$2:$B$10000,$A141)</f>
        <v>0.27489999999999998</v>
      </c>
      <c r="I141">
        <f>SUMIFS('New Capacity'!I$2:I$10000,'New Capacity'!$B$2:$B$10000,$A141)</f>
        <v>0</v>
      </c>
      <c r="J141">
        <f>SUMIFS('New Capacity'!J$2:J$10000,'New Capacity'!$B$2:$B$10000,$A141)</f>
        <v>0</v>
      </c>
      <c r="K141">
        <f>SUMIFS('New Capacity'!K$2:K$10000,'New Capacity'!$B$2:$B$10000,$A141)</f>
        <v>0</v>
      </c>
      <c r="L141">
        <f>SUMIFS('New Capacity'!L$2:L$10000,'New Capacity'!$B$2:$B$10000,$A141)</f>
        <v>0</v>
      </c>
      <c r="M141">
        <f>SUMIFS('New Capacity'!M$2:M$10000,'New Capacity'!$B$2:$B$10000,$A141)</f>
        <v>9.4976000000000003</v>
      </c>
      <c r="N141">
        <f>SUMIFS('New Capacity'!N$2:N$10000,'New Capacity'!$B$2:$B$10000,$A141)</f>
        <v>0</v>
      </c>
      <c r="O141">
        <f>SUMIFS('New Capacity'!O$2:O$10000,'New Capacity'!$B$2:$B$10000,$A141)</f>
        <v>0</v>
      </c>
      <c r="P141">
        <f>SUMIFS('New Capacity'!P$2:P$10000,'New Capacity'!$B$2:$B$10000,$A141)</f>
        <v>0</v>
      </c>
      <c r="Q141">
        <f>SUMIFS('New Capacity'!Q$2:Q$10000,'New Capacity'!$B$2:$B$10000,$A141)</f>
        <v>3.49E-2</v>
      </c>
      <c r="R141">
        <f>SUMIFS('New Capacity'!R$2:R$10000,'New Capacity'!$B$2:$B$10000,$A141)</f>
        <v>0</v>
      </c>
      <c r="S141">
        <f>SUMIFS('New Capacity'!S$2:S$10000,'New Capacity'!$B$2:$B$10000,$A141)</f>
        <v>0</v>
      </c>
      <c r="T141">
        <f>SUMIFS('New Capacity'!T$2:T$10000,'New Capacity'!$B$2:$B$10000,$A141)</f>
        <v>0</v>
      </c>
      <c r="U141">
        <f>SUMIFS('New Capacity'!U$2:U$10000,'New Capacity'!$B$2:$B$10000,$A141)</f>
        <v>0</v>
      </c>
      <c r="V141">
        <f>SUMIFS('New Capacity'!V$2:V$10000,'New Capacity'!$B$2:$B$10000,$A141)</f>
        <v>0</v>
      </c>
      <c r="W141" s="21">
        <f>SUMIFS('New Capacity'!W$2:W$10000,'New Capacity'!$B$2:$B$10000,$A141)</f>
        <v>17.871400000000001</v>
      </c>
      <c r="X141" s="21">
        <f>SUMIFS('New Capacity'!X$2:X$10000,'New Capacity'!$B$2:$B$10000,$A141)</f>
        <v>1.5739000000000001</v>
      </c>
      <c r="Y141">
        <f>SUMIFS('New Capacity'!Y$2:Y$10000,'New Capacity'!$B$2:$B$10000,$A141)</f>
        <v>1.6903999999999999</v>
      </c>
      <c r="Z141">
        <f>SUMIFS('New Capacity'!Z$2:Z$10000,'New Capacity'!$B$2:$B$10000,$A141)</f>
        <v>1.6939</v>
      </c>
      <c r="AA141">
        <f>SUMIFS('New Capacity'!AA$2:AA$10000,'New Capacity'!$B$2:$B$10000,$A141)</f>
        <v>1.7192000000000001</v>
      </c>
      <c r="AB141">
        <f>SUMIFS('New Capacity'!AB$2:AB$10000,'New Capacity'!$B$2:$B$10000,$A141)</f>
        <v>1.8405</v>
      </c>
      <c r="AC141">
        <f>SUMIFS('New Capacity'!AC$2:AC$10000,'New Capacity'!$B$2:$B$10000,$A141)</f>
        <v>2.4447000000000001</v>
      </c>
      <c r="AD141">
        <f>SUMIFS('New Capacity'!AD$2:AD$10000,'New Capacity'!$B$2:$B$10000,$A141)</f>
        <v>1.8703000000000001</v>
      </c>
      <c r="AE141">
        <f>SUMIFS('New Capacity'!AE$2:AE$10000,'New Capacity'!$B$2:$B$10000,$A141)</f>
        <v>3.6143999999999998</v>
      </c>
      <c r="AF141">
        <f>SUMIFS('New Capacity'!AF$2:AF$10000,'New Capacity'!$B$2:$B$10000,$A141)</f>
        <v>0</v>
      </c>
      <c r="AG141">
        <f>SUMIFS('New Capacity'!AG$2:AG$10000,'New Capacity'!$B$2:$B$10000,$A141)</f>
        <v>10.904</v>
      </c>
    </row>
    <row r="142" spans="1:33">
      <c r="A142" t="s">
        <v>151</v>
      </c>
      <c r="C142">
        <f>SUMIFS('New Capacity'!C$2:C$10000,'New Capacity'!$B$2:$B$10000,$A142)</f>
        <v>0</v>
      </c>
      <c r="D142">
        <f>SUMIFS('New Capacity'!D$2:D$10000,'New Capacity'!$B$2:$B$10000,$A142)</f>
        <v>0</v>
      </c>
      <c r="E142">
        <f>SUMIFS('New Capacity'!E$2:E$10000,'New Capacity'!$B$2:$B$10000,$A142)</f>
        <v>0</v>
      </c>
      <c r="F142">
        <f>SUMIFS('New Capacity'!F$2:F$10000,'New Capacity'!$B$2:$B$10000,$A142)</f>
        <v>0</v>
      </c>
      <c r="G142">
        <f>SUMIFS('New Capacity'!G$2:G$10000,'New Capacity'!$B$2:$B$10000,$A142)</f>
        <v>0</v>
      </c>
      <c r="H142">
        <f>SUMIFS('New Capacity'!H$2:H$10000,'New Capacity'!$B$2:$B$10000,$A142)</f>
        <v>0</v>
      </c>
      <c r="I142">
        <f>SUMIFS('New Capacity'!I$2:I$10000,'New Capacity'!$B$2:$B$10000,$A142)</f>
        <v>0</v>
      </c>
      <c r="J142">
        <f>SUMIFS('New Capacity'!J$2:J$10000,'New Capacity'!$B$2:$B$10000,$A142)</f>
        <v>0</v>
      </c>
      <c r="K142">
        <f>SUMIFS('New Capacity'!K$2:K$10000,'New Capacity'!$B$2:$B$10000,$A142)</f>
        <v>0</v>
      </c>
      <c r="L142">
        <f>SUMIFS('New Capacity'!L$2:L$10000,'New Capacity'!$B$2:$B$10000,$A142)</f>
        <v>0</v>
      </c>
      <c r="M142">
        <f>SUMIFS('New Capacity'!M$2:M$10000,'New Capacity'!$B$2:$B$10000,$A142)</f>
        <v>0</v>
      </c>
      <c r="N142">
        <f>SUMIFS('New Capacity'!N$2:N$10000,'New Capacity'!$B$2:$B$10000,$A142)</f>
        <v>0</v>
      </c>
      <c r="O142">
        <f>SUMIFS('New Capacity'!O$2:O$10000,'New Capacity'!$B$2:$B$10000,$A142)</f>
        <v>0</v>
      </c>
      <c r="P142">
        <f>SUMIFS('New Capacity'!P$2:P$10000,'New Capacity'!$B$2:$B$10000,$A142)</f>
        <v>0</v>
      </c>
      <c r="Q142">
        <f>SUMIFS('New Capacity'!Q$2:Q$10000,'New Capacity'!$B$2:$B$10000,$A142)</f>
        <v>0</v>
      </c>
      <c r="R142">
        <f>SUMIFS('New Capacity'!R$2:R$10000,'New Capacity'!$B$2:$B$10000,$A142)</f>
        <v>0</v>
      </c>
      <c r="S142">
        <f>SUMIFS('New Capacity'!S$2:S$10000,'New Capacity'!$B$2:$B$10000,$A142)</f>
        <v>0</v>
      </c>
      <c r="T142">
        <f>SUMIFS('New Capacity'!T$2:T$10000,'New Capacity'!$B$2:$B$10000,$A142)</f>
        <v>0</v>
      </c>
      <c r="U142">
        <f>SUMIFS('New Capacity'!U$2:U$10000,'New Capacity'!$B$2:$B$10000,$A142)</f>
        <v>0</v>
      </c>
      <c r="V142">
        <f>SUMIFS('New Capacity'!V$2:V$10000,'New Capacity'!$B$2:$B$10000,$A142)</f>
        <v>0</v>
      </c>
      <c r="W142">
        <f>SUMIFS('New Capacity'!W$2:W$10000,'New Capacity'!$B$2:$B$10000,$A142)</f>
        <v>0</v>
      </c>
      <c r="X142">
        <f>SUMIFS('New Capacity'!X$2:X$10000,'New Capacity'!$B$2:$B$10000,$A142)</f>
        <v>0</v>
      </c>
      <c r="Y142">
        <f>SUMIFS('New Capacity'!Y$2:Y$10000,'New Capacity'!$B$2:$B$10000,$A142)</f>
        <v>0</v>
      </c>
      <c r="Z142">
        <f>SUMIFS('New Capacity'!Z$2:Z$10000,'New Capacity'!$B$2:$B$10000,$A142)</f>
        <v>0</v>
      </c>
      <c r="AA142">
        <f>SUMIFS('New Capacity'!AA$2:AA$10000,'New Capacity'!$B$2:$B$10000,$A142)</f>
        <v>0</v>
      </c>
      <c r="AB142">
        <f>SUMIFS('New Capacity'!AB$2:AB$10000,'New Capacity'!$B$2:$B$10000,$A142)</f>
        <v>0</v>
      </c>
      <c r="AC142">
        <f>SUMIFS('New Capacity'!AC$2:AC$10000,'New Capacity'!$B$2:$B$10000,$A142)</f>
        <v>0</v>
      </c>
      <c r="AD142">
        <f>SUMIFS('New Capacity'!AD$2:AD$10000,'New Capacity'!$B$2:$B$10000,$A142)</f>
        <v>0</v>
      </c>
      <c r="AE142">
        <f>SUMIFS('New Capacity'!AE$2:AE$10000,'New Capacity'!$B$2:$B$10000,$A142)</f>
        <v>0</v>
      </c>
      <c r="AF142">
        <f>SUMIFS('New Capacity'!AF$2:AF$10000,'New Capacity'!$B$2:$B$10000,$A142)</f>
        <v>0</v>
      </c>
      <c r="AG142">
        <f>SUMIFS('New Capacity'!AG$2:AG$10000,'New Capacity'!$B$2:$B$10000,$A142)</f>
        <v>0</v>
      </c>
    </row>
    <row r="143" spans="1:33">
      <c r="A143" t="s">
        <v>152</v>
      </c>
      <c r="C143">
        <f>SUMIFS('New Capacity'!C$2:C$10000,'New Capacity'!$B$2:$B$10000,$A143)</f>
        <v>0.23910000000000001</v>
      </c>
      <c r="D143">
        <f>SUMIFS('New Capacity'!D$2:D$10000,'New Capacity'!$B$2:$B$10000,$A143)</f>
        <v>0.1552</v>
      </c>
      <c r="E143">
        <f>SUMIFS('New Capacity'!E$2:E$10000,'New Capacity'!$B$2:$B$10000,$A143)</f>
        <v>0</v>
      </c>
      <c r="F143">
        <f>SUMIFS('New Capacity'!F$2:F$10000,'New Capacity'!$B$2:$B$10000,$A143)</f>
        <v>2.46E-2</v>
      </c>
      <c r="G143">
        <f>SUMIFS('New Capacity'!G$2:G$10000,'New Capacity'!$B$2:$B$10000,$A143)</f>
        <v>0</v>
      </c>
      <c r="H143">
        <f>SUMIFS('New Capacity'!H$2:H$10000,'New Capacity'!$B$2:$B$10000,$A143)</f>
        <v>0</v>
      </c>
      <c r="I143">
        <f>SUMIFS('New Capacity'!I$2:I$10000,'New Capacity'!$B$2:$B$10000,$A143)</f>
        <v>0</v>
      </c>
      <c r="J143">
        <f>SUMIFS('New Capacity'!J$2:J$10000,'New Capacity'!$B$2:$B$10000,$A143)</f>
        <v>0</v>
      </c>
      <c r="K143">
        <f>SUMIFS('New Capacity'!K$2:K$10000,'New Capacity'!$B$2:$B$10000,$A143)</f>
        <v>0</v>
      </c>
      <c r="L143">
        <f>SUMIFS('New Capacity'!L$2:L$10000,'New Capacity'!$B$2:$B$10000,$A143)</f>
        <v>0</v>
      </c>
      <c r="M143">
        <f>SUMIFS('New Capacity'!M$2:M$10000,'New Capacity'!$B$2:$B$10000,$A143)</f>
        <v>0</v>
      </c>
      <c r="N143">
        <f>SUMIFS('New Capacity'!N$2:N$10000,'New Capacity'!$B$2:$B$10000,$A143)</f>
        <v>0</v>
      </c>
      <c r="O143">
        <f>SUMIFS('New Capacity'!O$2:O$10000,'New Capacity'!$B$2:$B$10000,$A143)</f>
        <v>0</v>
      </c>
      <c r="P143">
        <f>SUMIFS('New Capacity'!P$2:P$10000,'New Capacity'!$B$2:$B$10000,$A143)</f>
        <v>0</v>
      </c>
      <c r="Q143">
        <f>SUMIFS('New Capacity'!Q$2:Q$10000,'New Capacity'!$B$2:$B$10000,$A143)</f>
        <v>0</v>
      </c>
      <c r="R143">
        <f>SUMIFS('New Capacity'!R$2:R$10000,'New Capacity'!$B$2:$B$10000,$A143)</f>
        <v>0</v>
      </c>
      <c r="S143">
        <f>SUMIFS('New Capacity'!S$2:S$10000,'New Capacity'!$B$2:$B$10000,$A143)</f>
        <v>0</v>
      </c>
      <c r="T143">
        <f>SUMIFS('New Capacity'!T$2:T$10000,'New Capacity'!$B$2:$B$10000,$A143)</f>
        <v>0</v>
      </c>
      <c r="U143">
        <f>SUMIFS('New Capacity'!U$2:U$10000,'New Capacity'!$B$2:$B$10000,$A143)</f>
        <v>0</v>
      </c>
      <c r="V143">
        <f>SUMIFS('New Capacity'!V$2:V$10000,'New Capacity'!$B$2:$B$10000,$A143)</f>
        <v>0</v>
      </c>
      <c r="W143">
        <f>SUMIFS('New Capacity'!W$2:W$10000,'New Capacity'!$B$2:$B$10000,$A143)</f>
        <v>0</v>
      </c>
      <c r="X143">
        <f>SUMIFS('New Capacity'!X$2:X$10000,'New Capacity'!$B$2:$B$10000,$A143)</f>
        <v>0</v>
      </c>
      <c r="Y143">
        <f>SUMIFS('New Capacity'!Y$2:Y$10000,'New Capacity'!$B$2:$B$10000,$A143)</f>
        <v>0</v>
      </c>
      <c r="Z143">
        <f>SUMIFS('New Capacity'!Z$2:Z$10000,'New Capacity'!$B$2:$B$10000,$A143)</f>
        <v>0</v>
      </c>
      <c r="AA143">
        <f>SUMIFS('New Capacity'!AA$2:AA$10000,'New Capacity'!$B$2:$B$10000,$A143)</f>
        <v>0</v>
      </c>
      <c r="AB143">
        <f>SUMIFS('New Capacity'!AB$2:AB$10000,'New Capacity'!$B$2:$B$10000,$A143)</f>
        <v>0</v>
      </c>
      <c r="AC143">
        <f>SUMIFS('New Capacity'!AC$2:AC$10000,'New Capacity'!$B$2:$B$10000,$A143)</f>
        <v>0</v>
      </c>
      <c r="AD143">
        <f>SUMIFS('New Capacity'!AD$2:AD$10000,'New Capacity'!$B$2:$B$10000,$A143)</f>
        <v>0</v>
      </c>
      <c r="AE143">
        <f>SUMIFS('New Capacity'!AE$2:AE$10000,'New Capacity'!$B$2:$B$10000,$A143)</f>
        <v>0</v>
      </c>
      <c r="AF143">
        <f>SUMIFS('New Capacity'!AF$2:AF$10000,'New Capacity'!$B$2:$B$10000,$A143)</f>
        <v>0</v>
      </c>
      <c r="AG143">
        <f>SUMIFS('New Capacity'!AG$2:AG$10000,'New Capacity'!$B$2:$B$10000,$A143)</f>
        <v>0</v>
      </c>
    </row>
    <row r="144" spans="1:33">
      <c r="A144" t="s">
        <v>135</v>
      </c>
      <c r="C144">
        <f>SUMIFS('New Capacity'!C$2:C$10000,'New Capacity'!$B$2:$B$10000,$A144)</f>
        <v>0</v>
      </c>
      <c r="D144">
        <f>SUMIFS('New Capacity'!D$2:D$10000,'New Capacity'!$B$2:$B$10000,$A144)</f>
        <v>0.17979999999999999</v>
      </c>
      <c r="E144">
        <f>SUMIFS('New Capacity'!E$2:E$10000,'New Capacity'!$B$2:$B$10000,$A144)</f>
        <v>9.7299999999999998E-2</v>
      </c>
      <c r="F144">
        <f>SUMIFS('New Capacity'!F$2:F$10000,'New Capacity'!$B$2:$B$10000,$A144)</f>
        <v>0</v>
      </c>
      <c r="G144">
        <f>SUMIFS('New Capacity'!G$2:G$10000,'New Capacity'!$B$2:$B$10000,$A144)</f>
        <v>1.12E-2</v>
      </c>
      <c r="H144">
        <f>SUMIFS('New Capacity'!H$2:H$10000,'New Capacity'!$B$2:$B$10000,$A144)</f>
        <v>0</v>
      </c>
      <c r="I144">
        <f>SUMIFS('New Capacity'!I$2:I$10000,'New Capacity'!$B$2:$B$10000,$A144)</f>
        <v>0</v>
      </c>
      <c r="J144">
        <f>SUMIFS('New Capacity'!J$2:J$10000,'New Capacity'!$B$2:$B$10000,$A144)</f>
        <v>0</v>
      </c>
      <c r="K144">
        <f>SUMIFS('New Capacity'!K$2:K$10000,'New Capacity'!$B$2:$B$10000,$A144)</f>
        <v>0</v>
      </c>
      <c r="L144">
        <f>SUMIFS('New Capacity'!L$2:L$10000,'New Capacity'!$B$2:$B$10000,$A144)</f>
        <v>0</v>
      </c>
      <c r="M144">
        <f>SUMIFS('New Capacity'!M$2:M$10000,'New Capacity'!$B$2:$B$10000,$A144)</f>
        <v>0</v>
      </c>
      <c r="N144">
        <f>SUMIFS('New Capacity'!N$2:N$10000,'New Capacity'!$B$2:$B$10000,$A144)</f>
        <v>0</v>
      </c>
      <c r="O144">
        <f>SUMIFS('New Capacity'!O$2:O$10000,'New Capacity'!$B$2:$B$10000,$A144)</f>
        <v>0</v>
      </c>
      <c r="P144">
        <f>SUMIFS('New Capacity'!P$2:P$10000,'New Capacity'!$B$2:$B$10000,$A144)</f>
        <v>0</v>
      </c>
      <c r="Q144">
        <f>SUMIFS('New Capacity'!Q$2:Q$10000,'New Capacity'!$B$2:$B$10000,$A144)</f>
        <v>0</v>
      </c>
      <c r="R144">
        <f>SUMIFS('New Capacity'!R$2:R$10000,'New Capacity'!$B$2:$B$10000,$A144)</f>
        <v>0</v>
      </c>
      <c r="S144">
        <f>SUMIFS('New Capacity'!S$2:S$10000,'New Capacity'!$B$2:$B$10000,$A144)</f>
        <v>0</v>
      </c>
      <c r="T144">
        <f>SUMIFS('New Capacity'!T$2:T$10000,'New Capacity'!$B$2:$B$10000,$A144)</f>
        <v>0</v>
      </c>
      <c r="U144">
        <f>SUMIFS('New Capacity'!U$2:U$10000,'New Capacity'!$B$2:$B$10000,$A144)</f>
        <v>0</v>
      </c>
      <c r="V144">
        <f>SUMIFS('New Capacity'!V$2:V$10000,'New Capacity'!$B$2:$B$10000,$A144)</f>
        <v>0</v>
      </c>
      <c r="W144">
        <f>SUMIFS('New Capacity'!W$2:W$10000,'New Capacity'!$B$2:$B$10000,$A144)</f>
        <v>0</v>
      </c>
      <c r="X144">
        <f>SUMIFS('New Capacity'!X$2:X$10000,'New Capacity'!$B$2:$B$10000,$A144)</f>
        <v>0</v>
      </c>
      <c r="Y144">
        <f>SUMIFS('New Capacity'!Y$2:Y$10000,'New Capacity'!$B$2:$B$10000,$A144)</f>
        <v>0</v>
      </c>
      <c r="Z144">
        <f>SUMIFS('New Capacity'!Z$2:Z$10000,'New Capacity'!$B$2:$B$10000,$A144)</f>
        <v>0</v>
      </c>
      <c r="AA144">
        <f>SUMIFS('New Capacity'!AA$2:AA$10000,'New Capacity'!$B$2:$B$10000,$A144)</f>
        <v>0</v>
      </c>
      <c r="AB144">
        <f>SUMIFS('New Capacity'!AB$2:AB$10000,'New Capacity'!$B$2:$B$10000,$A144)</f>
        <v>0</v>
      </c>
      <c r="AC144">
        <f>SUMIFS('New Capacity'!AC$2:AC$10000,'New Capacity'!$B$2:$B$10000,$A144)</f>
        <v>0</v>
      </c>
      <c r="AD144">
        <f>SUMIFS('New Capacity'!AD$2:AD$10000,'New Capacity'!$B$2:$B$10000,$A144)</f>
        <v>0</v>
      </c>
      <c r="AE144">
        <f>SUMIFS('New Capacity'!AE$2:AE$10000,'New Capacity'!$B$2:$B$10000,$A144)</f>
        <v>0</v>
      </c>
      <c r="AF144">
        <f>SUMIFS('New Capacity'!AF$2:AF$10000,'New Capacity'!$B$2:$B$10000,$A144)</f>
        <v>0</v>
      </c>
      <c r="AG144">
        <f>SUMIFS('New Capacity'!AG$2:AG$10000,'New Capacity'!$B$2:$B$10000,$A144)</f>
        <v>0</v>
      </c>
    </row>
    <row r="145" spans="1:58">
      <c r="A145" t="s">
        <v>134</v>
      </c>
      <c r="C145">
        <f>SUMIFS('New Capacity'!C$2:C$10000,'New Capacity'!$B$2:$B$10000,$A145)</f>
        <v>0</v>
      </c>
      <c r="D145">
        <f>SUMIFS('New Capacity'!D$2:D$10000,'New Capacity'!$B$2:$B$10000,$A145)</f>
        <v>0</v>
      </c>
      <c r="E145">
        <f>SUMIFS('New Capacity'!E$2:E$10000,'New Capacity'!$B$2:$B$10000,$A145)</f>
        <v>0</v>
      </c>
      <c r="F145">
        <f>SUMIFS('New Capacity'!F$2:F$10000,'New Capacity'!$B$2:$B$10000,$A145)</f>
        <v>0</v>
      </c>
      <c r="G145">
        <f>SUMIFS('New Capacity'!G$2:G$10000,'New Capacity'!$B$2:$B$10000,$A145)</f>
        <v>0</v>
      </c>
      <c r="H145">
        <f>SUMIFS('New Capacity'!H$2:H$10000,'New Capacity'!$B$2:$B$10000,$A145)</f>
        <v>0</v>
      </c>
      <c r="I145">
        <f>SUMIFS('New Capacity'!I$2:I$10000,'New Capacity'!$B$2:$B$10000,$A145)</f>
        <v>0</v>
      </c>
      <c r="J145">
        <f>SUMIFS('New Capacity'!J$2:J$10000,'New Capacity'!$B$2:$B$10000,$A145)</f>
        <v>0</v>
      </c>
      <c r="K145">
        <f>SUMIFS('New Capacity'!K$2:K$10000,'New Capacity'!$B$2:$B$10000,$A145)</f>
        <v>0</v>
      </c>
      <c r="L145">
        <f>SUMIFS('New Capacity'!L$2:L$10000,'New Capacity'!$B$2:$B$10000,$A145)</f>
        <v>0</v>
      </c>
      <c r="M145">
        <f>SUMIFS('New Capacity'!M$2:M$10000,'New Capacity'!$B$2:$B$10000,$A145)</f>
        <v>0</v>
      </c>
      <c r="N145">
        <f>SUMIFS('New Capacity'!N$2:N$10000,'New Capacity'!$B$2:$B$10000,$A145)</f>
        <v>0</v>
      </c>
      <c r="O145">
        <f>SUMIFS('New Capacity'!O$2:O$10000,'New Capacity'!$B$2:$B$10000,$A145)</f>
        <v>0</v>
      </c>
      <c r="P145">
        <f>SUMIFS('New Capacity'!P$2:P$10000,'New Capacity'!$B$2:$B$10000,$A145)</f>
        <v>0</v>
      </c>
      <c r="Q145">
        <f>SUMIFS('New Capacity'!Q$2:Q$10000,'New Capacity'!$B$2:$B$10000,$A145)</f>
        <v>0</v>
      </c>
      <c r="R145">
        <f>SUMIFS('New Capacity'!R$2:R$10000,'New Capacity'!$B$2:$B$10000,$A145)</f>
        <v>0</v>
      </c>
      <c r="S145">
        <f>SUMIFS('New Capacity'!S$2:S$10000,'New Capacity'!$B$2:$B$10000,$A145)</f>
        <v>0</v>
      </c>
      <c r="T145">
        <f>SUMIFS('New Capacity'!T$2:T$10000,'New Capacity'!$B$2:$B$10000,$A145)</f>
        <v>0</v>
      </c>
      <c r="U145">
        <f>SUMIFS('New Capacity'!U$2:U$10000,'New Capacity'!$B$2:$B$10000,$A145)</f>
        <v>0</v>
      </c>
      <c r="V145">
        <f>SUMIFS('New Capacity'!V$2:V$10000,'New Capacity'!$B$2:$B$10000,$A145)</f>
        <v>0</v>
      </c>
      <c r="W145">
        <f>SUMIFS('New Capacity'!W$2:W$10000,'New Capacity'!$B$2:$B$10000,$A145)</f>
        <v>0</v>
      </c>
      <c r="X145">
        <f>SUMIFS('New Capacity'!X$2:X$10000,'New Capacity'!$B$2:$B$10000,$A145)</f>
        <v>0</v>
      </c>
      <c r="Y145">
        <f>SUMIFS('New Capacity'!Y$2:Y$10000,'New Capacity'!$B$2:$B$10000,$A145)</f>
        <v>0</v>
      </c>
      <c r="Z145">
        <f>SUMIFS('New Capacity'!Z$2:Z$10000,'New Capacity'!$B$2:$B$10000,$A145)</f>
        <v>0</v>
      </c>
      <c r="AA145">
        <f>SUMIFS('New Capacity'!AA$2:AA$10000,'New Capacity'!$B$2:$B$10000,$A145)</f>
        <v>0</v>
      </c>
      <c r="AB145">
        <f>SUMIFS('New Capacity'!AB$2:AB$10000,'New Capacity'!$B$2:$B$10000,$A145)</f>
        <v>0</v>
      </c>
      <c r="AC145">
        <f>SUMIFS('New Capacity'!AC$2:AC$10000,'New Capacity'!$B$2:$B$10000,$A145)</f>
        <v>0</v>
      </c>
      <c r="AD145">
        <f>SUMIFS('New Capacity'!AD$2:AD$10000,'New Capacity'!$B$2:$B$10000,$A145)</f>
        <v>0</v>
      </c>
      <c r="AE145">
        <f>SUMIFS('New Capacity'!AE$2:AE$10000,'New Capacity'!$B$2:$B$10000,$A145)</f>
        <v>0</v>
      </c>
      <c r="AF145">
        <f>SUMIFS('New Capacity'!AF$2:AF$10000,'New Capacity'!$B$2:$B$10000,$A145)</f>
        <v>0</v>
      </c>
      <c r="AG145">
        <f>SUMIFS('New Capacity'!AG$2:AG$10000,'New Capacity'!$B$2:$B$10000,$A145)</f>
        <v>0</v>
      </c>
    </row>
    <row r="146" spans="1:58">
      <c r="A146" s="43" t="s">
        <v>154</v>
      </c>
      <c r="C146">
        <f>SUMIFS('New Capacity'!C$2:C$10000,'New Capacity'!$B$2:$B$10000,$A146)</f>
        <v>0</v>
      </c>
      <c r="D146">
        <f>SUMIFS('New Capacity'!D$2:D$10000,'New Capacity'!$B$2:$B$10000,$A146)</f>
        <v>0</v>
      </c>
      <c r="E146">
        <f>SUMIFS('New Capacity'!E$2:E$10000,'New Capacity'!$B$2:$B$10000,$A146)</f>
        <v>0</v>
      </c>
      <c r="F146">
        <f>SUMIFS('New Capacity'!F$2:F$10000,'New Capacity'!$B$2:$B$10000,$A146)</f>
        <v>0</v>
      </c>
      <c r="G146">
        <f>SUMIFS('New Capacity'!G$2:G$10000,'New Capacity'!$B$2:$B$10000,$A146)</f>
        <v>0</v>
      </c>
      <c r="H146">
        <f>SUMIFS('New Capacity'!H$2:H$10000,'New Capacity'!$B$2:$B$10000,$A146)</f>
        <v>0.26269999999999999</v>
      </c>
      <c r="I146">
        <f>SUMIFS('New Capacity'!I$2:I$10000,'New Capacity'!$B$2:$B$10000,$A146)</f>
        <v>0.75239999999999996</v>
      </c>
      <c r="J146">
        <f>SUMIFS('New Capacity'!J$2:J$10000,'New Capacity'!$B$2:$B$10000,$A146)</f>
        <v>0.75239999999999996</v>
      </c>
      <c r="K146">
        <f>SUMIFS('New Capacity'!K$2:K$10000,'New Capacity'!$B$2:$B$10000,$A146)</f>
        <v>0.75239999999999996</v>
      </c>
      <c r="L146">
        <f>SUMIFS('New Capacity'!L$2:L$10000,'New Capacity'!$B$2:$B$10000,$A146)</f>
        <v>0.75239999999999996</v>
      </c>
      <c r="M146">
        <f>SUMIFS('New Capacity'!M$2:M$10000,'New Capacity'!$B$2:$B$10000,$A146)</f>
        <v>0.75239999999999996</v>
      </c>
      <c r="N146">
        <f>SUMIFS('New Capacity'!N$2:N$10000,'New Capacity'!$B$2:$B$10000,$A146)</f>
        <v>0.8992</v>
      </c>
      <c r="O146">
        <f>SUMIFS('New Capacity'!O$2:O$10000,'New Capacity'!$B$2:$B$10000,$A146)</f>
        <v>0.8992</v>
      </c>
      <c r="P146">
        <f>SUMIFS('New Capacity'!P$2:P$10000,'New Capacity'!$B$2:$B$10000,$A146)</f>
        <v>0.8992</v>
      </c>
      <c r="Q146">
        <f>SUMIFS('New Capacity'!Q$2:Q$10000,'New Capacity'!$B$2:$B$10000,$A146)</f>
        <v>0.8992</v>
      </c>
      <c r="R146">
        <f>SUMIFS('New Capacity'!R$2:R$10000,'New Capacity'!$B$2:$B$10000,$A146)</f>
        <v>0.8992</v>
      </c>
      <c r="S146">
        <f>SUMIFS('New Capacity'!S$2:S$10000,'New Capacity'!$B$2:$B$10000,$A146)</f>
        <v>1.0919000000000001</v>
      </c>
      <c r="T146">
        <f>SUMIFS('New Capacity'!T$2:T$10000,'New Capacity'!$B$2:$B$10000,$A146)</f>
        <v>1.0919000000000001</v>
      </c>
      <c r="U146">
        <f>SUMIFS('New Capacity'!U$2:U$10000,'New Capacity'!$B$2:$B$10000,$A146)</f>
        <v>1.0919000000000001</v>
      </c>
      <c r="V146">
        <f>SUMIFS('New Capacity'!V$2:V$10000,'New Capacity'!$B$2:$B$10000,$A146)</f>
        <v>1.0919000000000001</v>
      </c>
      <c r="W146">
        <f>SUMIFS('New Capacity'!W$2:W$10000,'New Capacity'!$B$2:$B$10000,$A146)</f>
        <v>1.0919000000000001</v>
      </c>
      <c r="X146">
        <f>SUMIFS('New Capacity'!X$2:X$10000,'New Capacity'!$B$2:$B$10000,$A146)</f>
        <v>1.0979000000000001</v>
      </c>
      <c r="Y146">
        <f>SUMIFS('New Capacity'!Y$2:Y$10000,'New Capacity'!$B$2:$B$10000,$A146)</f>
        <v>1.1859999999999999</v>
      </c>
      <c r="Z146">
        <f>SUMIFS('New Capacity'!Z$2:Z$10000,'New Capacity'!$B$2:$B$10000,$A146)</f>
        <v>1.1887000000000001</v>
      </c>
      <c r="AA146">
        <f>SUMIFS('New Capacity'!AA$2:AA$10000,'New Capacity'!$B$2:$B$10000,$A146)</f>
        <v>1.1911</v>
      </c>
      <c r="AB146">
        <f>SUMIFS('New Capacity'!AB$2:AB$10000,'New Capacity'!$B$2:$B$10000,$A146)</f>
        <v>1.1935</v>
      </c>
      <c r="AC146">
        <f>SUMIFS('New Capacity'!AC$2:AC$10000,'New Capacity'!$B$2:$B$10000,$A146)</f>
        <v>1.2362</v>
      </c>
      <c r="AD146">
        <f>SUMIFS('New Capacity'!AD$2:AD$10000,'New Capacity'!$B$2:$B$10000,$A146)</f>
        <v>1.2381</v>
      </c>
      <c r="AE146">
        <f>SUMIFS('New Capacity'!AE$2:AE$10000,'New Capacity'!$B$2:$B$10000,$A146)</f>
        <v>1.2398</v>
      </c>
      <c r="AF146">
        <f>SUMIFS('New Capacity'!AF$2:AF$10000,'New Capacity'!$B$2:$B$10000,$A146)</f>
        <v>1.2414000000000001</v>
      </c>
      <c r="AG146">
        <f>SUMIFS('New Capacity'!AG$2:AG$10000,'New Capacity'!$B$2:$B$10000,$A146)</f>
        <v>1.7717000000000001</v>
      </c>
    </row>
    <row r="147" spans="1:58">
      <c r="W147"/>
    </row>
    <row r="148" spans="1:58" ht="15" thickBot="1">
      <c r="W148"/>
    </row>
    <row r="149" spans="1:58" ht="16.2" thickBot="1">
      <c r="A149" s="13" t="s">
        <v>226</v>
      </c>
      <c r="C149" s="22">
        <v>2020</v>
      </c>
      <c r="D149" s="22">
        <v>2021</v>
      </c>
      <c r="E149" s="22">
        <v>2022</v>
      </c>
      <c r="F149" s="22">
        <v>2023</v>
      </c>
      <c r="G149" s="22">
        <v>2024</v>
      </c>
      <c r="H149" s="22">
        <v>2025</v>
      </c>
      <c r="I149" s="22">
        <v>2026</v>
      </c>
      <c r="J149" s="22">
        <v>2027</v>
      </c>
      <c r="K149" s="22">
        <v>2028</v>
      </c>
      <c r="L149" s="22">
        <v>2029</v>
      </c>
      <c r="M149" s="22">
        <v>2030</v>
      </c>
      <c r="N149" s="22">
        <v>2031</v>
      </c>
      <c r="O149" s="22">
        <v>2032</v>
      </c>
      <c r="P149" s="22">
        <v>2033</v>
      </c>
      <c r="Q149" s="22">
        <v>2034</v>
      </c>
      <c r="R149" s="22">
        <v>2035</v>
      </c>
      <c r="S149" s="22">
        <v>2036</v>
      </c>
      <c r="T149" s="22">
        <v>2037</v>
      </c>
      <c r="U149" s="22">
        <v>2038</v>
      </c>
      <c r="V149" s="22">
        <v>2039</v>
      </c>
      <c r="W149" s="22">
        <v>2040</v>
      </c>
      <c r="X149" s="22">
        <v>2041</v>
      </c>
      <c r="Y149" s="22">
        <v>2042</v>
      </c>
      <c r="Z149" s="22">
        <v>2043</v>
      </c>
      <c r="AA149" s="22">
        <v>2044</v>
      </c>
      <c r="AB149" s="22">
        <v>2045</v>
      </c>
      <c r="AC149" s="22">
        <v>2046</v>
      </c>
      <c r="AD149" s="22">
        <v>2047</v>
      </c>
      <c r="AE149" s="22">
        <v>2048</v>
      </c>
      <c r="AF149" s="22">
        <v>2049</v>
      </c>
      <c r="AG149" s="22">
        <v>2050</v>
      </c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</row>
    <row r="150" spans="1:58">
      <c r="A150" s="12" t="s">
        <v>6</v>
      </c>
      <c r="C150" s="10">
        <f t="shared" ref="C150" si="27">C35</f>
        <v>3983.2719246258116</v>
      </c>
      <c r="D150" s="10">
        <f t="shared" ref="D150:AG150" si="28">D35</f>
        <v>4094.69758869732</v>
      </c>
      <c r="E150" s="10">
        <f t="shared" si="28"/>
        <v>4526.0521645079707</v>
      </c>
      <c r="F150" s="10">
        <f t="shared" si="28"/>
        <v>4486.0345102018782</v>
      </c>
      <c r="G150" s="10">
        <f t="shared" si="28"/>
        <v>4730.4563225575821</v>
      </c>
      <c r="H150" s="10">
        <f t="shared" si="28"/>
        <v>4392.577655013346</v>
      </c>
      <c r="I150" s="10">
        <f t="shared" si="28"/>
        <v>4461.4023531799621</v>
      </c>
      <c r="J150" s="10">
        <f t="shared" si="28"/>
        <v>4529.1518846456902</v>
      </c>
      <c r="K150" s="10">
        <f t="shared" si="28"/>
        <v>4593.6606913623655</v>
      </c>
      <c r="L150" s="10">
        <f t="shared" si="28"/>
        <v>4752.2270582025203</v>
      </c>
      <c r="M150" s="10">
        <f t="shared" si="28"/>
        <v>4476.4206427455338</v>
      </c>
      <c r="N150" s="10">
        <f t="shared" si="28"/>
        <v>4703.5413651275658</v>
      </c>
      <c r="O150" s="10">
        <f t="shared" si="28"/>
        <v>4974.9523760973707</v>
      </c>
      <c r="P150" s="10">
        <f t="shared" si="28"/>
        <v>5246.7763984678595</v>
      </c>
      <c r="Q150" s="10">
        <f t="shared" si="28"/>
        <v>5493.1274989208387</v>
      </c>
      <c r="R150" s="10">
        <f t="shared" si="28"/>
        <v>5669.1775875660132</v>
      </c>
      <c r="S150" s="10">
        <f t="shared" si="28"/>
        <v>5957.0550482719518</v>
      </c>
      <c r="T150" s="10">
        <f t="shared" si="28"/>
        <v>6296.7572223176057</v>
      </c>
      <c r="U150" s="10">
        <f t="shared" si="28"/>
        <v>6602.31241312365</v>
      </c>
      <c r="V150" s="10">
        <f t="shared" si="28"/>
        <v>6945.0546232259067</v>
      </c>
      <c r="W150" s="10">
        <f t="shared" si="28"/>
        <v>6724.2205100387991</v>
      </c>
      <c r="X150" s="10">
        <f t="shared" si="28"/>
        <v>7042.0313670710648</v>
      </c>
      <c r="Y150" s="10">
        <f t="shared" si="28"/>
        <v>7342.8243948940999</v>
      </c>
      <c r="Z150" s="10">
        <f t="shared" si="28"/>
        <v>7645.6548356580552</v>
      </c>
      <c r="AA150" s="10">
        <f t="shared" si="28"/>
        <v>7946.0243065570721</v>
      </c>
      <c r="AB150" s="10">
        <f t="shared" si="28"/>
        <v>8246.1398287226748</v>
      </c>
      <c r="AC150" s="10">
        <f t="shared" si="28"/>
        <v>8566.7126819677851</v>
      </c>
      <c r="AD150" s="10">
        <f t="shared" si="28"/>
        <v>8881.1438342515776</v>
      </c>
      <c r="AE150" s="10">
        <f t="shared" si="28"/>
        <v>9151.2107665505064</v>
      </c>
      <c r="AF150" s="10">
        <f t="shared" si="28"/>
        <v>9633.4163189853589</v>
      </c>
      <c r="AG150" s="10">
        <f t="shared" si="28"/>
        <v>9963.7135035162646</v>
      </c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</row>
    <row r="151" spans="1:58">
      <c r="A151" s="12" t="s">
        <v>7</v>
      </c>
      <c r="C151">
        <f>SUM(C80:C97)</f>
        <v>234.83856007739999</v>
      </c>
      <c r="D151">
        <f t="shared" ref="D151:P151" si="29">SUM(D80:D97)</f>
        <v>756.46064974180001</v>
      </c>
      <c r="E151">
        <f t="shared" si="29"/>
        <v>918.84101295929997</v>
      </c>
      <c r="F151">
        <f t="shared" si="29"/>
        <v>1006.5689934077002</v>
      </c>
      <c r="G151">
        <f t="shared" si="29"/>
        <v>1158.3121801707</v>
      </c>
      <c r="H151">
        <f t="shared" si="29"/>
        <v>1276.2681208864001</v>
      </c>
      <c r="I151">
        <f t="shared" si="29"/>
        <v>1548.5938623391</v>
      </c>
      <c r="J151">
        <f t="shared" si="29"/>
        <v>1822.3774514195002</v>
      </c>
      <c r="K151">
        <f t="shared" si="29"/>
        <v>2101.2134462560998</v>
      </c>
      <c r="L151">
        <f t="shared" si="29"/>
        <v>2217.2875284437</v>
      </c>
      <c r="M151">
        <f t="shared" si="29"/>
        <v>2631.3789104322996</v>
      </c>
      <c r="N151">
        <f t="shared" si="29"/>
        <v>2841.8810455846997</v>
      </c>
      <c r="O151">
        <f t="shared" si="29"/>
        <v>3388.1053685596999</v>
      </c>
      <c r="P151">
        <f t="shared" si="29"/>
        <v>3667.7757304129996</v>
      </c>
      <c r="Q151">
        <f>SUM(Q80:Q97)</f>
        <v>3914.4139178359001</v>
      </c>
      <c r="R151">
        <f t="shared" ref="R151:AG151" si="30">SUM(R80:R97)</f>
        <v>4159.8944251385001</v>
      </c>
      <c r="S151">
        <f t="shared" si="30"/>
        <v>4598.0769527087996</v>
      </c>
      <c r="T151">
        <f t="shared" si="30"/>
        <v>5045.2032755002001</v>
      </c>
      <c r="U151">
        <f t="shared" si="30"/>
        <v>5445.7527181648002</v>
      </c>
      <c r="V151">
        <f t="shared" si="30"/>
        <v>5894.9935076442998</v>
      </c>
      <c r="W151">
        <f t="shared" si="30"/>
        <v>6616.4104089058001</v>
      </c>
      <c r="X151">
        <f t="shared" si="30"/>
        <v>6905.0504955487004</v>
      </c>
      <c r="Y151">
        <f t="shared" si="30"/>
        <v>7253.9176710820002</v>
      </c>
      <c r="Z151">
        <f t="shared" si="30"/>
        <v>7601.1036183001997</v>
      </c>
      <c r="AA151">
        <f t="shared" si="30"/>
        <v>7953.8174932007014</v>
      </c>
      <c r="AB151">
        <f t="shared" si="30"/>
        <v>8291.3184375860983</v>
      </c>
      <c r="AC151">
        <f t="shared" si="30"/>
        <v>8749.691177019</v>
      </c>
      <c r="AD151">
        <f t="shared" si="30"/>
        <v>9116.240727982</v>
      </c>
      <c r="AE151">
        <f t="shared" si="30"/>
        <v>9513.3154938714997</v>
      </c>
      <c r="AF151">
        <f t="shared" si="30"/>
        <v>9750.644374560201</v>
      </c>
      <c r="AG151">
        <f t="shared" si="30"/>
        <v>10340.3879213703</v>
      </c>
    </row>
    <row r="152" spans="1:58">
      <c r="A152" s="12" t="s">
        <v>8</v>
      </c>
      <c r="W152"/>
      <c r="AQ152" s="11"/>
    </row>
    <row r="153" spans="1:58">
      <c r="A153" s="12" t="s">
        <v>10</v>
      </c>
      <c r="C153" s="10">
        <f>SUM(C150:C151)</f>
        <v>4218.110484703212</v>
      </c>
      <c r="D153" s="10">
        <f t="shared" ref="D153:AG153" si="31">SUM(D150:D151)</f>
        <v>4851.1582384391204</v>
      </c>
      <c r="E153" s="10">
        <f t="shared" si="31"/>
        <v>5444.893177467271</v>
      </c>
      <c r="F153" s="10">
        <f t="shared" si="31"/>
        <v>5492.6035036095782</v>
      </c>
      <c r="G153" s="10">
        <f t="shared" si="31"/>
        <v>5888.7685027282823</v>
      </c>
      <c r="H153" s="10">
        <f t="shared" si="31"/>
        <v>5668.8457758997465</v>
      </c>
      <c r="I153" s="10">
        <f t="shared" si="31"/>
        <v>6009.9962155190624</v>
      </c>
      <c r="J153" s="10">
        <f t="shared" si="31"/>
        <v>6351.5293360651904</v>
      </c>
      <c r="K153" s="10">
        <f t="shared" si="31"/>
        <v>6694.8741376184653</v>
      </c>
      <c r="L153" s="10">
        <f t="shared" si="31"/>
        <v>6969.5145866462208</v>
      </c>
      <c r="M153" s="10">
        <f t="shared" si="31"/>
        <v>7107.7995531778333</v>
      </c>
      <c r="N153" s="10">
        <f t="shared" si="31"/>
        <v>7545.4224107122654</v>
      </c>
      <c r="O153" s="10">
        <f t="shared" si="31"/>
        <v>8363.0577446570715</v>
      </c>
      <c r="P153" s="10">
        <f t="shared" si="31"/>
        <v>8914.5521288808595</v>
      </c>
      <c r="Q153" s="10">
        <f>SUM(Q150:Q151)</f>
        <v>9407.5414167567396</v>
      </c>
      <c r="R153" s="10">
        <f t="shared" si="31"/>
        <v>9829.0720127045133</v>
      </c>
      <c r="S153" s="10">
        <f t="shared" si="31"/>
        <v>10555.132000980751</v>
      </c>
      <c r="T153" s="10">
        <f t="shared" si="31"/>
        <v>11341.960497817807</v>
      </c>
      <c r="U153" s="10">
        <f t="shared" si="31"/>
        <v>12048.065131288451</v>
      </c>
      <c r="V153" s="10">
        <f t="shared" si="31"/>
        <v>12840.048130870207</v>
      </c>
      <c r="W153" s="10">
        <f t="shared" si="31"/>
        <v>13340.6309189446</v>
      </c>
      <c r="X153" s="10">
        <f t="shared" si="31"/>
        <v>13947.081862619765</v>
      </c>
      <c r="Y153" s="10">
        <f t="shared" si="31"/>
        <v>14596.742065976101</v>
      </c>
      <c r="Z153" s="10">
        <f t="shared" si="31"/>
        <v>15246.758453958255</v>
      </c>
      <c r="AA153" s="10">
        <f t="shared" si="31"/>
        <v>15899.841799757774</v>
      </c>
      <c r="AB153" s="10">
        <f t="shared" si="31"/>
        <v>16537.458266308771</v>
      </c>
      <c r="AC153" s="10">
        <f t="shared" si="31"/>
        <v>17316.403858986785</v>
      </c>
      <c r="AD153" s="10">
        <f t="shared" si="31"/>
        <v>17997.384562233579</v>
      </c>
      <c r="AE153" s="10">
        <f t="shared" si="31"/>
        <v>18664.526260422004</v>
      </c>
      <c r="AF153" s="10">
        <f t="shared" si="31"/>
        <v>19384.060693545558</v>
      </c>
      <c r="AG153" s="10">
        <f t="shared" si="31"/>
        <v>20304.101424886565</v>
      </c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</row>
    <row r="154" spans="1:58" ht="15" thickBot="1">
      <c r="A154" s="12" t="s">
        <v>14</v>
      </c>
      <c r="C154">
        <f>SUM(C101:C117)*'Operation Life Time'!$K$2</f>
        <v>101777.50008142201</v>
      </c>
      <c r="D154">
        <f>SUM(D101:D117)*'Operation Life Time'!$K$2</f>
        <v>106114.1945293358</v>
      </c>
      <c r="E154">
        <f>SUM(E101:E117)*'Operation Life Time'!$K$2</f>
        <v>111516.75008921341</v>
      </c>
      <c r="F154">
        <f>SUM(F101:F117)*'Operation Life Time'!$K$2</f>
        <v>118003.75009440299</v>
      </c>
      <c r="G154">
        <f>SUM(G101:G117)*'Operation Life Time'!$K$2</f>
        <v>126941.6389904422</v>
      </c>
      <c r="H154">
        <f>SUM(H101:H117)*'Operation Life Time'!$K$2</f>
        <v>121202.19454140619</v>
      </c>
      <c r="I154">
        <f>SUM(I101:I117)*'Operation Life Time'!$K$2</f>
        <v>127495.3612131074</v>
      </c>
      <c r="J154">
        <f>SUM(J101:J117)*'Operation Life Time'!$K$2</f>
        <v>133792.55566258964</v>
      </c>
      <c r="K154">
        <f>SUM(K101:K117)*'Operation Life Time'!$K$2</f>
        <v>140102.361223193</v>
      </c>
      <c r="L154">
        <f>SUM(L101:L117)*'Operation Life Time'!$K$2</f>
        <v>146378.97233932541</v>
      </c>
      <c r="M154">
        <f>SUM(M101:M117)*'Operation Life Time'!$K$2</f>
        <v>152648.30567767422</v>
      </c>
      <c r="N154">
        <f>SUM(N101:N117)*'Operation Life Time'!$K$2</f>
        <v>160191.00012815281</v>
      </c>
      <c r="O154">
        <f>SUM(O101:O117)*'Operation Life Time'!$K$2</f>
        <v>167980.83346771801</v>
      </c>
      <c r="P154">
        <f>SUM(P101:P117)*'Operation Life Time'!$K$2</f>
        <v>175497.27791817562</v>
      </c>
      <c r="Q154">
        <f>SUM(Q101:Q117)*'Operation Life Time'!$K$2</f>
        <v>183037.02792420742</v>
      </c>
      <c r="R154">
        <f>SUM(R101:R117)*'Operation Life Time'!$K$2</f>
        <v>187596.25015007704</v>
      </c>
      <c r="S154">
        <f>SUM(S101:S117)*'Operation Life Time'!$K$2</f>
        <v>196749.47237962185</v>
      </c>
      <c r="T154">
        <f>SUM(T101:T117)*'Operation Life Time'!$K$2</f>
        <v>205903.16683138919</v>
      </c>
      <c r="U154">
        <f>SUM(U101:U117)*'Operation Life Time'!$K$2</f>
        <v>215056.83350537886</v>
      </c>
      <c r="V154">
        <f>SUM(V101:V117)*'Operation Life Time'!$K$2</f>
        <v>224210.38906825724</v>
      </c>
      <c r="W154">
        <f>SUM(W101:W117)*'Operation Life Time'!$K$2</f>
        <v>233257.55574216164</v>
      </c>
      <c r="X154">
        <f>SUM(X101:X117)*'Operation Life Time'!$K$2</f>
        <v>242500.2501940002</v>
      </c>
      <c r="Y154">
        <f>SUM(Y101:Y117)*'Operation Life Time'!$K$2</f>
        <v>252461.80575752506</v>
      </c>
      <c r="Z154">
        <f>SUM(Z101:Z117)*'Operation Life Time'!$K$2</f>
        <v>262444.83354328922</v>
      </c>
      <c r="AA154">
        <f>SUM(AA101:AA117)*'Operation Life Time'!$K$2</f>
        <v>272448.02799573622</v>
      </c>
      <c r="AB154">
        <f>SUM(AB101:AB117)*'Operation Life Time'!$K$2</f>
        <v>282432.97244816861</v>
      </c>
      <c r="AC154">
        <f>SUM(AC101:AC117)*'Operation Life Time'!$K$2</f>
        <v>292812.08356758294</v>
      </c>
      <c r="AD154">
        <f>SUM(AD101:AD117)*'Operation Life Time'!$K$2</f>
        <v>303238.13913147943</v>
      </c>
      <c r="AE154">
        <f>SUM(AE101:AE117)*'Operation Life Time'!$K$2</f>
        <v>313678.3613620539</v>
      </c>
      <c r="AF154">
        <f>SUM(AF101:AF117)*'Operation Life Time'!$K$2</f>
        <v>324131.80581486103</v>
      </c>
      <c r="AG154">
        <f>SUM(AG101:AG117)*'Operation Life Time'!$K$2</f>
        <v>338911.80582668498</v>
      </c>
    </row>
    <row r="155" spans="1:58" ht="15" thickBot="1">
      <c r="A155" s="14" t="s">
        <v>24</v>
      </c>
      <c r="C155" s="26">
        <f>(C153/C154)</f>
        <v>4.1444430068814063E-2</v>
      </c>
      <c r="D155" s="26">
        <f t="shared" ref="D155:AG155" si="32">(D153/D154)</f>
        <v>4.5716393173940488E-2</v>
      </c>
      <c r="E155" s="26">
        <f t="shared" si="32"/>
        <v>4.8825787813143368E-2</v>
      </c>
      <c r="F155" s="26">
        <f t="shared" si="32"/>
        <v>4.6546008065129249E-2</v>
      </c>
      <c r="G155" s="26">
        <f t="shared" si="32"/>
        <v>4.6389573583272115E-2</v>
      </c>
      <c r="H155" s="26">
        <f t="shared" si="32"/>
        <v>4.6771808029953649E-2</v>
      </c>
      <c r="I155" s="26">
        <f t="shared" si="32"/>
        <v>4.7138940258958956E-2</v>
      </c>
      <c r="J155" s="26">
        <f t="shared" si="32"/>
        <v>4.7472965178145338E-2</v>
      </c>
      <c r="K155" s="26">
        <f t="shared" si="32"/>
        <v>4.7785591043344774E-2</v>
      </c>
      <c r="L155" s="26">
        <f t="shared" si="32"/>
        <v>4.7612812655153665E-2</v>
      </c>
      <c r="M155" s="26">
        <f t="shared" si="32"/>
        <v>4.6563239084922214E-2</v>
      </c>
      <c r="N155" s="26">
        <f t="shared" si="32"/>
        <v>4.7102661227384351E-2</v>
      </c>
      <c r="O155" s="26">
        <f t="shared" si="32"/>
        <v>4.9785785509060806E-2</v>
      </c>
      <c r="P155" s="26">
        <f t="shared" si="32"/>
        <v>5.0795956693055984E-2</v>
      </c>
      <c r="Q155" s="26">
        <f>(Q153/Q154)</f>
        <v>5.1396930574354856E-2</v>
      </c>
      <c r="R155" s="26">
        <f t="shared" si="32"/>
        <v>5.2394821350859912E-2</v>
      </c>
      <c r="S155" s="26">
        <f t="shared" si="32"/>
        <v>5.3647574620250875E-2</v>
      </c>
      <c r="T155" s="26">
        <f t="shared" si="32"/>
        <v>5.5083953648491266E-2</v>
      </c>
      <c r="U155" s="26">
        <f t="shared" si="32"/>
        <v>5.602270309158585E-2</v>
      </c>
      <c r="V155" s="26">
        <f t="shared" si="32"/>
        <v>5.7267855357769626E-2</v>
      </c>
      <c r="W155" s="26">
        <f t="shared" si="32"/>
        <v>5.7192706476316996E-2</v>
      </c>
      <c r="X155" s="26">
        <f t="shared" si="32"/>
        <v>5.7513680301204226E-2</v>
      </c>
      <c r="Y155" s="26">
        <f t="shared" si="32"/>
        <v>5.7817625213357725E-2</v>
      </c>
      <c r="Z155" s="26">
        <f t="shared" si="32"/>
        <v>5.8095098494074043E-2</v>
      </c>
      <c r="AA155" s="26">
        <f t="shared" si="32"/>
        <v>5.8359173735721095E-2</v>
      </c>
      <c r="AB155" s="26">
        <f t="shared" si="32"/>
        <v>5.8553568030530447E-2</v>
      </c>
      <c r="AC155" s="26">
        <f t="shared" si="32"/>
        <v>5.9138282983427652E-2</v>
      </c>
      <c r="AD155" s="26">
        <f t="shared" si="32"/>
        <v>5.9350662861145535E-2</v>
      </c>
      <c r="AE155" s="26">
        <f t="shared" si="32"/>
        <v>5.9502116050902956E-2</v>
      </c>
      <c r="AF155" s="26">
        <f t="shared" si="32"/>
        <v>5.9803019468621439E-2</v>
      </c>
      <c r="AG155" s="26">
        <f t="shared" si="32"/>
        <v>5.9909690591509857E-2</v>
      </c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</row>
    <row r="156" spans="1:58">
      <c r="W156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</row>
    <row r="157" spans="1:58" hidden="1"/>
    <row r="158" spans="1:58" ht="16.2" hidden="1" thickBot="1">
      <c r="A158" s="13" t="s">
        <v>25</v>
      </c>
      <c r="C158" s="13">
        <v>2015</v>
      </c>
      <c r="D158" s="13">
        <v>2016</v>
      </c>
      <c r="E158" s="13">
        <v>2017</v>
      </c>
      <c r="F158" s="13">
        <v>2018</v>
      </c>
      <c r="G158" s="13">
        <v>2019</v>
      </c>
      <c r="H158" s="13">
        <v>2020</v>
      </c>
      <c r="I158" s="13">
        <v>2021</v>
      </c>
      <c r="J158" s="13">
        <v>2022</v>
      </c>
      <c r="K158" s="13">
        <v>2023</v>
      </c>
      <c r="L158" s="13">
        <v>2024</v>
      </c>
      <c r="M158" s="13">
        <v>2025</v>
      </c>
      <c r="N158" s="13">
        <v>2026</v>
      </c>
      <c r="O158" s="13">
        <v>2027</v>
      </c>
      <c r="P158" s="13">
        <v>2028</v>
      </c>
      <c r="Q158" s="13">
        <v>2029</v>
      </c>
      <c r="R158" s="13">
        <v>2030</v>
      </c>
      <c r="S158" s="13">
        <v>2031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</row>
    <row r="159" spans="1:58" hidden="1">
      <c r="A159" s="12" t="s">
        <v>6</v>
      </c>
      <c r="C159">
        <f t="shared" ref="C159:S159" si="33">C4</f>
        <v>12310.831699999999</v>
      </c>
      <c r="D159">
        <f t="shared" si="33"/>
        <v>6254.3036000000002</v>
      </c>
      <c r="E159">
        <f t="shared" si="33"/>
        <v>6397.9269000000004</v>
      </c>
      <c r="F159">
        <f t="shared" si="33"/>
        <v>6631.6215999999995</v>
      </c>
      <c r="G159">
        <f t="shared" si="33"/>
        <v>7950.2843000000003</v>
      </c>
      <c r="H159">
        <f t="shared" si="33"/>
        <v>6861.097999999999</v>
      </c>
      <c r="I159">
        <f t="shared" si="33"/>
        <v>6982.7317000000003</v>
      </c>
      <c r="J159">
        <f t="shared" si="33"/>
        <v>7103.3257000000003</v>
      </c>
      <c r="K159">
        <f t="shared" si="33"/>
        <v>7220.1100000000006</v>
      </c>
      <c r="L159">
        <f t="shared" si="33"/>
        <v>7497.3667000000005</v>
      </c>
      <c r="M159">
        <f t="shared" si="33"/>
        <v>7376.1438000000007</v>
      </c>
      <c r="N159">
        <f t="shared" si="33"/>
        <v>7679.0950000000003</v>
      </c>
      <c r="O159">
        <f t="shared" si="33"/>
        <v>7768.6002000000008</v>
      </c>
      <c r="P159">
        <f t="shared" si="33"/>
        <v>8085.1235000000006</v>
      </c>
      <c r="Q159">
        <f t="shared" si="33"/>
        <v>6551.7451000000001</v>
      </c>
      <c r="R159">
        <f t="shared" si="33"/>
        <v>3548.1338999999998</v>
      </c>
      <c r="S159">
        <f t="shared" si="33"/>
        <v>3657.8472999999999</v>
      </c>
      <c r="W159"/>
    </row>
    <row r="160" spans="1:58" hidden="1">
      <c r="A160" s="12" t="s">
        <v>7</v>
      </c>
      <c r="C160" t="e">
        <f>#REF!+#REF!+SUM(#REF!)+SUM(#REF!)+#REF!+#REF!+#REF!+#REF!+#REF!+#REF!+SUM(#REF!)</f>
        <v>#REF!</v>
      </c>
      <c r="D160" t="e">
        <f>#REF!+#REF!+SUM(#REF!)+SUM(#REF!)+#REF!+#REF!+#REF!+#REF!+#REF!+#REF!+SUM(#REF!)</f>
        <v>#REF!</v>
      </c>
      <c r="E160" t="e">
        <f>#REF!+#REF!+SUM(#REF!)+SUM(#REF!)+#REF!+#REF!+#REF!+#REF!+#REF!+#REF!+SUM(#REF!)</f>
        <v>#REF!</v>
      </c>
      <c r="F160" t="e">
        <f>#REF!+#REF!+SUM(#REF!)+SUM(#REF!)+#REF!+#REF!+#REF!+#REF!+#REF!+#REF!+SUM(#REF!)</f>
        <v>#REF!</v>
      </c>
      <c r="G160" t="e">
        <f>#REF!+#REF!+SUM(#REF!)+SUM(#REF!)+#REF!+#REF!+#REF!+#REF!+#REF!+#REF!+SUM(#REF!)</f>
        <v>#REF!</v>
      </c>
      <c r="H160" t="e">
        <f>#REF!+#REF!+SUM(#REF!)+SUM(#REF!)+#REF!+#REF!+#REF!+#REF!+#REF!+#REF!+SUM(#REF!)</f>
        <v>#REF!</v>
      </c>
      <c r="I160" t="e">
        <f>#REF!+#REF!+SUM(#REF!)+SUM(#REF!)+#REF!+#REF!+#REF!+#REF!+#REF!+#REF!+SUM(#REF!)</f>
        <v>#REF!</v>
      </c>
      <c r="J160" t="e">
        <f>#REF!+#REF!+SUM(#REF!)+SUM(#REF!)+#REF!+#REF!+#REF!+#REF!+#REF!+#REF!+SUM(#REF!)</f>
        <v>#REF!</v>
      </c>
      <c r="K160" t="e">
        <f>#REF!+#REF!+SUM(#REF!)+SUM(#REF!)+#REF!+#REF!+#REF!+#REF!+#REF!+#REF!+SUM(#REF!)</f>
        <v>#REF!</v>
      </c>
      <c r="L160" t="e">
        <f>#REF!+#REF!+SUM(#REF!)+SUM(#REF!)+#REF!+#REF!+#REF!+#REF!+#REF!+#REF!+SUM(#REF!)</f>
        <v>#REF!</v>
      </c>
      <c r="M160" t="e">
        <f>#REF!+#REF!+SUM(#REF!)+SUM(#REF!)+#REF!+#REF!+#REF!+#REF!+#REF!+#REF!+SUM(#REF!)</f>
        <v>#REF!</v>
      </c>
      <c r="N160" t="e">
        <f>#REF!+#REF!+SUM(#REF!)+SUM(#REF!)+#REF!+#REF!+#REF!+#REF!+#REF!+#REF!+SUM(#REF!)</f>
        <v>#REF!</v>
      </c>
      <c r="O160" t="e">
        <f>#REF!+#REF!+SUM(#REF!)+SUM(#REF!)+#REF!+#REF!+#REF!+#REF!+#REF!+#REF!+SUM(#REF!)</f>
        <v>#REF!</v>
      </c>
      <c r="P160" t="e">
        <f>#REF!+#REF!+SUM(#REF!)+SUM(#REF!)+#REF!+#REF!+#REF!+#REF!+#REF!+#REF!+SUM(#REF!)</f>
        <v>#REF!</v>
      </c>
      <c r="Q160" t="e">
        <f>#REF!+#REF!+SUM(#REF!)+SUM(#REF!)+#REF!+#REF!+#REF!+#REF!+#REF!+#REF!+SUM(#REF!)</f>
        <v>#REF!</v>
      </c>
      <c r="R160" t="e">
        <f>#REF!+#REF!+SUM(#REF!)+SUM(#REF!)+#REF!+#REF!+#REF!+#REF!+#REF!+#REF!+SUM(#REF!)</f>
        <v>#REF!</v>
      </c>
      <c r="S160" t="e">
        <f>#REF!+#REF!+SUM(#REF!)+SUM(#REF!)+#REF!+#REF!+#REF!+#REF!+#REF!+#REF!+SUM(#REF!)</f>
        <v>#REF!</v>
      </c>
      <c r="W160"/>
    </row>
    <row r="161" spans="1:58" hidden="1">
      <c r="A161" s="12" t="s">
        <v>8</v>
      </c>
      <c r="W161"/>
    </row>
    <row r="162" spans="1:58" hidden="1">
      <c r="A162" s="12" t="s">
        <v>10</v>
      </c>
      <c r="C162" s="10">
        <f>SUM(C150:C151)</f>
        <v>4218.110484703212</v>
      </c>
      <c r="D162" s="10">
        <f t="shared" ref="D162:S162" si="34">SUM(D150:D151)</f>
        <v>4851.1582384391204</v>
      </c>
      <c r="E162" s="10">
        <f t="shared" si="34"/>
        <v>5444.893177467271</v>
      </c>
      <c r="F162" s="10">
        <f t="shared" si="34"/>
        <v>5492.6035036095782</v>
      </c>
      <c r="G162" s="10">
        <f t="shared" si="34"/>
        <v>5888.7685027282823</v>
      </c>
      <c r="H162" s="10">
        <f t="shared" si="34"/>
        <v>5668.8457758997465</v>
      </c>
      <c r="I162" s="10">
        <f t="shared" si="34"/>
        <v>6009.9962155190624</v>
      </c>
      <c r="J162" s="10">
        <f t="shared" si="34"/>
        <v>6351.5293360651904</v>
      </c>
      <c r="K162" s="10">
        <f t="shared" si="34"/>
        <v>6694.8741376184653</v>
      </c>
      <c r="L162" s="10">
        <f t="shared" si="34"/>
        <v>6969.5145866462208</v>
      </c>
      <c r="M162" s="10">
        <f t="shared" si="34"/>
        <v>7107.7995531778333</v>
      </c>
      <c r="N162" s="10">
        <f t="shared" si="34"/>
        <v>7545.4224107122654</v>
      </c>
      <c r="O162" s="10">
        <f t="shared" si="34"/>
        <v>8363.0577446570715</v>
      </c>
      <c r="P162" s="10">
        <f t="shared" si="34"/>
        <v>8914.5521288808595</v>
      </c>
      <c r="Q162" s="10">
        <f t="shared" si="34"/>
        <v>9407.5414167567396</v>
      </c>
      <c r="R162" s="10">
        <f t="shared" si="34"/>
        <v>9829.0720127045133</v>
      </c>
      <c r="S162" s="10">
        <f t="shared" si="34"/>
        <v>10555.132000980751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</row>
    <row r="163" spans="1:58" hidden="1">
      <c r="A163" s="12" t="s">
        <v>14</v>
      </c>
      <c r="C163">
        <f>(SUM(C102:C104)+SUM(C111:C116)+SUM(C118:C123)+C126+SUM(C107:C110))*'Operation Life Time'!$K$2</f>
        <v>93022.07985717438</v>
      </c>
      <c r="D163">
        <f>(SUM(D102:D104)+SUM(D111:D116)+SUM(D118:D123)+D126+SUM(D107:D110))*'Operation Life Time'!$K$2</f>
        <v>97684.907171793922</v>
      </c>
      <c r="E163">
        <f>(SUM(E102:E104)+SUM(E111:E116)+SUM(E118:E123)+E126+SUM(E107:E110))*'Operation Life Time'!$K$2</f>
        <v>104465.75422150477</v>
      </c>
      <c r="F163">
        <f>(SUM(F102:F104)+SUM(F111:F116)+SUM(F118:F123)+F126+SUM(F107:F110))*'Operation Life Time'!$K$2</f>
        <v>112160.87274964747</v>
      </c>
      <c r="G163">
        <f>(SUM(G102:G104)+SUM(G111:G116)+SUM(G118:G123)+G126+SUM(G107:G110))*'Operation Life Time'!$K$2</f>
        <v>119761.42843387116</v>
      </c>
      <c r="H163">
        <f>(SUM(H102:H104)+SUM(H111:H116)+SUM(H118:H123)+H126+SUM(H107:H110))*'Operation Life Time'!$K$2</f>
        <v>114922.47545535148</v>
      </c>
      <c r="I163">
        <f>(SUM(I102:I104)+SUM(I111:I116)+SUM(I118:I123)+I126+SUM(I107:I110))*'Operation Life Time'!$K$2</f>
        <v>121220.87691359941</v>
      </c>
      <c r="J163">
        <f>(SUM(J102:J104)+SUM(J111:J116)+SUM(J118:J123)+J126+SUM(J107:J110))*'Operation Life Time'!$K$2</f>
        <v>127529.5478022211</v>
      </c>
      <c r="K163">
        <f>(SUM(K102:K104)+SUM(K111:K116)+SUM(K118:K123)+K126+SUM(K107:K110))*'Operation Life Time'!$K$2</f>
        <v>133875.46667142629</v>
      </c>
      <c r="L163">
        <f>(SUM(L102:L104)+SUM(L111:L116)+SUM(L118:L123)+L126+SUM(L107:L110))*'Operation Life Time'!$K$2</f>
        <v>138937.7482124219</v>
      </c>
      <c r="M163">
        <f>(SUM(M102:M104)+SUM(M111:M116)+SUM(M118:M123)+M126+SUM(M107:M110))*'Operation Life Time'!$K$2</f>
        <v>143883.43967081435</v>
      </c>
      <c r="N163">
        <f>(SUM(N102:N104)+SUM(N111:N116)+SUM(N118:N123)+N126+SUM(N107:N110))*'Operation Life Time'!$K$2</f>
        <v>143507.70684473542</v>
      </c>
      <c r="O163">
        <f>(SUM(O102:O104)+SUM(O111:O116)+SUM(O118:O123)+O126+SUM(O107:O110))*'Operation Life Time'!$K$2</f>
        <v>130536.57706117898</v>
      </c>
      <c r="P163">
        <f>(SUM(P102:P104)+SUM(P111:P116)+SUM(P118:P123)+P126+SUM(P107:P110))*'Operation Life Time'!$K$2</f>
        <v>129273.03422204097</v>
      </c>
      <c r="Q163">
        <f>(SUM(Q102:Q104)+SUM(Q111:Q116)+SUM(Q118:Q123)+Q126+SUM(Q107:Q110))*'Operation Life Time'!$K$2</f>
        <v>128055.42212084123</v>
      </c>
      <c r="R163">
        <f>(SUM(R102:R104)+SUM(R111:R116)+SUM(R118:R123)+R126+SUM(R107:R110))*'Operation Life Time'!$K$2</f>
        <v>124557.8179924196</v>
      </c>
      <c r="S163">
        <f>(SUM(S102:S104)+SUM(S111:S116)+SUM(S118:S123)+S126+SUM(S107:S110))*'Operation Life Time'!$K$2</f>
        <v>118270.8456908177</v>
      </c>
      <c r="W163"/>
    </row>
    <row r="164" spans="1:58" ht="15" hidden="1" thickBot="1">
      <c r="A164" s="14" t="s">
        <v>24</v>
      </c>
      <c r="C164" s="18">
        <f>(C162/C163)</f>
        <v>4.5345260944279861E-2</v>
      </c>
      <c r="D164" s="18">
        <f t="shared" ref="D164:S164" si="35">(D162/D163)</f>
        <v>4.9661287284714445E-2</v>
      </c>
      <c r="E164" s="18">
        <f t="shared" si="35"/>
        <v>5.2121321652664754E-2</v>
      </c>
      <c r="F164" s="18">
        <f t="shared" si="35"/>
        <v>4.8970762877973785E-2</v>
      </c>
      <c r="G164" s="18">
        <f t="shared" si="35"/>
        <v>4.917082719984333E-2</v>
      </c>
      <c r="H164" s="18">
        <f t="shared" si="35"/>
        <v>4.9327564111705455E-2</v>
      </c>
      <c r="I164" s="18">
        <f t="shared" si="35"/>
        <v>4.9578887470041216E-2</v>
      </c>
      <c r="J164" s="18">
        <f t="shared" si="35"/>
        <v>4.9804374323630822E-2</v>
      </c>
      <c r="K164" s="18">
        <f t="shared" si="35"/>
        <v>5.0008222597272826E-2</v>
      </c>
      <c r="L164" s="18">
        <f t="shared" si="35"/>
        <v>5.0162858375900343E-2</v>
      </c>
      <c r="M164" s="18">
        <f t="shared" si="35"/>
        <v>4.939970554943298E-2</v>
      </c>
      <c r="N164" s="18">
        <f t="shared" si="35"/>
        <v>5.257851704700324E-2</v>
      </c>
      <c r="O164" s="18">
        <f t="shared" si="35"/>
        <v>6.406677678347221E-2</v>
      </c>
      <c r="P164" s="18">
        <f t="shared" si="35"/>
        <v>6.8959100268112486E-2</v>
      </c>
      <c r="Q164" s="18">
        <f t="shared" si="35"/>
        <v>7.3464608221580699E-2</v>
      </c>
      <c r="R164" s="18">
        <f t="shared" si="35"/>
        <v>7.8911722853901439E-2</v>
      </c>
      <c r="S164" s="18">
        <f t="shared" si="35"/>
        <v>8.9245425948621837E-2</v>
      </c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</row>
    <row r="165" spans="1:58" hidden="1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 spans="1:58" hidden="1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 spans="1:58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</row>
    <row r="168" spans="1:58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 spans="1:58">
      <c r="W169"/>
    </row>
    <row r="170" spans="1:58">
      <c r="N170" s="27"/>
      <c r="W170"/>
    </row>
    <row r="171" spans="1:58">
      <c r="G171" s="19"/>
      <c r="H171" s="28"/>
      <c r="W171"/>
    </row>
    <row r="172" spans="1:58">
      <c r="W172"/>
    </row>
    <row r="173" spans="1:58">
      <c r="W173"/>
    </row>
    <row r="174" spans="1:58">
      <c r="W174"/>
    </row>
    <row r="175" spans="1:58">
      <c r="W175"/>
    </row>
    <row r="176" spans="1:58">
      <c r="W176"/>
    </row>
    <row r="177" spans="23:23">
      <c r="W177"/>
    </row>
    <row r="178" spans="23:23">
      <c r="W178"/>
    </row>
    <row r="179" spans="23:23">
      <c r="W179"/>
    </row>
    <row r="180" spans="23:23">
      <c r="W180"/>
    </row>
    <row r="181" spans="23:23">
      <c r="W181"/>
    </row>
    <row r="182" spans="23:23">
      <c r="W182"/>
    </row>
    <row r="183" spans="23:23">
      <c r="W183"/>
    </row>
    <row r="184" spans="23:23">
      <c r="W184"/>
    </row>
    <row r="185" spans="23:23">
      <c r="W185"/>
    </row>
    <row r="186" spans="23:23">
      <c r="W186"/>
    </row>
    <row r="187" spans="23:23">
      <c r="W187"/>
    </row>
    <row r="188" spans="23:23">
      <c r="W188"/>
    </row>
    <row r="189" spans="23:23">
      <c r="W189"/>
    </row>
    <row r="190" spans="23:23">
      <c r="W190"/>
    </row>
    <row r="191" spans="23:23">
      <c r="W191"/>
    </row>
    <row r="192" spans="23:23">
      <c r="W192"/>
    </row>
    <row r="193" spans="1:33">
      <c r="A193" s="21" t="s">
        <v>88</v>
      </c>
      <c r="C193" s="22">
        <v>2020</v>
      </c>
      <c r="D193" s="22">
        <v>2021</v>
      </c>
      <c r="E193" s="22">
        <v>2022</v>
      </c>
      <c r="F193" s="22">
        <v>2023</v>
      </c>
      <c r="G193" s="22">
        <v>2024</v>
      </c>
      <c r="H193" s="22">
        <v>2025</v>
      </c>
      <c r="I193" s="22">
        <v>2026</v>
      </c>
      <c r="J193" s="22">
        <v>2027</v>
      </c>
      <c r="K193" s="22">
        <v>2028</v>
      </c>
      <c r="L193" s="22">
        <v>2029</v>
      </c>
      <c r="M193" s="22">
        <v>2030</v>
      </c>
      <c r="N193" s="22">
        <v>2031</v>
      </c>
      <c r="O193" s="22">
        <v>2032</v>
      </c>
      <c r="P193" s="22">
        <v>2033</v>
      </c>
      <c r="Q193" s="22">
        <v>2034</v>
      </c>
      <c r="R193" s="22">
        <v>2035</v>
      </c>
      <c r="S193" s="22">
        <v>2036</v>
      </c>
      <c r="T193" s="22">
        <v>2037</v>
      </c>
      <c r="U193" s="22">
        <v>2038</v>
      </c>
      <c r="V193" s="22">
        <v>2039</v>
      </c>
      <c r="W193" s="22">
        <v>2040</v>
      </c>
      <c r="X193" s="22">
        <v>2041</v>
      </c>
      <c r="Y193" s="22">
        <v>2042</v>
      </c>
      <c r="Z193" s="22">
        <v>2043</v>
      </c>
      <c r="AA193" s="22">
        <v>2044</v>
      </c>
      <c r="AB193" s="22">
        <v>2045</v>
      </c>
      <c r="AC193" s="22">
        <v>2046</v>
      </c>
      <c r="AD193" s="22">
        <v>2047</v>
      </c>
      <c r="AE193" s="22">
        <v>2048</v>
      </c>
      <c r="AF193" s="22">
        <v>2049</v>
      </c>
      <c r="AG193" s="22">
        <v>2050</v>
      </c>
    </row>
    <row r="194" spans="1:33">
      <c r="A194" s="24" t="s">
        <v>222</v>
      </c>
      <c r="C194">
        <v>2.4766724088429508</v>
      </c>
      <c r="D194">
        <v>2.4766724088429508</v>
      </c>
      <c r="E194">
        <v>2.4766724088429508</v>
      </c>
      <c r="F194">
        <v>2.4766724088429508</v>
      </c>
      <c r="G194">
        <v>2.4766724088429508</v>
      </c>
      <c r="H194">
        <v>2.4766724088429508</v>
      </c>
      <c r="I194">
        <v>2.4766724088429508</v>
      </c>
      <c r="J194">
        <v>2.4766724088429508</v>
      </c>
      <c r="K194">
        <v>2.4766724088429508</v>
      </c>
      <c r="L194">
        <v>2.4766724088429508</v>
      </c>
      <c r="M194">
        <v>2.4766724088429508</v>
      </c>
      <c r="N194">
        <v>2.4766724088429508</v>
      </c>
      <c r="O194">
        <v>2.4766724088429508</v>
      </c>
      <c r="P194">
        <v>2.4766724088429508</v>
      </c>
      <c r="Q194">
        <v>2.4766724088429508</v>
      </c>
      <c r="R194">
        <v>2.4766724088429508</v>
      </c>
      <c r="S194">
        <v>2.4766724088429508</v>
      </c>
      <c r="T194">
        <v>2.4766724088429508</v>
      </c>
      <c r="U194">
        <v>2.4766724088429508</v>
      </c>
      <c r="V194">
        <v>2.4766724088429508</v>
      </c>
      <c r="W194">
        <v>2.4766724088429508</v>
      </c>
      <c r="X194">
        <v>2.4766724088429508</v>
      </c>
      <c r="Y194">
        <v>2.4766724088429508</v>
      </c>
      <c r="Z194">
        <v>2.4766724088429508</v>
      </c>
      <c r="AA194">
        <v>2.4766724088429508</v>
      </c>
      <c r="AB194">
        <v>2.4766724088429508</v>
      </c>
      <c r="AC194">
        <v>2.4766724088429508</v>
      </c>
      <c r="AD194">
        <v>2.4766724088429508</v>
      </c>
      <c r="AE194">
        <v>2.4766724088429508</v>
      </c>
      <c r="AF194">
        <v>2.4766724088429508</v>
      </c>
      <c r="AG194">
        <v>2.4766724088429508</v>
      </c>
    </row>
    <row r="195" spans="1:33">
      <c r="A195" s="24" t="s">
        <v>221</v>
      </c>
      <c r="C195">
        <v>3.346560846560847</v>
      </c>
      <c r="D195">
        <v>3.346560846560847</v>
      </c>
      <c r="E195">
        <v>3.346560846560847</v>
      </c>
      <c r="F195">
        <v>3.346560846560847</v>
      </c>
      <c r="G195">
        <v>3.346560846560847</v>
      </c>
      <c r="H195">
        <v>3.346560846560847</v>
      </c>
      <c r="I195">
        <v>3.346560846560847</v>
      </c>
      <c r="J195">
        <v>3.346560846560847</v>
      </c>
      <c r="K195">
        <v>3.346560846560847</v>
      </c>
      <c r="L195">
        <v>3.346560846560847</v>
      </c>
      <c r="M195">
        <v>3.346560846560847</v>
      </c>
      <c r="N195">
        <v>3.346560846560847</v>
      </c>
      <c r="O195">
        <v>3.346560846560847</v>
      </c>
      <c r="P195">
        <v>3.346560846560847</v>
      </c>
      <c r="Q195">
        <v>3.346560846560847</v>
      </c>
      <c r="R195">
        <v>3.346560846560847</v>
      </c>
      <c r="S195">
        <v>3.346560846560847</v>
      </c>
      <c r="T195">
        <v>3.346560846560847</v>
      </c>
      <c r="U195">
        <v>3.346560846560847</v>
      </c>
      <c r="V195">
        <v>3.346560846560847</v>
      </c>
      <c r="W195">
        <v>3.346560846560847</v>
      </c>
      <c r="X195">
        <v>3.346560846560847</v>
      </c>
      <c r="Y195">
        <v>3.346560846560847</v>
      </c>
      <c r="Z195">
        <v>3.346560846560847</v>
      </c>
      <c r="AA195">
        <v>3.346560846560847</v>
      </c>
      <c r="AB195">
        <v>3.346560846560847</v>
      </c>
      <c r="AC195">
        <v>3.346560846560847</v>
      </c>
      <c r="AD195">
        <v>3.346560846560847</v>
      </c>
      <c r="AE195">
        <v>3.346560846560847</v>
      </c>
      <c r="AF195">
        <v>3.346560846560847</v>
      </c>
      <c r="AG195">
        <v>3.346560846560847</v>
      </c>
    </row>
    <row r="196" spans="1:33">
      <c r="A196" s="24" t="s">
        <v>141</v>
      </c>
      <c r="W196"/>
    </row>
    <row r="197" spans="1:33">
      <c r="A197" s="24" t="s">
        <v>146</v>
      </c>
      <c r="C197">
        <v>2.4961892436008051</v>
      </c>
      <c r="D197">
        <v>2.479378041510246</v>
      </c>
      <c r="E197">
        <v>2.4625668394196869</v>
      </c>
      <c r="F197">
        <v>2.4457556373291278</v>
      </c>
      <c r="G197">
        <v>2.4289444352385687</v>
      </c>
      <c r="H197">
        <v>2.4121332331480092</v>
      </c>
      <c r="I197">
        <v>2.378510828966891</v>
      </c>
      <c r="J197">
        <v>2.3448884247857729</v>
      </c>
      <c r="K197">
        <v>2.3112660206046547</v>
      </c>
      <c r="L197">
        <v>2.2776436164235365</v>
      </c>
      <c r="M197">
        <v>2.2440212122424179</v>
      </c>
      <c r="N197">
        <v>2.2103988080612993</v>
      </c>
      <c r="O197">
        <v>2.1767764038801807</v>
      </c>
      <c r="P197">
        <v>2.1431539996990621</v>
      </c>
      <c r="Q197">
        <v>2.1095315955179434</v>
      </c>
      <c r="R197">
        <v>2.0759091913368257</v>
      </c>
      <c r="S197">
        <v>2.0422867871557076</v>
      </c>
      <c r="T197">
        <v>2.0086643829745894</v>
      </c>
      <c r="U197">
        <v>1.9750419787934712</v>
      </c>
      <c r="V197">
        <v>1.941419574612353</v>
      </c>
      <c r="W197">
        <v>1.9077971704312346</v>
      </c>
      <c r="X197">
        <v>1.8741747662501163</v>
      </c>
      <c r="Y197">
        <v>1.8405523620689979</v>
      </c>
      <c r="Z197">
        <v>1.8069299578878795</v>
      </c>
      <c r="AA197">
        <v>1.7733075537067611</v>
      </c>
      <c r="AB197">
        <v>1.7396851495256431</v>
      </c>
      <c r="AC197">
        <v>1.722873947435084</v>
      </c>
      <c r="AD197">
        <v>1.706062745344525</v>
      </c>
      <c r="AE197">
        <v>1.6892515432539659</v>
      </c>
      <c r="AF197">
        <v>1.6724403411634068</v>
      </c>
      <c r="AG197">
        <v>1.6556291390728475</v>
      </c>
    </row>
    <row r="198" spans="1:33">
      <c r="A198" s="24" t="s">
        <v>147</v>
      </c>
      <c r="W198"/>
    </row>
    <row r="199" spans="1:33">
      <c r="A199" s="30"/>
      <c r="W199"/>
    </row>
    <row r="200" spans="1:33">
      <c r="A200" t="s">
        <v>132</v>
      </c>
      <c r="C200">
        <v>4.000666667</v>
      </c>
      <c r="D200">
        <v>4.000666667</v>
      </c>
      <c r="E200">
        <v>4.000666667</v>
      </c>
      <c r="F200">
        <v>4.000666667</v>
      </c>
      <c r="G200">
        <v>4.000666667</v>
      </c>
      <c r="H200">
        <v>4.000666667</v>
      </c>
      <c r="I200">
        <v>4.000666667</v>
      </c>
      <c r="J200">
        <v>4.000666667</v>
      </c>
      <c r="K200">
        <v>4.000666667</v>
      </c>
      <c r="L200">
        <v>4.000666667</v>
      </c>
      <c r="M200">
        <v>4.000666667</v>
      </c>
      <c r="N200">
        <v>4.000666667</v>
      </c>
      <c r="O200">
        <v>4.000666667</v>
      </c>
      <c r="P200">
        <v>4.000666667</v>
      </c>
      <c r="Q200">
        <v>4.000666667</v>
      </c>
      <c r="R200">
        <v>4.000666667</v>
      </c>
      <c r="S200">
        <v>4.000666667</v>
      </c>
      <c r="T200">
        <v>4.000666667</v>
      </c>
      <c r="U200">
        <v>4.000666667</v>
      </c>
      <c r="V200">
        <v>4.000666667</v>
      </c>
      <c r="W200">
        <v>4.000666667</v>
      </c>
      <c r="X200">
        <v>4.000666667</v>
      </c>
      <c r="Y200">
        <v>4.000666667</v>
      </c>
      <c r="Z200">
        <v>4.000666667</v>
      </c>
      <c r="AA200">
        <v>4.000666667</v>
      </c>
      <c r="AB200">
        <v>4.000666667</v>
      </c>
      <c r="AC200">
        <v>4.000666667</v>
      </c>
      <c r="AD200">
        <v>4.000666667</v>
      </c>
      <c r="AE200">
        <v>4.000666667</v>
      </c>
      <c r="AF200">
        <v>4.000666667</v>
      </c>
      <c r="AG200">
        <v>4.000666667</v>
      </c>
    </row>
    <row r="201" spans="1:33">
      <c r="A201" t="s">
        <v>133</v>
      </c>
      <c r="C201">
        <v>3.139347237</v>
      </c>
      <c r="D201">
        <v>3.139347237</v>
      </c>
      <c r="E201">
        <v>3.139347237</v>
      </c>
      <c r="F201">
        <v>3.139347237</v>
      </c>
      <c r="G201">
        <v>3.139347237</v>
      </c>
      <c r="H201">
        <v>3.139347237</v>
      </c>
      <c r="I201">
        <v>3.139347237</v>
      </c>
      <c r="J201">
        <v>3.139347237</v>
      </c>
      <c r="K201">
        <v>3.139347237</v>
      </c>
      <c r="L201">
        <v>3.139347237</v>
      </c>
      <c r="M201">
        <v>3.139347237</v>
      </c>
      <c r="N201">
        <v>3.139347237</v>
      </c>
      <c r="O201">
        <v>3.139347237</v>
      </c>
      <c r="P201">
        <v>3.139347237</v>
      </c>
      <c r="Q201">
        <v>3.139347237</v>
      </c>
      <c r="R201">
        <v>3.139347237</v>
      </c>
      <c r="S201">
        <v>3.139347237</v>
      </c>
      <c r="T201">
        <v>3.139347237</v>
      </c>
      <c r="U201">
        <v>3.139347237</v>
      </c>
      <c r="V201">
        <v>3.139347237</v>
      </c>
      <c r="W201">
        <v>3.139347237</v>
      </c>
      <c r="X201">
        <v>3.139347237</v>
      </c>
      <c r="Y201">
        <v>3.139347237</v>
      </c>
      <c r="Z201">
        <v>3.139347237</v>
      </c>
      <c r="AA201">
        <v>3.139347237</v>
      </c>
      <c r="AB201">
        <v>3.139347237</v>
      </c>
      <c r="AC201">
        <v>3.139347237</v>
      </c>
      <c r="AD201">
        <v>3.139347237</v>
      </c>
      <c r="AE201">
        <v>3.139347237</v>
      </c>
      <c r="AF201">
        <v>3.139347237</v>
      </c>
      <c r="AG201">
        <v>3.139347237</v>
      </c>
    </row>
    <row r="202" spans="1:33">
      <c r="A202" t="s">
        <v>138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141</v>
      </c>
      <c r="C203">
        <v>3.442340792</v>
      </c>
      <c r="D203">
        <v>3.442340792</v>
      </c>
      <c r="E203">
        <v>3.442340792</v>
      </c>
      <c r="F203">
        <v>3.442340792</v>
      </c>
      <c r="G203">
        <v>3.442340792</v>
      </c>
      <c r="H203">
        <v>3.442340792</v>
      </c>
      <c r="I203">
        <v>3.442340792</v>
      </c>
      <c r="J203">
        <v>3.442340792</v>
      </c>
      <c r="K203">
        <v>3.442340792</v>
      </c>
      <c r="L203">
        <v>3.442340792</v>
      </c>
      <c r="M203">
        <v>3.442340792</v>
      </c>
      <c r="N203">
        <v>3.442340792</v>
      </c>
      <c r="O203">
        <v>3.442340792</v>
      </c>
      <c r="P203">
        <v>3.442340792</v>
      </c>
      <c r="Q203">
        <v>3.442340792</v>
      </c>
      <c r="R203">
        <v>3.442340792</v>
      </c>
      <c r="S203">
        <v>3.442340792</v>
      </c>
      <c r="T203">
        <v>3.442340792</v>
      </c>
      <c r="U203">
        <v>3.442340792</v>
      </c>
      <c r="V203">
        <v>3.442340792</v>
      </c>
      <c r="W203">
        <v>3.442340792</v>
      </c>
      <c r="X203">
        <v>3.442340792</v>
      </c>
      <c r="Y203">
        <v>3.442340792</v>
      </c>
      <c r="Z203">
        <v>3.442340792</v>
      </c>
      <c r="AA203">
        <v>3.442340792</v>
      </c>
      <c r="AB203">
        <v>3.442340792</v>
      </c>
      <c r="AC203">
        <v>3.442340792</v>
      </c>
      <c r="AD203">
        <v>3.442340792</v>
      </c>
      <c r="AE203">
        <v>3.442340792</v>
      </c>
      <c r="AF203">
        <v>3.442340792</v>
      </c>
      <c r="AG203">
        <v>3.442340792</v>
      </c>
    </row>
    <row r="204" spans="1:33">
      <c r="A204" t="s">
        <v>142</v>
      </c>
      <c r="C204">
        <v>2.2844089090000002</v>
      </c>
      <c r="D204">
        <v>2.2844089090000002</v>
      </c>
      <c r="E204">
        <v>2.2844089090000002</v>
      </c>
      <c r="F204">
        <v>2.2844089090000002</v>
      </c>
      <c r="G204">
        <v>2.2844089090000002</v>
      </c>
      <c r="H204">
        <v>2.2844089090000002</v>
      </c>
      <c r="I204">
        <v>2.2844089090000002</v>
      </c>
      <c r="J204">
        <v>2.2844089090000002</v>
      </c>
      <c r="K204">
        <v>2.2844089090000002</v>
      </c>
      <c r="L204">
        <v>2.2844089090000002</v>
      </c>
      <c r="M204">
        <v>2.2844089090000002</v>
      </c>
      <c r="N204">
        <v>2.2844089090000002</v>
      </c>
      <c r="O204">
        <v>2.2844089090000002</v>
      </c>
      <c r="P204">
        <v>2.2844089090000002</v>
      </c>
      <c r="Q204">
        <v>2.2844089090000002</v>
      </c>
      <c r="R204">
        <v>2.2844089090000002</v>
      </c>
      <c r="S204">
        <v>2.2844089090000002</v>
      </c>
      <c r="T204">
        <v>2.2844089090000002</v>
      </c>
      <c r="U204">
        <v>2.2844089090000002</v>
      </c>
      <c r="V204">
        <v>2.2844089090000002</v>
      </c>
      <c r="W204">
        <v>2.2844089090000002</v>
      </c>
      <c r="X204">
        <v>2.2844089090000002</v>
      </c>
      <c r="Y204">
        <v>2.2844089090000002</v>
      </c>
      <c r="Z204">
        <v>2.2844089090000002</v>
      </c>
      <c r="AA204">
        <v>2.2844089090000002</v>
      </c>
      <c r="AB204">
        <v>2.2844089090000002</v>
      </c>
      <c r="AC204">
        <v>2.2844089090000002</v>
      </c>
      <c r="AD204">
        <v>2.2844089090000002</v>
      </c>
      <c r="AE204">
        <v>2.2844089090000002</v>
      </c>
      <c r="AF204">
        <v>2.2844089090000002</v>
      </c>
      <c r="AG204">
        <v>2.2844089090000002</v>
      </c>
    </row>
    <row r="205" spans="1:33">
      <c r="A205" t="s">
        <v>143</v>
      </c>
      <c r="C205">
        <v>2.9717682019999998</v>
      </c>
      <c r="D205">
        <v>2.9717682019999998</v>
      </c>
      <c r="E205">
        <v>2.9717682019999998</v>
      </c>
      <c r="F205">
        <v>2.9717682019999998</v>
      </c>
      <c r="G205">
        <v>2.9717682019999998</v>
      </c>
      <c r="H205">
        <v>2.9717682019999998</v>
      </c>
      <c r="I205">
        <v>2.9717682019999998</v>
      </c>
      <c r="J205">
        <v>2.9717682019999998</v>
      </c>
      <c r="K205">
        <v>2.9717682019999998</v>
      </c>
      <c r="L205">
        <v>2.9717682019999998</v>
      </c>
      <c r="M205">
        <v>2.9717682019999998</v>
      </c>
      <c r="N205">
        <v>2.9717682019999998</v>
      </c>
      <c r="O205">
        <v>2.9717682019999998</v>
      </c>
      <c r="P205">
        <v>2.9717682019999998</v>
      </c>
      <c r="Q205">
        <v>2.9717682019999998</v>
      </c>
      <c r="R205">
        <v>2.9717682019999998</v>
      </c>
      <c r="S205">
        <v>2.9717682019999998</v>
      </c>
      <c r="T205">
        <v>2.9717682019999998</v>
      </c>
      <c r="U205">
        <v>2.9717682019999998</v>
      </c>
      <c r="V205">
        <v>2.9717682019999998</v>
      </c>
      <c r="W205">
        <v>2.9717682019999998</v>
      </c>
      <c r="X205">
        <v>2.9717682019999998</v>
      </c>
      <c r="Y205">
        <v>2.9717682019999998</v>
      </c>
      <c r="Z205">
        <v>2.9717682019999998</v>
      </c>
      <c r="AA205">
        <v>2.9717682019999998</v>
      </c>
      <c r="AB205">
        <v>2.9717682019999998</v>
      </c>
      <c r="AC205">
        <v>2.9717682019999998</v>
      </c>
      <c r="AD205">
        <v>2.9717682019999998</v>
      </c>
      <c r="AE205">
        <v>2.9717682019999998</v>
      </c>
      <c r="AF205">
        <v>2.9717682019999998</v>
      </c>
      <c r="AG205">
        <v>2.9717682019999998</v>
      </c>
    </row>
    <row r="206" spans="1:33">
      <c r="A206" t="s">
        <v>144</v>
      </c>
      <c r="C206">
        <v>1.655629139</v>
      </c>
      <c r="D206">
        <v>1.655629139</v>
      </c>
      <c r="E206">
        <v>1.655629139</v>
      </c>
      <c r="F206">
        <v>1.655629139</v>
      </c>
      <c r="G206">
        <v>1.655629139</v>
      </c>
      <c r="H206">
        <v>1.655629139</v>
      </c>
      <c r="I206">
        <v>1.655629139</v>
      </c>
      <c r="J206">
        <v>1.655629139</v>
      </c>
      <c r="K206">
        <v>1.655629139</v>
      </c>
      <c r="L206">
        <v>1.655629139</v>
      </c>
      <c r="M206">
        <v>1.655629139</v>
      </c>
      <c r="N206">
        <v>1.655629139</v>
      </c>
      <c r="O206">
        <v>1.655629139</v>
      </c>
      <c r="P206">
        <v>1.655629139</v>
      </c>
      <c r="Q206">
        <v>1.655629139</v>
      </c>
      <c r="R206">
        <v>1.655629139</v>
      </c>
      <c r="S206">
        <v>1.655629139</v>
      </c>
      <c r="T206">
        <v>1.655629139</v>
      </c>
      <c r="U206">
        <v>1.655629139</v>
      </c>
      <c r="V206">
        <v>1.655629139</v>
      </c>
      <c r="W206">
        <v>1.655629139</v>
      </c>
      <c r="X206">
        <v>1.655629139</v>
      </c>
      <c r="Y206">
        <v>1.655629139</v>
      </c>
      <c r="Z206">
        <v>1.655629139</v>
      </c>
      <c r="AA206">
        <v>1.655629139</v>
      </c>
      <c r="AB206">
        <v>1.655629139</v>
      </c>
      <c r="AC206">
        <v>1.655629139</v>
      </c>
      <c r="AD206">
        <v>1.655629139</v>
      </c>
      <c r="AE206">
        <v>1.655629139</v>
      </c>
      <c r="AF206">
        <v>1.655629139</v>
      </c>
      <c r="AG206">
        <v>1.655629139</v>
      </c>
    </row>
    <row r="207" spans="1:33">
      <c r="A207" t="s">
        <v>145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146</v>
      </c>
      <c r="C208">
        <v>1.655629139</v>
      </c>
      <c r="D208">
        <v>1.655629139</v>
      </c>
      <c r="E208">
        <v>1.655629139</v>
      </c>
      <c r="F208">
        <v>1.655629139</v>
      </c>
      <c r="G208">
        <v>1.655629139</v>
      </c>
      <c r="H208">
        <v>1.655629139</v>
      </c>
      <c r="I208">
        <v>1.655629139</v>
      </c>
      <c r="J208">
        <v>1.655629139</v>
      </c>
      <c r="K208">
        <v>1.655629139</v>
      </c>
      <c r="L208">
        <v>1.655629139</v>
      </c>
      <c r="M208">
        <v>1.655629139</v>
      </c>
      <c r="N208">
        <v>1.655629139</v>
      </c>
      <c r="O208">
        <v>1.655629139</v>
      </c>
      <c r="P208">
        <v>1.655629139</v>
      </c>
      <c r="Q208">
        <v>1.655629139</v>
      </c>
      <c r="R208">
        <v>1.655629139</v>
      </c>
      <c r="S208">
        <v>1.655629139</v>
      </c>
      <c r="T208">
        <v>1.655629139</v>
      </c>
      <c r="U208">
        <v>1.655629139</v>
      </c>
      <c r="V208">
        <v>1.655629139</v>
      </c>
      <c r="W208">
        <v>1.655629139</v>
      </c>
      <c r="X208">
        <v>1.655629139</v>
      </c>
      <c r="Y208">
        <v>1.655629139</v>
      </c>
      <c r="Z208">
        <v>1.655629139</v>
      </c>
      <c r="AA208">
        <v>1.655629139</v>
      </c>
      <c r="AB208">
        <v>1.655629139</v>
      </c>
      <c r="AC208">
        <v>1.655629139</v>
      </c>
      <c r="AD208">
        <v>1.655629139</v>
      </c>
      <c r="AE208">
        <v>1.655629139</v>
      </c>
      <c r="AF208">
        <v>1.655629139</v>
      </c>
      <c r="AG208">
        <v>1.655629139</v>
      </c>
    </row>
    <row r="209" spans="1:36">
      <c r="A209" t="s">
        <v>147</v>
      </c>
      <c r="C209">
        <v>1.870032726</v>
      </c>
      <c r="D209">
        <v>1.870032726</v>
      </c>
      <c r="E209">
        <v>1.870032726</v>
      </c>
      <c r="F209">
        <v>1.870032726</v>
      </c>
      <c r="G209">
        <v>1.870032726</v>
      </c>
      <c r="H209">
        <v>1.870032726</v>
      </c>
      <c r="I209">
        <v>1.870032726</v>
      </c>
      <c r="J209">
        <v>1.870032726</v>
      </c>
      <c r="K209">
        <v>1.870032726</v>
      </c>
      <c r="L209">
        <v>1.870032726</v>
      </c>
      <c r="M209">
        <v>1.870032726</v>
      </c>
      <c r="N209">
        <v>1.870032726</v>
      </c>
      <c r="O209">
        <v>1.870032726</v>
      </c>
      <c r="P209">
        <v>1.870032726</v>
      </c>
      <c r="Q209">
        <v>1.870032726</v>
      </c>
      <c r="R209">
        <v>1.870032726</v>
      </c>
      <c r="S209">
        <v>1.870032726</v>
      </c>
      <c r="T209">
        <v>1.870032726</v>
      </c>
      <c r="U209">
        <v>1.870032726</v>
      </c>
      <c r="V209">
        <v>1.870032726</v>
      </c>
      <c r="W209">
        <v>1.870032726</v>
      </c>
      <c r="X209">
        <v>1.870032726</v>
      </c>
      <c r="Y209">
        <v>1.870032726</v>
      </c>
      <c r="Z209">
        <v>1.870032726</v>
      </c>
      <c r="AA209">
        <v>1.870032726</v>
      </c>
      <c r="AB209">
        <v>1.870032726</v>
      </c>
      <c r="AC209">
        <v>1.870032726</v>
      </c>
      <c r="AD209">
        <v>1.870032726</v>
      </c>
      <c r="AE209">
        <v>1.870032726</v>
      </c>
      <c r="AF209">
        <v>1.870032726</v>
      </c>
      <c r="AG209">
        <v>1.870032726</v>
      </c>
    </row>
    <row r="210" spans="1:36">
      <c r="A210" t="s">
        <v>148</v>
      </c>
      <c r="C210">
        <v>2.6315789469999999</v>
      </c>
      <c r="D210">
        <v>2.6315789469999999</v>
      </c>
      <c r="E210">
        <v>2.6315789469999999</v>
      </c>
      <c r="F210">
        <v>2.6315789469999999</v>
      </c>
      <c r="G210">
        <v>2.6315789469999999</v>
      </c>
      <c r="H210">
        <v>2.6315789469999999</v>
      </c>
      <c r="I210">
        <v>2.6315789469999999</v>
      </c>
      <c r="J210">
        <v>2.6315789469999999</v>
      </c>
      <c r="K210">
        <v>2.6315789469999999</v>
      </c>
      <c r="L210">
        <v>2.6315789469999999</v>
      </c>
      <c r="M210">
        <v>2.6315789469999999</v>
      </c>
      <c r="N210">
        <v>2.6315789469999999</v>
      </c>
      <c r="O210">
        <v>2.6315789469999999</v>
      </c>
      <c r="P210">
        <v>2.6315789469999999</v>
      </c>
      <c r="Q210">
        <v>2.6315789469999999</v>
      </c>
      <c r="R210">
        <v>2.6315789469999999</v>
      </c>
      <c r="S210">
        <v>2.6315789469999999</v>
      </c>
      <c r="T210">
        <v>2.6315789469999999</v>
      </c>
      <c r="U210">
        <v>2.6315789469999999</v>
      </c>
      <c r="V210">
        <v>2.6315789469999999</v>
      </c>
      <c r="W210">
        <v>2.6315789469999999</v>
      </c>
      <c r="X210">
        <v>2.6315789469999999</v>
      </c>
      <c r="Y210">
        <v>2.6315789469999999</v>
      </c>
      <c r="Z210">
        <v>2.6315789469999999</v>
      </c>
      <c r="AA210">
        <v>2.6315789469999999</v>
      </c>
      <c r="AB210">
        <v>2.6315789469999999</v>
      </c>
      <c r="AC210">
        <v>2.6315789469999999</v>
      </c>
      <c r="AD210">
        <v>2.6315789469999999</v>
      </c>
      <c r="AE210">
        <v>2.6315789469999999</v>
      </c>
      <c r="AF210">
        <v>2.6315789469999999</v>
      </c>
      <c r="AG210">
        <v>2.6315789469999999</v>
      </c>
    </row>
    <row r="211" spans="1:36">
      <c r="A211" t="s">
        <v>149</v>
      </c>
      <c r="C211">
        <v>2.6315789469999999</v>
      </c>
      <c r="D211">
        <v>2.6315789469999999</v>
      </c>
      <c r="E211">
        <v>2.6315789469999999</v>
      </c>
      <c r="F211">
        <v>2.6315789469999999</v>
      </c>
      <c r="G211">
        <v>2.6315789469999999</v>
      </c>
      <c r="H211">
        <v>2.6315789469999999</v>
      </c>
      <c r="I211">
        <v>2.6315789469999999</v>
      </c>
      <c r="J211">
        <v>2.6315789469999999</v>
      </c>
      <c r="K211">
        <v>2.6315789469999999</v>
      </c>
      <c r="L211">
        <v>2.6315789469999999</v>
      </c>
      <c r="M211">
        <v>2.6315789469999999</v>
      </c>
      <c r="N211">
        <v>2.6315789469999999</v>
      </c>
      <c r="O211">
        <v>2.6315789469999999</v>
      </c>
      <c r="P211">
        <v>2.6315789469999999</v>
      </c>
      <c r="Q211">
        <v>2.6315789469999999</v>
      </c>
      <c r="R211">
        <v>2.6315789469999999</v>
      </c>
      <c r="S211">
        <v>2.6315789469999999</v>
      </c>
      <c r="T211">
        <v>2.6315789469999999</v>
      </c>
      <c r="U211">
        <v>2.6315789469999999</v>
      </c>
      <c r="V211">
        <v>2.6315789469999999</v>
      </c>
      <c r="W211">
        <v>2.6315789469999999</v>
      </c>
      <c r="X211">
        <v>2.6315789469999999</v>
      </c>
      <c r="Y211">
        <v>2.6315789469999999</v>
      </c>
      <c r="Z211">
        <v>2.6315789469999999</v>
      </c>
      <c r="AA211">
        <v>2.6315789469999999</v>
      </c>
      <c r="AB211">
        <v>2.6315789469999999</v>
      </c>
      <c r="AC211">
        <v>2.6315789469999999</v>
      </c>
      <c r="AD211">
        <v>2.6315789469999999</v>
      </c>
      <c r="AE211">
        <v>2.6315789469999999</v>
      </c>
      <c r="AF211">
        <v>2.6315789469999999</v>
      </c>
      <c r="AG211">
        <v>2.6315789469999999</v>
      </c>
    </row>
    <row r="212" spans="1:36">
      <c r="A212" t="s">
        <v>150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6">
      <c r="A213" t="s">
        <v>151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6">
      <c r="A214" t="s">
        <v>152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6">
      <c r="A215" t="s">
        <v>135</v>
      </c>
      <c r="C215">
        <v>5.2179487179999997</v>
      </c>
      <c r="D215">
        <v>5.2179487179999997</v>
      </c>
      <c r="E215">
        <v>5.2179487179999997</v>
      </c>
      <c r="F215">
        <v>5.2179487179999997</v>
      </c>
      <c r="G215">
        <v>5.2179487179999997</v>
      </c>
      <c r="H215">
        <v>5.2179487179999997</v>
      </c>
      <c r="I215">
        <v>5.2179487179999997</v>
      </c>
      <c r="J215">
        <v>5.2179487179999997</v>
      </c>
      <c r="K215">
        <v>5.2179487179999997</v>
      </c>
      <c r="L215">
        <v>5.2179487179999997</v>
      </c>
      <c r="M215">
        <v>5.2179487179999997</v>
      </c>
      <c r="N215">
        <v>5.2179487179999997</v>
      </c>
      <c r="O215">
        <v>5.2179487179999997</v>
      </c>
      <c r="P215">
        <v>5.2179487179999997</v>
      </c>
      <c r="Q215">
        <v>5.2179487179999997</v>
      </c>
      <c r="R215">
        <v>5.2179487179999997</v>
      </c>
      <c r="S215">
        <v>5.2179487179999997</v>
      </c>
      <c r="T215">
        <v>5.2179487179999997</v>
      </c>
      <c r="U215">
        <v>5.2179487179999997</v>
      </c>
      <c r="V215">
        <v>5.2179487179999997</v>
      </c>
      <c r="W215">
        <v>5.2179487179999997</v>
      </c>
      <c r="X215">
        <v>5.2179487179999997</v>
      </c>
      <c r="Y215">
        <v>5.2179487179999997</v>
      </c>
      <c r="Z215">
        <v>5.2179487179999997</v>
      </c>
      <c r="AA215">
        <v>5.2179487179999997</v>
      </c>
      <c r="AB215">
        <v>5.2179487179999997</v>
      </c>
      <c r="AC215">
        <v>5.2179487179999997</v>
      </c>
      <c r="AD215">
        <v>5.2179487179999997</v>
      </c>
      <c r="AE215">
        <v>5.2179487179999997</v>
      </c>
      <c r="AF215">
        <v>5.2179487179999997</v>
      </c>
      <c r="AG215">
        <v>5.2179487179999997</v>
      </c>
    </row>
    <row r="216" spans="1:36">
      <c r="A216" t="s">
        <v>134</v>
      </c>
      <c r="C216">
        <v>1.870042735</v>
      </c>
      <c r="D216">
        <v>1.870042735</v>
      </c>
      <c r="E216">
        <v>1.870042735</v>
      </c>
      <c r="F216">
        <v>1.870042735</v>
      </c>
      <c r="G216">
        <v>1.870042735</v>
      </c>
      <c r="H216">
        <v>1.870042735</v>
      </c>
      <c r="I216">
        <v>1.870042735</v>
      </c>
      <c r="J216">
        <v>1.870042735</v>
      </c>
      <c r="K216">
        <v>1.870042735</v>
      </c>
      <c r="L216">
        <v>1.870042735</v>
      </c>
      <c r="M216">
        <v>1.870042735</v>
      </c>
      <c r="N216">
        <v>1.870042735</v>
      </c>
      <c r="O216">
        <v>1.870042735</v>
      </c>
      <c r="P216">
        <v>1.870042735</v>
      </c>
      <c r="Q216">
        <v>1.870042735</v>
      </c>
      <c r="R216">
        <v>1.870042735</v>
      </c>
      <c r="S216">
        <v>1.870042735</v>
      </c>
      <c r="T216">
        <v>1.870042735</v>
      </c>
      <c r="U216">
        <v>1.870042735</v>
      </c>
      <c r="V216">
        <v>1.870042735</v>
      </c>
      <c r="W216">
        <v>1.870042735</v>
      </c>
      <c r="X216">
        <v>1.870042735</v>
      </c>
      <c r="Y216">
        <v>1.870042735</v>
      </c>
      <c r="Z216">
        <v>1.870042735</v>
      </c>
      <c r="AA216">
        <v>1.870042735</v>
      </c>
      <c r="AB216">
        <v>1.870042735</v>
      </c>
      <c r="AC216">
        <v>1.870042735</v>
      </c>
      <c r="AD216">
        <v>1.870042735</v>
      </c>
      <c r="AE216">
        <v>1.870042735</v>
      </c>
      <c r="AF216">
        <v>1.870042735</v>
      </c>
      <c r="AG216">
        <v>1.870042735</v>
      </c>
    </row>
    <row r="217" spans="1:36">
      <c r="A217" s="29" t="s">
        <v>148</v>
      </c>
      <c r="C217">
        <v>2.6315789469999999</v>
      </c>
      <c r="D217">
        <v>2.6315789469999999</v>
      </c>
      <c r="E217">
        <v>2.6315789469999999</v>
      </c>
      <c r="F217">
        <v>2.6315789469999999</v>
      </c>
      <c r="G217">
        <v>2.6315789469999999</v>
      </c>
      <c r="H217">
        <v>2.6315789469999999</v>
      </c>
      <c r="I217">
        <v>2.6315789469999999</v>
      </c>
      <c r="J217">
        <v>2.6315789469999999</v>
      </c>
      <c r="K217">
        <v>2.6315789469999999</v>
      </c>
      <c r="L217">
        <v>2.6315789469999999</v>
      </c>
      <c r="M217">
        <v>2.6315789469999999</v>
      </c>
      <c r="N217">
        <v>2.6315789469999999</v>
      </c>
      <c r="O217">
        <v>2.6315789469999999</v>
      </c>
      <c r="P217">
        <v>2.6315789469999999</v>
      </c>
      <c r="Q217">
        <v>2.6315789469999999</v>
      </c>
      <c r="R217">
        <v>2.6315789469999999</v>
      </c>
      <c r="S217">
        <v>2.6315789469999999</v>
      </c>
      <c r="T217">
        <v>2.6315789469999999</v>
      </c>
      <c r="U217">
        <v>2.6315789469999999</v>
      </c>
      <c r="V217">
        <v>2.6315789469999999</v>
      </c>
      <c r="W217">
        <v>2.6315789469999999</v>
      </c>
      <c r="X217">
        <v>2.6315789469999999</v>
      </c>
      <c r="Y217">
        <v>2.6315789469999999</v>
      </c>
      <c r="Z217">
        <v>2.6315789469999999</v>
      </c>
      <c r="AA217">
        <v>2.6315789469999999</v>
      </c>
      <c r="AB217">
        <v>2.6315789469999999</v>
      </c>
      <c r="AC217">
        <v>2.6315789469999999</v>
      </c>
      <c r="AD217">
        <v>2.6315789469999999</v>
      </c>
      <c r="AE217">
        <v>2.6315789469999999</v>
      </c>
      <c r="AF217">
        <v>2.6315789469999999</v>
      </c>
      <c r="AG217">
        <v>2.6315789469999999</v>
      </c>
    </row>
    <row r="218" spans="1:36">
      <c r="A218" s="29" t="s">
        <v>149</v>
      </c>
      <c r="C218">
        <v>2.6315789469999999</v>
      </c>
      <c r="D218">
        <v>2.6315789469999999</v>
      </c>
      <c r="E218">
        <v>2.6315789469999999</v>
      </c>
      <c r="F218">
        <v>2.6315789469999999</v>
      </c>
      <c r="G218">
        <v>2.6315789469999999</v>
      </c>
      <c r="H218">
        <v>2.6315789469999999</v>
      </c>
      <c r="I218">
        <v>2.6315789469999999</v>
      </c>
      <c r="J218">
        <v>2.6315789469999999</v>
      </c>
      <c r="K218">
        <v>2.6315789469999999</v>
      </c>
      <c r="L218">
        <v>2.6315789469999999</v>
      </c>
      <c r="M218">
        <v>2.6315789469999999</v>
      </c>
      <c r="N218">
        <v>2.6315789469999999</v>
      </c>
      <c r="O218">
        <v>2.6315789469999999</v>
      </c>
      <c r="P218">
        <v>2.6315789469999999</v>
      </c>
      <c r="Q218">
        <v>2.6315789469999999</v>
      </c>
      <c r="R218">
        <v>2.6315789469999999</v>
      </c>
      <c r="S218">
        <v>2.6315789469999999</v>
      </c>
      <c r="T218">
        <v>2.6315789469999999</v>
      </c>
      <c r="U218">
        <v>2.6315789469999999</v>
      </c>
      <c r="V218">
        <v>2.6315789469999999</v>
      </c>
      <c r="W218">
        <v>2.6315789469999999</v>
      </c>
      <c r="X218">
        <v>2.6315789469999999</v>
      </c>
      <c r="Y218">
        <v>2.6315789469999999</v>
      </c>
      <c r="Z218">
        <v>2.6315789469999999</v>
      </c>
      <c r="AA218">
        <v>2.6315789469999999</v>
      </c>
      <c r="AB218">
        <v>2.6315789469999999</v>
      </c>
      <c r="AC218">
        <v>2.6315789469999999</v>
      </c>
      <c r="AD218">
        <v>2.6315789469999999</v>
      </c>
      <c r="AE218">
        <v>2.6315789469999999</v>
      </c>
      <c r="AF218">
        <v>2.6315789469999999</v>
      </c>
      <c r="AG218">
        <v>2.6315789469999999</v>
      </c>
    </row>
    <row r="219" spans="1:36">
      <c r="A219" s="43" t="s">
        <v>154</v>
      </c>
      <c r="C219">
        <v>1.2223323420000001</v>
      </c>
      <c r="D219">
        <v>1.2223323420000001</v>
      </c>
      <c r="E219">
        <v>1.2223323420000001</v>
      </c>
      <c r="F219">
        <v>1.2223323420000001</v>
      </c>
      <c r="G219">
        <v>1.2223323420000001</v>
      </c>
      <c r="H219">
        <v>1.2223323420000001</v>
      </c>
      <c r="I219">
        <v>1.2223323420000001</v>
      </c>
      <c r="J219">
        <v>1.2223323420000001</v>
      </c>
      <c r="K219">
        <v>1.2223323420000001</v>
      </c>
      <c r="L219">
        <v>1.2223323420000001</v>
      </c>
      <c r="M219">
        <v>1.2223323420000001</v>
      </c>
      <c r="N219">
        <v>1.2223323420000001</v>
      </c>
      <c r="O219">
        <v>1.2223323420000001</v>
      </c>
      <c r="P219">
        <v>1.2223323420000001</v>
      </c>
      <c r="Q219">
        <v>1.2223323420000001</v>
      </c>
      <c r="R219">
        <v>1.2223323420000001</v>
      </c>
      <c r="S219">
        <v>1.2223323420000001</v>
      </c>
      <c r="T219">
        <v>1.2223323420000001</v>
      </c>
      <c r="U219">
        <v>1.2223323420000001</v>
      </c>
      <c r="V219">
        <v>1.2223323420000001</v>
      </c>
      <c r="W219">
        <v>1.2223323420000001</v>
      </c>
      <c r="X219">
        <v>1.2223323420000001</v>
      </c>
      <c r="Y219">
        <v>1.2223323420000001</v>
      </c>
      <c r="Z219">
        <v>1.2223323420000001</v>
      </c>
      <c r="AA219">
        <v>1.2223323420000001</v>
      </c>
      <c r="AB219">
        <v>1.2223323420000001</v>
      </c>
      <c r="AC219">
        <v>1.2223323420000001</v>
      </c>
      <c r="AD219">
        <v>1.2223323420000001</v>
      </c>
      <c r="AE219">
        <v>1.2223323420000001</v>
      </c>
      <c r="AF219">
        <v>1.2223323420000001</v>
      </c>
      <c r="AG219">
        <v>1.2223323420000001</v>
      </c>
    </row>
    <row r="220" spans="1:36">
      <c r="A220" s="30"/>
      <c r="W220"/>
    </row>
    <row r="221" spans="1:36">
      <c r="A221" s="30"/>
      <c r="W221"/>
    </row>
    <row r="222" spans="1:36">
      <c r="W222"/>
    </row>
    <row r="223" spans="1:36">
      <c r="A223" s="21" t="s">
        <v>87</v>
      </c>
      <c r="C223" s="22">
        <v>2020</v>
      </c>
      <c r="D223" s="22">
        <v>2021</v>
      </c>
      <c r="E223" s="22">
        <v>2022</v>
      </c>
      <c r="F223" s="22">
        <v>2023</v>
      </c>
      <c r="G223" s="22">
        <v>2024</v>
      </c>
      <c r="H223" s="22">
        <v>2025</v>
      </c>
      <c r="I223" s="22">
        <v>2026</v>
      </c>
      <c r="J223" s="22">
        <v>2027</v>
      </c>
      <c r="K223" s="22">
        <v>2028</v>
      </c>
      <c r="L223" s="22">
        <v>2029</v>
      </c>
      <c r="M223" s="22">
        <v>2030</v>
      </c>
      <c r="N223" s="22">
        <v>2031</v>
      </c>
      <c r="O223" s="22">
        <v>2032</v>
      </c>
      <c r="P223" s="22">
        <v>2033</v>
      </c>
      <c r="Q223" s="22">
        <v>2034</v>
      </c>
      <c r="R223" s="22">
        <v>2035</v>
      </c>
      <c r="S223" s="22">
        <v>2036</v>
      </c>
      <c r="T223" s="22">
        <v>2037</v>
      </c>
      <c r="U223" s="22">
        <v>2038</v>
      </c>
      <c r="V223" s="22">
        <v>2039</v>
      </c>
      <c r="W223" s="22">
        <v>2040</v>
      </c>
      <c r="X223" s="22">
        <v>2041</v>
      </c>
      <c r="Y223" s="22">
        <v>2042</v>
      </c>
      <c r="Z223" s="22">
        <v>2043</v>
      </c>
      <c r="AA223" s="22">
        <v>2044</v>
      </c>
      <c r="AB223" s="22">
        <v>2045</v>
      </c>
      <c r="AC223" s="22">
        <v>2046</v>
      </c>
      <c r="AD223" s="22">
        <v>2047</v>
      </c>
      <c r="AE223" s="22">
        <v>2048</v>
      </c>
      <c r="AF223" s="22">
        <v>2049</v>
      </c>
      <c r="AG223" s="22">
        <v>2050</v>
      </c>
    </row>
    <row r="224" spans="1:36">
      <c r="A224" t="s">
        <v>132</v>
      </c>
      <c r="C224">
        <f>SUMIFS(UseByTech!C$2:C$10000,UseByTech!$B$2:$B$10000,$A224)</f>
        <v>18.003099999999996</v>
      </c>
      <c r="D224">
        <f>SUMIFS(UseByTech!D$2:D$10000,UseByTech!$B$2:$B$10000,$A224)</f>
        <v>20.811599999999999</v>
      </c>
      <c r="E224">
        <f>SUMIFS(UseByTech!E$2:E$10000,UseByTech!$B$2:$B$10000,$A224)</f>
        <v>19.039099999999998</v>
      </c>
      <c r="F224">
        <f>SUMIFS(UseByTech!F$2:F$10000,UseByTech!$B$2:$B$10000,$A224)</f>
        <v>20.2913</v>
      </c>
      <c r="G224">
        <f>SUMIFS(UseByTech!G$2:G$10000,UseByTech!$B$2:$B$10000,$A224)</f>
        <v>20.827399999999997</v>
      </c>
      <c r="H224">
        <f>SUMIFS(UseByTech!H$2:H$10000,UseByTech!$B$2:$B$10000,$A224)</f>
        <v>0</v>
      </c>
      <c r="I224">
        <f>SUMIFS(UseByTech!I$2:I$10000,UseByTech!$B$2:$B$10000,$A224)</f>
        <v>0</v>
      </c>
      <c r="J224">
        <f>SUMIFS(UseByTech!J$2:J$10000,UseByTech!$B$2:$B$10000,$A224)</f>
        <v>0</v>
      </c>
      <c r="K224">
        <f>SUMIFS(UseByTech!K$2:K$10000,UseByTech!$B$2:$B$10000,$A224)</f>
        <v>0</v>
      </c>
      <c r="L224">
        <f>SUMIFS(UseByTech!L$2:L$10000,UseByTech!$B$2:$B$10000,$A224)</f>
        <v>0</v>
      </c>
      <c r="M224">
        <f>SUMIFS(UseByTech!M$2:M$10000,UseByTech!$B$2:$B$10000,$A224)</f>
        <v>0</v>
      </c>
      <c r="N224">
        <f>SUMIFS(UseByTech!N$2:N$10000,UseByTech!$B$2:$B$10000,$A224)</f>
        <v>0</v>
      </c>
      <c r="O224">
        <f>SUMIFS(UseByTech!O$2:O$10000,UseByTech!$B$2:$B$10000,$A224)</f>
        <v>0</v>
      </c>
      <c r="P224">
        <f>SUMIFS(UseByTech!P$2:P$10000,UseByTech!$B$2:$B$10000,$A224)</f>
        <v>0</v>
      </c>
      <c r="Q224">
        <f>SUMIFS(UseByTech!Q$2:Q$10000,UseByTech!$B$2:$B$10000,$A224)</f>
        <v>0</v>
      </c>
      <c r="R224">
        <f>SUMIFS(UseByTech!R$2:R$10000,UseByTech!$B$2:$B$10000,$A224)</f>
        <v>0</v>
      </c>
      <c r="S224">
        <f>SUMIFS(UseByTech!S$2:S$10000,UseByTech!$B$2:$B$10000,$A224)</f>
        <v>0</v>
      </c>
      <c r="T224">
        <f>SUMIFS(UseByTech!T$2:T$10000,UseByTech!$B$2:$B$10000,$A224)</f>
        <v>0</v>
      </c>
      <c r="U224">
        <f>SUMIFS(UseByTech!U$2:U$10000,UseByTech!$B$2:$B$10000,$A224)</f>
        <v>0</v>
      </c>
      <c r="V224">
        <f>SUMIFS(UseByTech!V$2:V$10000,UseByTech!$B$2:$B$10000,$A224)</f>
        <v>0</v>
      </c>
      <c r="W224">
        <f>SUMIFS(UseByTech!W$2:W$10000,UseByTech!$B$2:$B$10000,$A224)</f>
        <v>3.8488000000000002</v>
      </c>
      <c r="X224">
        <f>SUMIFS(UseByTech!X$2:X$10000,UseByTech!$B$2:$B$10000,$A224)</f>
        <v>4.2396000000000003</v>
      </c>
      <c r="Y224">
        <f>SUMIFS(UseByTech!Y$2:Y$10000,UseByTech!$B$2:$B$10000,$A224)</f>
        <v>4.6741999999999999</v>
      </c>
      <c r="Z224">
        <f>SUMIFS(UseByTech!Z$2:Z$10000,UseByTech!$B$2:$B$10000,$A224)</f>
        <v>5.2451999999999996</v>
      </c>
      <c r="AA224">
        <f>SUMIFS(UseByTech!AA$2:AA$10000,UseByTech!$B$2:$B$10000,$A224)</f>
        <v>5.2451999999999996</v>
      </c>
      <c r="AB224">
        <f>SUMIFS(UseByTech!AB$2:AB$10000,UseByTech!$B$2:$B$10000,$A224)</f>
        <v>5.2451999999999996</v>
      </c>
      <c r="AC224">
        <f>SUMIFS(UseByTech!AC$2:AC$10000,UseByTech!$B$2:$B$10000,$A224)</f>
        <v>5.2451999999999996</v>
      </c>
      <c r="AD224">
        <f>SUMIFS(UseByTech!AD$2:AD$10000,UseByTech!$B$2:$B$10000,$A224)</f>
        <v>5.2451999999999996</v>
      </c>
      <c r="AE224">
        <f>SUMIFS(UseByTech!AE$2:AE$10000,UseByTech!$B$2:$B$10000,$A224)</f>
        <v>5.2451999999999996</v>
      </c>
      <c r="AF224">
        <f>SUMIFS(UseByTech!AF$2:AF$10000,UseByTech!$B$2:$B$10000,$A224)</f>
        <v>4.9234</v>
      </c>
      <c r="AG224">
        <f>SUMIFS(UseByTech!AG$2:AG$10000,UseByTech!$B$2:$B$10000,$A224)</f>
        <v>4.4748000000000001</v>
      </c>
      <c r="AH224">
        <f>SUMIFS(UseByTech!AH$2:AH$10000,UseByTech!$B$2:$B$10000,$A224)</f>
        <v>4.4748000000000001</v>
      </c>
      <c r="AI224">
        <f>SUMIFS(UseByTech!AI$2:AI$10000,UseByTech!$B$2:$B$10000,$A224)</f>
        <v>4.3002000000000002</v>
      </c>
      <c r="AJ224">
        <f>SUMIFS(UseByTech!AJ$2:AJ$10000,UseByTech!$B$2:$B$10000,$A224)</f>
        <v>4.2869999999999999</v>
      </c>
    </row>
    <row r="225" spans="1:36">
      <c r="A225" t="s">
        <v>133</v>
      </c>
      <c r="C225">
        <f>SUMIFS(UseByTech!C$2:C$10000,UseByTech!$B$2:$B$10000,$A225)</f>
        <v>657.53020000000004</v>
      </c>
      <c r="D225">
        <f>SUMIFS(UseByTech!D$2:D$10000,UseByTech!$B$2:$B$10000,$A225)</f>
        <v>701.28980000000001</v>
      </c>
      <c r="E225">
        <f>SUMIFS(UseByTech!E$2:E$10000,UseByTech!$B$2:$B$10000,$A225)</f>
        <v>750.76939999999979</v>
      </c>
      <c r="F225">
        <f>SUMIFS(UseByTech!F$2:F$10000,UseByTech!$B$2:$B$10000,$A225)</f>
        <v>833.54100000000017</v>
      </c>
      <c r="G225">
        <f>SUMIFS(UseByTech!G$2:G$10000,UseByTech!$B$2:$B$10000,$A225)</f>
        <v>896.88660000000027</v>
      </c>
      <c r="H225">
        <f>SUMIFS(UseByTech!H$2:H$10000,UseByTech!$B$2:$B$10000,$A225)</f>
        <v>824.11940000000016</v>
      </c>
      <c r="I225">
        <f>SUMIFS(UseByTech!I$2:I$10000,UseByTech!$B$2:$B$10000,$A225)</f>
        <v>811.35730000000024</v>
      </c>
      <c r="J225">
        <f>SUMIFS(UseByTech!J$2:J$10000,UseByTech!$B$2:$B$10000,$A225)</f>
        <v>798.16930000000002</v>
      </c>
      <c r="K225">
        <f>SUMIFS(UseByTech!K$2:K$10000,UseByTech!$B$2:$B$10000,$A225)</f>
        <v>783.50500000000022</v>
      </c>
      <c r="L225">
        <f>SUMIFS(UseByTech!L$2:L$10000,UseByTech!$B$2:$B$10000,$A225)</f>
        <v>816.30470000000003</v>
      </c>
      <c r="M225">
        <f>SUMIFS(UseByTech!M$2:M$10000,UseByTech!$B$2:$B$10000,$A225)</f>
        <v>699.6414000000002</v>
      </c>
      <c r="N225">
        <f>SUMIFS(UseByTech!N$2:N$10000,UseByTech!$B$2:$B$10000,$A225)</f>
        <v>693.77900000000011</v>
      </c>
      <c r="O225">
        <f>SUMIFS(UseByTech!O$2:O$10000,UseByTech!$B$2:$B$10000,$A225)</f>
        <v>557.12789999999995</v>
      </c>
      <c r="P225">
        <f>SUMIFS(UseByTech!P$2:P$10000,UseByTech!$B$2:$B$10000,$A225)</f>
        <v>542.08939999999996</v>
      </c>
      <c r="Q225">
        <f>SUMIFS(UseByTech!Q$2:Q$10000,UseByTech!$B$2:$B$10000,$A225)</f>
        <v>526.9661000000001</v>
      </c>
      <c r="R225">
        <f>SUMIFS(UseByTech!R$2:R$10000,UseByTech!$B$2:$B$10000,$A225)</f>
        <v>486.65189999999996</v>
      </c>
      <c r="S225">
        <f>SUMIFS(UseByTech!S$2:S$10000,UseByTech!$B$2:$B$10000,$A225)</f>
        <v>414.95519999999999</v>
      </c>
      <c r="T225">
        <f>SUMIFS(UseByTech!T$2:T$10000,UseByTech!$B$2:$B$10000,$A225)</f>
        <v>399.03879999999998</v>
      </c>
      <c r="U225">
        <f>SUMIFS(UseByTech!U$2:U$10000,UseByTech!$B$2:$B$10000,$A225)</f>
        <v>337.38169999999997</v>
      </c>
      <c r="V225">
        <f>SUMIFS(UseByTech!V$2:V$10000,UseByTech!$B$2:$B$10000,$A225)</f>
        <v>270.80619999999993</v>
      </c>
      <c r="W225">
        <f>SUMIFS(UseByTech!W$2:W$10000,UseByTech!$B$2:$B$10000,$A225)</f>
        <v>279.96460000000002</v>
      </c>
      <c r="X225">
        <f>SUMIFS(UseByTech!X$2:X$10000,UseByTech!$B$2:$B$10000,$A225)</f>
        <v>294.98640000000006</v>
      </c>
      <c r="Y225">
        <f>SUMIFS(UseByTech!Y$2:Y$10000,UseByTech!$B$2:$B$10000,$A225)</f>
        <v>290.68470000000008</v>
      </c>
      <c r="Z225">
        <f>SUMIFS(UseByTech!Z$2:Z$10000,UseByTech!$B$2:$B$10000,$A225)</f>
        <v>286.37200000000007</v>
      </c>
      <c r="AA225">
        <f>SUMIFS(UseByTech!AA$2:AA$10000,UseByTech!$B$2:$B$10000,$A225)</f>
        <v>282.04810000000009</v>
      </c>
      <c r="AB225">
        <f>SUMIFS(UseByTech!AB$2:AB$10000,UseByTech!$B$2:$B$10000,$A225)</f>
        <v>277.4572</v>
      </c>
      <c r="AC225">
        <f>SUMIFS(UseByTech!AC$2:AC$10000,UseByTech!$B$2:$B$10000,$A225)</f>
        <v>256.82310000000001</v>
      </c>
      <c r="AD225">
        <f>SUMIFS(UseByTech!AD$2:AD$10000,UseByTech!$B$2:$B$10000,$A225)</f>
        <v>252.43849999999992</v>
      </c>
      <c r="AE225">
        <f>SUMIFS(UseByTech!AE$2:AE$10000,UseByTech!$B$2:$B$10000,$A225)</f>
        <v>250.55649999999994</v>
      </c>
      <c r="AF225">
        <f>SUMIFS(UseByTech!AF$2:AF$10000,UseByTech!$B$2:$B$10000,$A225)</f>
        <v>284.44770000000005</v>
      </c>
      <c r="AG225">
        <f>SUMIFS(UseByTech!AG$2:AG$10000,UseByTech!$B$2:$B$10000,$A225)</f>
        <v>315.31859999999989</v>
      </c>
      <c r="AH225">
        <f>SUMIFS(UseByTech!AH$2:AH$10000,UseByTech!$B$2:$B$10000,$A225)</f>
        <v>298.0949</v>
      </c>
      <c r="AI225">
        <f>SUMIFS(UseByTech!AI$2:AI$10000,UseByTech!$B$2:$B$10000,$A225)</f>
        <v>296.58749999999998</v>
      </c>
      <c r="AJ225">
        <f>SUMIFS(UseByTech!AJ$2:AJ$10000,UseByTech!$B$2:$B$10000,$A225)</f>
        <v>258.22840000000008</v>
      </c>
    </row>
    <row r="226" spans="1:36">
      <c r="A226" t="s">
        <v>138</v>
      </c>
      <c r="C226">
        <f>SUMIFS(UseByTech!C$2:C$10000,UseByTech!$B$2:$B$10000,$A226)</f>
        <v>0</v>
      </c>
      <c r="D226">
        <f>SUMIFS(UseByTech!D$2:D$10000,UseByTech!$B$2:$B$10000,$A226)</f>
        <v>0</v>
      </c>
      <c r="E226">
        <f>SUMIFS(UseByTech!E$2:E$10000,UseByTech!$B$2:$B$10000,$A226)</f>
        <v>0</v>
      </c>
      <c r="F226">
        <f>SUMIFS(UseByTech!F$2:F$10000,UseByTech!$B$2:$B$10000,$A226)</f>
        <v>0</v>
      </c>
      <c r="G226">
        <f>SUMIFS(UseByTech!G$2:G$10000,UseByTech!$B$2:$B$10000,$A226)</f>
        <v>0</v>
      </c>
      <c r="H226">
        <f>SUMIFS(UseByTech!H$2:H$10000,UseByTech!$B$2:$B$10000,$A226)</f>
        <v>0</v>
      </c>
      <c r="I226">
        <f>SUMIFS(UseByTech!I$2:I$10000,UseByTech!$B$2:$B$10000,$A226)</f>
        <v>0</v>
      </c>
      <c r="J226">
        <f>SUMIFS(UseByTech!J$2:J$10000,UseByTech!$B$2:$B$10000,$A226)</f>
        <v>0</v>
      </c>
      <c r="K226">
        <f>SUMIFS(UseByTech!K$2:K$10000,UseByTech!$B$2:$B$10000,$A226)</f>
        <v>0</v>
      </c>
      <c r="L226">
        <f>SUMIFS(UseByTech!L$2:L$10000,UseByTech!$B$2:$B$10000,$A226)</f>
        <v>0</v>
      </c>
      <c r="M226">
        <f>SUMIFS(UseByTech!M$2:M$10000,UseByTech!$B$2:$B$10000,$A226)</f>
        <v>0</v>
      </c>
      <c r="N226">
        <f>SUMIFS(UseByTech!N$2:N$10000,UseByTech!$B$2:$B$10000,$A226)</f>
        <v>0</v>
      </c>
      <c r="O226">
        <f>SUMIFS(UseByTech!O$2:O$10000,UseByTech!$B$2:$B$10000,$A226)</f>
        <v>0</v>
      </c>
      <c r="P226">
        <f>SUMIFS(UseByTech!P$2:P$10000,UseByTech!$B$2:$B$10000,$A226)</f>
        <v>0</v>
      </c>
      <c r="Q226">
        <f>SUMIFS(UseByTech!Q$2:Q$10000,UseByTech!$B$2:$B$10000,$A226)</f>
        <v>0</v>
      </c>
      <c r="R226">
        <f>SUMIFS(UseByTech!R$2:R$10000,UseByTech!$B$2:$B$10000,$A226)</f>
        <v>0</v>
      </c>
      <c r="S226">
        <f>SUMIFS(UseByTech!S$2:S$10000,UseByTech!$B$2:$B$10000,$A226)</f>
        <v>0</v>
      </c>
      <c r="T226">
        <f>SUMIFS(UseByTech!T$2:T$10000,UseByTech!$B$2:$B$10000,$A226)</f>
        <v>0</v>
      </c>
      <c r="U226">
        <f>SUMIFS(UseByTech!U$2:U$10000,UseByTech!$B$2:$B$10000,$A226)</f>
        <v>0</v>
      </c>
      <c r="V226">
        <f>SUMIFS(UseByTech!V$2:V$10000,UseByTech!$B$2:$B$10000,$A226)</f>
        <v>0</v>
      </c>
      <c r="W226">
        <f>SUMIFS(UseByTech!W$2:W$10000,UseByTech!$B$2:$B$10000,$A226)</f>
        <v>0</v>
      </c>
      <c r="X226">
        <f>SUMIFS(UseByTech!X$2:X$10000,UseByTech!$B$2:$B$10000,$A226)</f>
        <v>0</v>
      </c>
      <c r="Y226">
        <f>SUMIFS(UseByTech!Y$2:Y$10000,UseByTech!$B$2:$B$10000,$A226)</f>
        <v>0</v>
      </c>
      <c r="Z226">
        <f>SUMIFS(UseByTech!Z$2:Z$10000,UseByTech!$B$2:$B$10000,$A226)</f>
        <v>0</v>
      </c>
      <c r="AA226">
        <f>SUMIFS(UseByTech!AA$2:AA$10000,UseByTech!$B$2:$B$10000,$A226)</f>
        <v>0</v>
      </c>
      <c r="AB226">
        <f>SUMIFS(UseByTech!AB$2:AB$10000,UseByTech!$B$2:$B$10000,$A226)</f>
        <v>0</v>
      </c>
      <c r="AC226">
        <f>SUMIFS(UseByTech!AC$2:AC$10000,UseByTech!$B$2:$B$10000,$A226)</f>
        <v>0</v>
      </c>
      <c r="AD226">
        <f>SUMIFS(UseByTech!AD$2:AD$10000,UseByTech!$B$2:$B$10000,$A226)</f>
        <v>0</v>
      </c>
      <c r="AE226">
        <f>SUMIFS(UseByTech!AE$2:AE$10000,UseByTech!$B$2:$B$10000,$A226)</f>
        <v>0</v>
      </c>
      <c r="AF226">
        <f>SUMIFS(UseByTech!AF$2:AF$10000,UseByTech!$B$2:$B$10000,$A226)</f>
        <v>0</v>
      </c>
      <c r="AG226">
        <f>SUMIFS(UseByTech!AG$2:AG$10000,UseByTech!$B$2:$B$10000,$A226)</f>
        <v>0</v>
      </c>
      <c r="AH226">
        <f>SUMIFS(UseByTech!AH$2:AH$10000,UseByTech!$B$2:$B$10000,$A226)</f>
        <v>0</v>
      </c>
      <c r="AI226">
        <f>SUMIFS(UseByTech!AI$2:AI$10000,UseByTech!$B$2:$B$10000,$A226)</f>
        <v>0</v>
      </c>
      <c r="AJ226">
        <f>SUMIFS(UseByTech!AJ$2:AJ$10000,UseByTech!$B$2:$B$10000,$A226)</f>
        <v>0</v>
      </c>
    </row>
    <row r="227" spans="1:36">
      <c r="A227" t="s">
        <v>141</v>
      </c>
      <c r="C227">
        <f>SUMIFS(UseByTech!C$2:C$10000,UseByTech!$B$2:$B$10000,$A227)</f>
        <v>0</v>
      </c>
      <c r="D227">
        <f>SUMIFS(UseByTech!D$2:D$10000,UseByTech!$B$2:$B$10000,$A227)</f>
        <v>0</v>
      </c>
      <c r="E227">
        <f>SUMIFS(UseByTech!E$2:E$10000,UseByTech!$B$2:$B$10000,$A227)</f>
        <v>0</v>
      </c>
      <c r="F227">
        <f>SUMIFS(UseByTech!F$2:F$10000,UseByTech!$B$2:$B$10000,$A227)</f>
        <v>0</v>
      </c>
      <c r="G227">
        <f>SUMIFS(UseByTech!G$2:G$10000,UseByTech!$B$2:$B$10000,$A227)</f>
        <v>0</v>
      </c>
      <c r="H227">
        <f>SUMIFS(UseByTech!H$2:H$10000,UseByTech!$B$2:$B$10000,$A227)</f>
        <v>0</v>
      </c>
      <c r="I227">
        <f>SUMIFS(UseByTech!I$2:I$10000,UseByTech!$B$2:$B$10000,$A227)</f>
        <v>0</v>
      </c>
      <c r="J227">
        <f>SUMIFS(UseByTech!J$2:J$10000,UseByTech!$B$2:$B$10000,$A227)</f>
        <v>0</v>
      </c>
      <c r="K227">
        <f>SUMIFS(UseByTech!K$2:K$10000,UseByTech!$B$2:$B$10000,$A227)</f>
        <v>0</v>
      </c>
      <c r="L227">
        <f>SUMIFS(UseByTech!L$2:L$10000,UseByTech!$B$2:$B$10000,$A227)</f>
        <v>0</v>
      </c>
      <c r="M227">
        <f>SUMIFS(UseByTech!M$2:M$10000,UseByTech!$B$2:$B$10000,$A227)</f>
        <v>0</v>
      </c>
      <c r="N227">
        <f>SUMIFS(UseByTech!N$2:N$10000,UseByTech!$B$2:$B$10000,$A227)</f>
        <v>0</v>
      </c>
      <c r="O227">
        <f>SUMIFS(UseByTech!O$2:O$10000,UseByTech!$B$2:$B$10000,$A227)</f>
        <v>0</v>
      </c>
      <c r="P227">
        <f>SUMIFS(UseByTech!P$2:P$10000,UseByTech!$B$2:$B$10000,$A227)</f>
        <v>0</v>
      </c>
      <c r="Q227">
        <f>SUMIFS(UseByTech!Q$2:Q$10000,UseByTech!$B$2:$B$10000,$A227)</f>
        <v>0</v>
      </c>
      <c r="R227">
        <f>SUMIFS(UseByTech!R$2:R$10000,UseByTech!$B$2:$B$10000,$A227)</f>
        <v>0</v>
      </c>
      <c r="S227">
        <f>SUMIFS(UseByTech!S$2:S$10000,UseByTech!$B$2:$B$10000,$A227)</f>
        <v>0</v>
      </c>
      <c r="T227">
        <f>SUMIFS(UseByTech!T$2:T$10000,UseByTech!$B$2:$B$10000,$A227)</f>
        <v>0</v>
      </c>
      <c r="U227">
        <f>SUMIFS(UseByTech!U$2:U$10000,UseByTech!$B$2:$B$10000,$A227)</f>
        <v>0</v>
      </c>
      <c r="V227">
        <f>SUMIFS(UseByTech!V$2:V$10000,UseByTech!$B$2:$B$10000,$A227)</f>
        <v>0</v>
      </c>
      <c r="W227">
        <f>SUMIFS(UseByTech!W$2:W$10000,UseByTech!$B$2:$B$10000,$A227)</f>
        <v>0</v>
      </c>
      <c r="X227">
        <f>SUMIFS(UseByTech!X$2:X$10000,UseByTech!$B$2:$B$10000,$A227)</f>
        <v>0</v>
      </c>
      <c r="Y227">
        <f>SUMIFS(UseByTech!Y$2:Y$10000,UseByTech!$B$2:$B$10000,$A227)</f>
        <v>0</v>
      </c>
      <c r="Z227">
        <f>SUMIFS(UseByTech!Z$2:Z$10000,UseByTech!$B$2:$B$10000,$A227)</f>
        <v>0</v>
      </c>
      <c r="AA227">
        <f>SUMIFS(UseByTech!AA$2:AA$10000,UseByTech!$B$2:$B$10000,$A227)</f>
        <v>0</v>
      </c>
      <c r="AB227">
        <f>SUMIFS(UseByTech!AB$2:AB$10000,UseByTech!$B$2:$B$10000,$A227)</f>
        <v>0</v>
      </c>
      <c r="AC227">
        <f>SUMIFS(UseByTech!AC$2:AC$10000,UseByTech!$B$2:$B$10000,$A227)</f>
        <v>0</v>
      </c>
      <c r="AD227">
        <f>SUMIFS(UseByTech!AD$2:AD$10000,UseByTech!$B$2:$B$10000,$A227)</f>
        <v>0</v>
      </c>
      <c r="AE227">
        <f>SUMIFS(UseByTech!AE$2:AE$10000,UseByTech!$B$2:$B$10000,$A227)</f>
        <v>0</v>
      </c>
      <c r="AF227">
        <f>SUMIFS(UseByTech!AF$2:AF$10000,UseByTech!$B$2:$B$10000,$A227)</f>
        <v>0</v>
      </c>
      <c r="AG227">
        <f>SUMIFS(UseByTech!AG$2:AG$10000,UseByTech!$B$2:$B$10000,$A227)</f>
        <v>0</v>
      </c>
      <c r="AH227">
        <f>SUMIFS(UseByTech!AH$2:AH$10000,UseByTech!$B$2:$B$10000,$A227)</f>
        <v>0</v>
      </c>
      <c r="AI227">
        <f>SUMIFS(UseByTech!AI$2:AI$10000,UseByTech!$B$2:$B$10000,$A227)</f>
        <v>0</v>
      </c>
      <c r="AJ227">
        <f>SUMIFS(UseByTech!AJ$2:AJ$10000,UseByTech!$B$2:$B$10000,$A227)</f>
        <v>0</v>
      </c>
    </row>
    <row r="228" spans="1:36">
      <c r="A228" t="s">
        <v>142</v>
      </c>
      <c r="C228">
        <f>SUMIFS(UseByTech!C$2:C$10000,UseByTech!$B$2:$B$10000,$A228)</f>
        <v>0</v>
      </c>
      <c r="D228">
        <f>SUMIFS(UseByTech!D$2:D$10000,UseByTech!$B$2:$B$10000,$A228)</f>
        <v>0</v>
      </c>
      <c r="E228">
        <f>SUMIFS(UseByTech!E$2:E$10000,UseByTech!$B$2:$B$10000,$A228)</f>
        <v>0</v>
      </c>
      <c r="F228">
        <f>SUMIFS(UseByTech!F$2:F$10000,UseByTech!$B$2:$B$10000,$A228)</f>
        <v>0</v>
      </c>
      <c r="G228">
        <f>SUMIFS(UseByTech!G$2:G$10000,UseByTech!$B$2:$B$10000,$A228)</f>
        <v>0</v>
      </c>
      <c r="H228">
        <f>SUMIFS(UseByTech!H$2:H$10000,UseByTech!$B$2:$B$10000,$A228)</f>
        <v>150.88200000000003</v>
      </c>
      <c r="I228">
        <f>SUMIFS(UseByTech!I$2:I$10000,UseByTech!$B$2:$B$10000,$A228)</f>
        <v>150.88200000000003</v>
      </c>
      <c r="J228">
        <f>SUMIFS(UseByTech!J$2:J$10000,UseByTech!$B$2:$B$10000,$A228)</f>
        <v>150.88200000000003</v>
      </c>
      <c r="K228">
        <f>SUMIFS(UseByTech!K$2:K$10000,UseByTech!$B$2:$B$10000,$A228)</f>
        <v>150.88200000000003</v>
      </c>
      <c r="L228">
        <f>SUMIFS(UseByTech!L$2:L$10000,UseByTech!$B$2:$B$10000,$A228)</f>
        <v>150.88200000000003</v>
      </c>
      <c r="M228">
        <f>SUMIFS(UseByTech!M$2:M$10000,UseByTech!$B$2:$B$10000,$A228)</f>
        <v>150.88200000000003</v>
      </c>
      <c r="N228">
        <f>SUMIFS(UseByTech!N$2:N$10000,UseByTech!$B$2:$B$10000,$A228)</f>
        <v>213.1122</v>
      </c>
      <c r="O228">
        <f>SUMIFS(UseByTech!O$2:O$10000,UseByTech!$B$2:$B$10000,$A228)</f>
        <v>412.55880000000025</v>
      </c>
      <c r="P228">
        <f>SUMIFS(UseByTech!P$2:P$10000,UseByTech!$B$2:$B$10000,$A228)</f>
        <v>485.70400000000018</v>
      </c>
      <c r="Q228">
        <f>SUMIFS(UseByTech!Q$2:Q$10000,UseByTech!$B$2:$B$10000,$A228)</f>
        <v>558.66820000000018</v>
      </c>
      <c r="R228">
        <f>SUMIFS(UseByTech!R$2:R$10000,UseByTech!$B$2:$B$10000,$A228)</f>
        <v>625.88459999999998</v>
      </c>
      <c r="S228">
        <f>SUMIFS(UseByTech!S$2:S$10000,UseByTech!$B$2:$B$10000,$A228)</f>
        <v>753.80579999999998</v>
      </c>
      <c r="T228">
        <f>SUMIFS(UseByTech!T$2:T$10000,UseByTech!$B$2:$B$10000,$A228)</f>
        <v>841.13679999999999</v>
      </c>
      <c r="U228">
        <f>SUMIFS(UseByTech!U$2:U$10000,UseByTech!$B$2:$B$10000,$A228)</f>
        <v>961.25480000000005</v>
      </c>
      <c r="V228">
        <f>SUMIFS(UseByTech!V$2:V$10000,UseByTech!$B$2:$B$10000,$A228)</f>
        <v>1078.0339999999999</v>
      </c>
      <c r="W228">
        <f>SUMIFS(UseByTech!W$2:W$10000,UseByTech!$B$2:$B$10000,$A228)</f>
        <v>888.9409999999998</v>
      </c>
      <c r="X228">
        <f>SUMIFS(UseByTech!X$2:X$10000,UseByTech!$B$2:$B$10000,$A228)</f>
        <v>922.91739999999993</v>
      </c>
      <c r="Y228">
        <f>SUMIFS(UseByTech!Y$2:Y$10000,UseByTech!$B$2:$B$10000,$A228)</f>
        <v>983.13919999999962</v>
      </c>
      <c r="Z228">
        <f>SUMIFS(UseByTech!Z$2:Z$10000,UseByTech!$B$2:$B$10000,$A228)</f>
        <v>1043.4942000000005</v>
      </c>
      <c r="AA228">
        <f>SUMIFS(UseByTech!AA$2:AA$10000,UseByTech!$B$2:$B$10000,$A228)</f>
        <v>1103.9756</v>
      </c>
      <c r="AB228">
        <f>SUMIFS(UseByTech!AB$2:AB$10000,UseByTech!$B$2:$B$10000,$A228)</f>
        <v>1166.4804000000001</v>
      </c>
      <c r="AC228">
        <f>SUMIFS(UseByTech!AC$2:AC$10000,UseByTech!$B$2:$B$10000,$A228)</f>
        <v>1242.3951999999997</v>
      </c>
      <c r="AD228">
        <f>SUMIFS(UseByTech!AD$2:AD$10000,UseByTech!$B$2:$B$10000,$A228)</f>
        <v>1305.4240000000002</v>
      </c>
      <c r="AE228">
        <f>SUMIFS(UseByTech!AE$2:AE$10000,UseByTech!$B$2:$B$10000,$A228)</f>
        <v>1347.8432</v>
      </c>
      <c r="AF228">
        <f>SUMIFS(UseByTech!AF$2:AF$10000,UseByTech!$B$2:$B$10000,$A228)</f>
        <v>1373.2685999999999</v>
      </c>
      <c r="AG228">
        <f>SUMIFS(UseByTech!AG$2:AG$10000,UseByTech!$B$2:$B$10000,$A228)</f>
        <v>1316.4028000000001</v>
      </c>
      <c r="AH228">
        <f>SUMIFS(UseByTech!AH$2:AH$10000,UseByTech!$B$2:$B$10000,$A228)</f>
        <v>1381.9675999999988</v>
      </c>
      <c r="AI228">
        <f>SUMIFS(UseByTech!AI$2:AI$10000,UseByTech!$B$2:$B$10000,$A228)</f>
        <v>1436.0959999999995</v>
      </c>
      <c r="AJ228">
        <f>SUMIFS(UseByTech!AJ$2:AJ$10000,UseByTech!$B$2:$B$10000,$A228)</f>
        <v>1517.0407999999998</v>
      </c>
    </row>
    <row r="229" spans="1:36">
      <c r="A229" t="s">
        <v>143</v>
      </c>
      <c r="C229">
        <f>SUMIFS(UseByTech!C$2:C$10000,UseByTech!$B$2:$B$10000,$A229)</f>
        <v>0</v>
      </c>
      <c r="D229">
        <f>SUMIFS(UseByTech!D$2:D$10000,UseByTech!$B$2:$B$10000,$A229)</f>
        <v>0</v>
      </c>
      <c r="E229">
        <f>SUMIFS(UseByTech!E$2:E$10000,UseByTech!$B$2:$B$10000,$A229)</f>
        <v>0</v>
      </c>
      <c r="F229">
        <f>SUMIFS(UseByTech!F$2:F$10000,UseByTech!$B$2:$B$10000,$A229)</f>
        <v>0</v>
      </c>
      <c r="G229">
        <f>SUMIFS(UseByTech!G$2:G$10000,UseByTech!$B$2:$B$10000,$A229)</f>
        <v>0</v>
      </c>
      <c r="H229">
        <f>SUMIFS(UseByTech!H$2:H$10000,UseByTech!$B$2:$B$10000,$A229)</f>
        <v>0</v>
      </c>
      <c r="I229">
        <f>SUMIFS(UseByTech!I$2:I$10000,UseByTech!$B$2:$B$10000,$A229)</f>
        <v>0</v>
      </c>
      <c r="J229">
        <f>SUMIFS(UseByTech!J$2:J$10000,UseByTech!$B$2:$B$10000,$A229)</f>
        <v>0</v>
      </c>
      <c r="K229">
        <f>SUMIFS(UseByTech!K$2:K$10000,UseByTech!$B$2:$B$10000,$A229)</f>
        <v>0</v>
      </c>
      <c r="L229">
        <f>SUMIFS(UseByTech!L$2:L$10000,UseByTech!$B$2:$B$10000,$A229)</f>
        <v>0</v>
      </c>
      <c r="M229">
        <f>SUMIFS(UseByTech!M$2:M$10000,UseByTech!$B$2:$B$10000,$A229)</f>
        <v>0</v>
      </c>
      <c r="N229">
        <f>SUMIFS(UseByTech!N$2:N$10000,UseByTech!$B$2:$B$10000,$A229)</f>
        <v>0</v>
      </c>
      <c r="O229">
        <f>SUMIFS(UseByTech!O$2:O$10000,UseByTech!$B$2:$B$10000,$A229)</f>
        <v>0</v>
      </c>
      <c r="P229">
        <f>SUMIFS(UseByTech!P$2:P$10000,UseByTech!$B$2:$B$10000,$A229)</f>
        <v>0</v>
      </c>
      <c r="Q229">
        <f>SUMIFS(UseByTech!Q$2:Q$10000,UseByTech!$B$2:$B$10000,$A229)</f>
        <v>0</v>
      </c>
      <c r="R229">
        <f>SUMIFS(UseByTech!R$2:R$10000,UseByTech!$B$2:$B$10000,$A229)</f>
        <v>0</v>
      </c>
      <c r="S229">
        <f>SUMIFS(UseByTech!S$2:S$10000,UseByTech!$B$2:$B$10000,$A229)</f>
        <v>0</v>
      </c>
      <c r="T229">
        <f>SUMIFS(UseByTech!T$2:T$10000,UseByTech!$B$2:$B$10000,$A229)</f>
        <v>0</v>
      </c>
      <c r="U229">
        <f>SUMIFS(UseByTech!U$2:U$10000,UseByTech!$B$2:$B$10000,$A229)</f>
        <v>0</v>
      </c>
      <c r="V229">
        <f>SUMIFS(UseByTech!V$2:V$10000,UseByTech!$B$2:$B$10000,$A229)</f>
        <v>0</v>
      </c>
      <c r="W229">
        <f>SUMIFS(UseByTech!W$2:W$10000,UseByTech!$B$2:$B$10000,$A229)</f>
        <v>0</v>
      </c>
      <c r="X229">
        <f>SUMIFS(UseByTech!X$2:X$10000,UseByTech!$B$2:$B$10000,$A229)</f>
        <v>0</v>
      </c>
      <c r="Y229">
        <f>SUMIFS(UseByTech!Y$2:Y$10000,UseByTech!$B$2:$B$10000,$A229)</f>
        <v>0</v>
      </c>
      <c r="Z229">
        <f>SUMIFS(UseByTech!Z$2:Z$10000,UseByTech!$B$2:$B$10000,$A229)</f>
        <v>0</v>
      </c>
      <c r="AA229">
        <f>SUMIFS(UseByTech!AA$2:AA$10000,UseByTech!$B$2:$B$10000,$A229)</f>
        <v>0</v>
      </c>
      <c r="AB229">
        <f>SUMIFS(UseByTech!AB$2:AB$10000,UseByTech!$B$2:$B$10000,$A229)</f>
        <v>0</v>
      </c>
      <c r="AC229">
        <f>SUMIFS(UseByTech!AC$2:AC$10000,UseByTech!$B$2:$B$10000,$A229)</f>
        <v>0</v>
      </c>
      <c r="AD229">
        <f>SUMIFS(UseByTech!AD$2:AD$10000,UseByTech!$B$2:$B$10000,$A229)</f>
        <v>0</v>
      </c>
      <c r="AE229">
        <f>SUMIFS(UseByTech!AE$2:AE$10000,UseByTech!$B$2:$B$10000,$A229)</f>
        <v>0</v>
      </c>
      <c r="AF229">
        <f>SUMIFS(UseByTech!AF$2:AF$10000,UseByTech!$B$2:$B$10000,$A229)</f>
        <v>0</v>
      </c>
      <c r="AG229">
        <f>SUMIFS(UseByTech!AG$2:AG$10000,UseByTech!$B$2:$B$10000,$A229)</f>
        <v>0</v>
      </c>
      <c r="AH229">
        <f>SUMIFS(UseByTech!AH$2:AH$10000,UseByTech!$B$2:$B$10000,$A229)</f>
        <v>0</v>
      </c>
      <c r="AI229">
        <f>SUMIFS(UseByTech!AI$2:AI$10000,UseByTech!$B$2:$B$10000,$A229)</f>
        <v>0</v>
      </c>
      <c r="AJ229">
        <f>SUMIFS(UseByTech!AJ$2:AJ$10000,UseByTech!$B$2:$B$10000,$A229)</f>
        <v>0</v>
      </c>
    </row>
    <row r="230" spans="1:36">
      <c r="A230" t="s">
        <v>144</v>
      </c>
      <c r="C230">
        <f>SUMIFS(UseByTech!C$2:C$10000,UseByTech!$B$2:$B$10000,$A230)</f>
        <v>0</v>
      </c>
      <c r="D230">
        <f>SUMIFS(UseByTech!D$2:D$10000,UseByTech!$B$2:$B$10000,$A230)</f>
        <v>0</v>
      </c>
      <c r="E230">
        <f>SUMIFS(UseByTech!E$2:E$10000,UseByTech!$B$2:$B$10000,$A230)</f>
        <v>0</v>
      </c>
      <c r="F230">
        <f>SUMIFS(UseByTech!F$2:F$10000,UseByTech!$B$2:$B$10000,$A230)</f>
        <v>0</v>
      </c>
      <c r="G230">
        <f>SUMIFS(UseByTech!G$2:G$10000,UseByTech!$B$2:$B$10000,$A230)</f>
        <v>0</v>
      </c>
      <c r="H230">
        <f>SUMIFS(UseByTech!H$2:H$10000,UseByTech!$B$2:$B$10000,$A230)</f>
        <v>0</v>
      </c>
      <c r="I230">
        <f>SUMIFS(UseByTech!I$2:I$10000,UseByTech!$B$2:$B$10000,$A230)</f>
        <v>0</v>
      </c>
      <c r="J230">
        <f>SUMIFS(UseByTech!J$2:J$10000,UseByTech!$B$2:$B$10000,$A230)</f>
        <v>0</v>
      </c>
      <c r="K230">
        <f>SUMIFS(UseByTech!K$2:K$10000,UseByTech!$B$2:$B$10000,$A230)</f>
        <v>0</v>
      </c>
      <c r="L230">
        <f>SUMIFS(UseByTech!L$2:L$10000,UseByTech!$B$2:$B$10000,$A230)</f>
        <v>0</v>
      </c>
      <c r="M230">
        <f>SUMIFS(UseByTech!M$2:M$10000,UseByTech!$B$2:$B$10000,$A230)</f>
        <v>0</v>
      </c>
      <c r="N230">
        <f>SUMIFS(UseByTech!N$2:N$10000,UseByTech!$B$2:$B$10000,$A230)</f>
        <v>0</v>
      </c>
      <c r="O230">
        <f>SUMIFS(UseByTech!O$2:O$10000,UseByTech!$B$2:$B$10000,$A230)</f>
        <v>0</v>
      </c>
      <c r="P230">
        <f>SUMIFS(UseByTech!P$2:P$10000,UseByTech!$B$2:$B$10000,$A230)</f>
        <v>0</v>
      </c>
      <c r="Q230">
        <f>SUMIFS(UseByTech!Q$2:Q$10000,UseByTech!$B$2:$B$10000,$A230)</f>
        <v>0</v>
      </c>
      <c r="R230">
        <f>SUMIFS(UseByTech!R$2:R$10000,UseByTech!$B$2:$B$10000,$A230)</f>
        <v>0</v>
      </c>
      <c r="S230">
        <f>SUMIFS(UseByTech!S$2:S$10000,UseByTech!$B$2:$B$10000,$A230)</f>
        <v>0</v>
      </c>
      <c r="T230">
        <f>SUMIFS(UseByTech!T$2:T$10000,UseByTech!$B$2:$B$10000,$A230)</f>
        <v>0</v>
      </c>
      <c r="U230">
        <f>SUMIFS(UseByTech!U$2:U$10000,UseByTech!$B$2:$B$10000,$A230)</f>
        <v>0</v>
      </c>
      <c r="V230">
        <f>SUMIFS(UseByTech!V$2:V$10000,UseByTech!$B$2:$B$10000,$A230)</f>
        <v>0</v>
      </c>
      <c r="W230">
        <f>SUMIFS(UseByTech!W$2:W$10000,UseByTech!$B$2:$B$10000,$A230)</f>
        <v>0</v>
      </c>
      <c r="X230">
        <f>SUMIFS(UseByTech!X$2:X$10000,UseByTech!$B$2:$B$10000,$A230)</f>
        <v>0</v>
      </c>
      <c r="Y230">
        <f>SUMIFS(UseByTech!Y$2:Y$10000,UseByTech!$B$2:$B$10000,$A230)</f>
        <v>0</v>
      </c>
      <c r="Z230">
        <f>SUMIFS(UseByTech!Z$2:Z$10000,UseByTech!$B$2:$B$10000,$A230)</f>
        <v>0</v>
      </c>
      <c r="AA230">
        <f>SUMIFS(UseByTech!AA$2:AA$10000,UseByTech!$B$2:$B$10000,$A230)</f>
        <v>0</v>
      </c>
      <c r="AB230">
        <f>SUMIFS(UseByTech!AB$2:AB$10000,UseByTech!$B$2:$B$10000,$A230)</f>
        <v>0</v>
      </c>
      <c r="AC230">
        <f>SUMIFS(UseByTech!AC$2:AC$10000,UseByTech!$B$2:$B$10000,$A230)</f>
        <v>0</v>
      </c>
      <c r="AD230">
        <f>SUMIFS(UseByTech!AD$2:AD$10000,UseByTech!$B$2:$B$10000,$A230)</f>
        <v>0</v>
      </c>
      <c r="AE230">
        <f>SUMIFS(UseByTech!AE$2:AE$10000,UseByTech!$B$2:$B$10000,$A230)</f>
        <v>0</v>
      </c>
      <c r="AF230">
        <f>SUMIFS(UseByTech!AF$2:AF$10000,UseByTech!$B$2:$B$10000,$A230)</f>
        <v>0</v>
      </c>
      <c r="AG230">
        <f>SUMIFS(UseByTech!AG$2:AG$10000,UseByTech!$B$2:$B$10000,$A230)</f>
        <v>0</v>
      </c>
      <c r="AH230">
        <f>SUMIFS(UseByTech!AH$2:AH$10000,UseByTech!$B$2:$B$10000,$A230)</f>
        <v>0</v>
      </c>
      <c r="AI230">
        <f>SUMIFS(UseByTech!AI$2:AI$10000,UseByTech!$B$2:$B$10000,$A230)</f>
        <v>0</v>
      </c>
      <c r="AJ230">
        <f>SUMIFS(UseByTech!AJ$2:AJ$10000,UseByTech!$B$2:$B$10000,$A230)</f>
        <v>0</v>
      </c>
    </row>
    <row r="231" spans="1:36">
      <c r="A231" t="s">
        <v>145</v>
      </c>
      <c r="C231">
        <f>SUMIFS(UseByTech!C$2:C$10000,UseByTech!$B$2:$B$10000,$A231)</f>
        <v>0</v>
      </c>
      <c r="D231">
        <f>SUMIFS(UseByTech!D$2:D$10000,UseByTech!$B$2:$B$10000,$A231)</f>
        <v>0</v>
      </c>
      <c r="E231">
        <f>SUMIFS(UseByTech!E$2:E$10000,UseByTech!$B$2:$B$10000,$A231)</f>
        <v>0</v>
      </c>
      <c r="F231">
        <f>SUMIFS(UseByTech!F$2:F$10000,UseByTech!$B$2:$B$10000,$A231)</f>
        <v>0</v>
      </c>
      <c r="G231">
        <f>SUMIFS(UseByTech!G$2:G$10000,UseByTech!$B$2:$B$10000,$A231)</f>
        <v>0</v>
      </c>
      <c r="H231">
        <f>SUMIFS(UseByTech!H$2:H$10000,UseByTech!$B$2:$B$10000,$A231)</f>
        <v>0</v>
      </c>
      <c r="I231">
        <f>SUMIFS(UseByTech!I$2:I$10000,UseByTech!$B$2:$B$10000,$A231)</f>
        <v>0</v>
      </c>
      <c r="J231">
        <f>SUMIFS(UseByTech!J$2:J$10000,UseByTech!$B$2:$B$10000,$A231)</f>
        <v>0</v>
      </c>
      <c r="K231">
        <f>SUMIFS(UseByTech!K$2:K$10000,UseByTech!$B$2:$B$10000,$A231)</f>
        <v>0</v>
      </c>
      <c r="L231">
        <f>SUMIFS(UseByTech!L$2:L$10000,UseByTech!$B$2:$B$10000,$A231)</f>
        <v>0</v>
      </c>
      <c r="M231">
        <f>SUMIFS(UseByTech!M$2:M$10000,UseByTech!$B$2:$B$10000,$A231)</f>
        <v>0</v>
      </c>
      <c r="N231">
        <f>SUMIFS(UseByTech!N$2:N$10000,UseByTech!$B$2:$B$10000,$A231)</f>
        <v>0</v>
      </c>
      <c r="O231">
        <f>SUMIFS(UseByTech!O$2:O$10000,UseByTech!$B$2:$B$10000,$A231)</f>
        <v>0</v>
      </c>
      <c r="P231">
        <f>SUMIFS(UseByTech!P$2:P$10000,UseByTech!$B$2:$B$10000,$A231)</f>
        <v>0</v>
      </c>
      <c r="Q231">
        <f>SUMIFS(UseByTech!Q$2:Q$10000,UseByTech!$B$2:$B$10000,$A231)</f>
        <v>0</v>
      </c>
      <c r="R231">
        <f>SUMIFS(UseByTech!R$2:R$10000,UseByTech!$B$2:$B$10000,$A231)</f>
        <v>0</v>
      </c>
      <c r="S231">
        <f>SUMIFS(UseByTech!S$2:S$10000,UseByTech!$B$2:$B$10000,$A231)</f>
        <v>0</v>
      </c>
      <c r="T231">
        <f>SUMIFS(UseByTech!T$2:T$10000,UseByTech!$B$2:$B$10000,$A231)</f>
        <v>0</v>
      </c>
      <c r="U231">
        <f>SUMIFS(UseByTech!U$2:U$10000,UseByTech!$B$2:$B$10000,$A231)</f>
        <v>0</v>
      </c>
      <c r="V231">
        <f>SUMIFS(UseByTech!V$2:V$10000,UseByTech!$B$2:$B$10000,$A231)</f>
        <v>0</v>
      </c>
      <c r="W231">
        <f>SUMIFS(UseByTech!W$2:W$10000,UseByTech!$B$2:$B$10000,$A231)</f>
        <v>0</v>
      </c>
      <c r="X231">
        <f>SUMIFS(UseByTech!X$2:X$10000,UseByTech!$B$2:$B$10000,$A231)</f>
        <v>0</v>
      </c>
      <c r="Y231">
        <f>SUMIFS(UseByTech!Y$2:Y$10000,UseByTech!$B$2:$B$10000,$A231)</f>
        <v>0</v>
      </c>
      <c r="Z231">
        <f>SUMIFS(UseByTech!Z$2:Z$10000,UseByTech!$B$2:$B$10000,$A231)</f>
        <v>0</v>
      </c>
      <c r="AA231">
        <f>SUMIFS(UseByTech!AA$2:AA$10000,UseByTech!$B$2:$B$10000,$A231)</f>
        <v>0</v>
      </c>
      <c r="AB231">
        <f>SUMIFS(UseByTech!AB$2:AB$10000,UseByTech!$B$2:$B$10000,$A231)</f>
        <v>0</v>
      </c>
      <c r="AC231">
        <f>SUMIFS(UseByTech!AC$2:AC$10000,UseByTech!$B$2:$B$10000,$A231)</f>
        <v>0</v>
      </c>
      <c r="AD231">
        <f>SUMIFS(UseByTech!AD$2:AD$10000,UseByTech!$B$2:$B$10000,$A231)</f>
        <v>0</v>
      </c>
      <c r="AE231">
        <f>SUMIFS(UseByTech!AE$2:AE$10000,UseByTech!$B$2:$B$10000,$A231)</f>
        <v>0</v>
      </c>
      <c r="AF231">
        <f>SUMIFS(UseByTech!AF$2:AF$10000,UseByTech!$B$2:$B$10000,$A231)</f>
        <v>0</v>
      </c>
      <c r="AG231">
        <f>SUMIFS(UseByTech!AG$2:AG$10000,UseByTech!$B$2:$B$10000,$A231)</f>
        <v>0</v>
      </c>
      <c r="AH231">
        <f>SUMIFS(UseByTech!AH$2:AH$10000,UseByTech!$B$2:$B$10000,$A231)</f>
        <v>0</v>
      </c>
      <c r="AI231">
        <f>SUMIFS(UseByTech!AI$2:AI$10000,UseByTech!$B$2:$B$10000,$A231)</f>
        <v>0</v>
      </c>
      <c r="AJ231">
        <f>SUMIFS(UseByTech!AJ$2:AJ$10000,UseByTech!$B$2:$B$10000,$A231)</f>
        <v>0</v>
      </c>
    </row>
    <row r="232" spans="1:36">
      <c r="A232" t="s">
        <v>146</v>
      </c>
      <c r="C232">
        <f>SUMIFS(UseByTech!C$2:C$10000,UseByTech!$B$2:$B$10000,$A232)</f>
        <v>0</v>
      </c>
      <c r="D232">
        <f>SUMIFS(UseByTech!D$2:D$10000,UseByTech!$B$2:$B$10000,$A232)</f>
        <v>0</v>
      </c>
      <c r="E232">
        <f>SUMIFS(UseByTech!E$2:E$10000,UseByTech!$B$2:$B$10000,$A232)</f>
        <v>0</v>
      </c>
      <c r="F232">
        <f>SUMIFS(UseByTech!F$2:F$10000,UseByTech!$B$2:$B$10000,$A232)</f>
        <v>0</v>
      </c>
      <c r="G232">
        <f>SUMIFS(UseByTech!G$2:G$10000,UseByTech!$B$2:$B$10000,$A232)</f>
        <v>0</v>
      </c>
      <c r="H232">
        <f>SUMIFS(UseByTech!H$2:H$10000,UseByTech!$B$2:$B$10000,$A232)</f>
        <v>9.1761999999999997</v>
      </c>
      <c r="I232">
        <f>SUMIFS(UseByTech!I$2:I$10000,UseByTech!$B$2:$B$10000,$A232)</f>
        <v>9.3670000000000009</v>
      </c>
      <c r="J232">
        <f>SUMIFS(UseByTech!J$2:J$10000,UseByTech!$B$2:$B$10000,$A232)</f>
        <v>9.5358000000000001</v>
      </c>
      <c r="K232">
        <f>SUMIFS(UseByTech!K$2:K$10000,UseByTech!$B$2:$B$10000,$A232)</f>
        <v>9.6294000000000004</v>
      </c>
      <c r="L232">
        <f>SUMIFS(UseByTech!L$2:L$10000,UseByTech!$B$2:$B$10000,$A232)</f>
        <v>11.909500000000001</v>
      </c>
      <c r="M232">
        <f>SUMIFS(UseByTech!M$2:M$10000,UseByTech!$B$2:$B$10000,$A232)</f>
        <v>12.7034</v>
      </c>
      <c r="N232">
        <f>SUMIFS(UseByTech!N$2:N$10000,UseByTech!$B$2:$B$10000,$A232)</f>
        <v>12.879300000000002</v>
      </c>
      <c r="O232">
        <f>SUMIFS(UseByTech!O$2:O$10000,UseByTech!$B$2:$B$10000,$A232)</f>
        <v>6.9584000000000001</v>
      </c>
      <c r="P232">
        <f>SUMIFS(UseByTech!P$2:P$10000,UseByTech!$B$2:$B$10000,$A232)</f>
        <v>6.6768000000000001</v>
      </c>
      <c r="Q232">
        <f>SUMIFS(UseByTech!Q$2:Q$10000,UseByTech!$B$2:$B$10000,$A232)</f>
        <v>6.3906000000000001</v>
      </c>
      <c r="R232">
        <f>SUMIFS(UseByTech!R$2:R$10000,UseByTech!$B$2:$B$10000,$A232)</f>
        <v>6.1092000000000004</v>
      </c>
      <c r="S232">
        <f>SUMIFS(UseByTech!S$2:S$10000,UseByTech!$B$2:$B$10000,$A232)</f>
        <v>5.7667999999999999</v>
      </c>
      <c r="T232">
        <f>SUMIFS(UseByTech!T$2:T$10000,UseByTech!$B$2:$B$10000,$A232)</f>
        <v>5.4242000000000008</v>
      </c>
      <c r="U232">
        <f>SUMIFS(UseByTech!U$2:U$10000,UseByTech!$B$2:$B$10000,$A232)</f>
        <v>5.4429999999999996</v>
      </c>
      <c r="V232">
        <f>SUMIFS(UseByTech!V$2:V$10000,UseByTech!$B$2:$B$10000,$A232)</f>
        <v>13.276599999999998</v>
      </c>
      <c r="W232">
        <f>SUMIFS(UseByTech!W$2:W$10000,UseByTech!$B$2:$B$10000,$A232)</f>
        <v>29.4788</v>
      </c>
      <c r="X232">
        <f>SUMIFS(UseByTech!X$2:X$10000,UseByTech!$B$2:$B$10000,$A232)</f>
        <v>36.961399999999998</v>
      </c>
      <c r="Y232">
        <f>SUMIFS(UseByTech!Y$2:Y$10000,UseByTech!$B$2:$B$10000,$A232)</f>
        <v>38.779600000000002</v>
      </c>
      <c r="Z232">
        <f>SUMIFS(UseByTech!Z$2:Z$10000,UseByTech!$B$2:$B$10000,$A232)</f>
        <v>40.482200000000006</v>
      </c>
      <c r="AA232">
        <f>SUMIFS(UseByTech!AA$2:AA$10000,UseByTech!$B$2:$B$10000,$A232)</f>
        <v>42.544800000000002</v>
      </c>
      <c r="AB232">
        <f>SUMIFS(UseByTech!AB$2:AB$10000,UseByTech!$B$2:$B$10000,$A232)</f>
        <v>44.640900000000002</v>
      </c>
      <c r="AC232">
        <f>SUMIFS(UseByTech!AC$2:AC$10000,UseByTech!$B$2:$B$10000,$A232)</f>
        <v>48.836800000000004</v>
      </c>
      <c r="AD232">
        <f>SUMIFS(UseByTech!AD$2:AD$10000,UseByTech!$B$2:$B$10000,$A232)</f>
        <v>50.919099999999993</v>
      </c>
      <c r="AE232">
        <f>SUMIFS(UseByTech!AE$2:AE$10000,UseByTech!$B$2:$B$10000,$A232)</f>
        <v>54.074400000000004</v>
      </c>
      <c r="AF232">
        <f>SUMIFS(UseByTech!AF$2:AF$10000,UseByTech!$B$2:$B$10000,$A232)</f>
        <v>76.000299999999996</v>
      </c>
      <c r="AG232">
        <f>SUMIFS(UseByTech!AG$2:AG$10000,UseByTech!$B$2:$B$10000,$A232)</f>
        <v>107.79979999999999</v>
      </c>
      <c r="AH232">
        <f>SUMIFS(UseByTech!AH$2:AH$10000,UseByTech!$B$2:$B$10000,$A232)</f>
        <v>111.07860000000002</v>
      </c>
      <c r="AI232">
        <f>SUMIFS(UseByTech!AI$2:AI$10000,UseByTech!$B$2:$B$10000,$A232)</f>
        <v>114.4293</v>
      </c>
      <c r="AJ232">
        <f>SUMIFS(UseByTech!AJ$2:AJ$10000,UseByTech!$B$2:$B$10000,$A232)</f>
        <v>117.71319999999999</v>
      </c>
    </row>
    <row r="233" spans="1:36">
      <c r="A233" t="s">
        <v>147</v>
      </c>
      <c r="C233">
        <f>SUMIFS(UseByTech!C$2:C$10000,UseByTech!$B$2:$B$10000,$A233)</f>
        <v>0</v>
      </c>
      <c r="D233">
        <f>SUMIFS(UseByTech!D$2:D$10000,UseByTech!$B$2:$B$10000,$A233)</f>
        <v>0</v>
      </c>
      <c r="E233">
        <f>SUMIFS(UseByTech!E$2:E$10000,UseByTech!$B$2:$B$10000,$A233)</f>
        <v>0</v>
      </c>
      <c r="F233">
        <f>SUMIFS(UseByTech!F$2:F$10000,UseByTech!$B$2:$B$10000,$A233)</f>
        <v>0</v>
      </c>
      <c r="G233">
        <f>SUMIFS(UseByTech!G$2:G$10000,UseByTech!$B$2:$B$10000,$A233)</f>
        <v>0</v>
      </c>
      <c r="H233">
        <f>SUMIFS(UseByTech!H$2:H$10000,UseByTech!$B$2:$B$10000,$A233)</f>
        <v>0</v>
      </c>
      <c r="I233">
        <f>SUMIFS(UseByTech!I$2:I$10000,UseByTech!$B$2:$B$10000,$A233)</f>
        <v>0</v>
      </c>
      <c r="J233">
        <f>SUMIFS(UseByTech!J$2:J$10000,UseByTech!$B$2:$B$10000,$A233)</f>
        <v>0</v>
      </c>
      <c r="K233">
        <f>SUMIFS(UseByTech!K$2:K$10000,UseByTech!$B$2:$B$10000,$A233)</f>
        <v>0</v>
      </c>
      <c r="L233">
        <f>SUMIFS(UseByTech!L$2:L$10000,UseByTech!$B$2:$B$10000,$A233)</f>
        <v>0</v>
      </c>
      <c r="M233">
        <f>SUMIFS(UseByTech!M$2:M$10000,UseByTech!$B$2:$B$10000,$A233)</f>
        <v>0</v>
      </c>
      <c r="N233">
        <f>SUMIFS(UseByTech!N$2:N$10000,UseByTech!$B$2:$B$10000,$A233)</f>
        <v>0</v>
      </c>
      <c r="O233">
        <f>SUMIFS(UseByTech!O$2:O$10000,UseByTech!$B$2:$B$10000,$A233)</f>
        <v>0</v>
      </c>
      <c r="P233">
        <f>SUMIFS(UseByTech!P$2:P$10000,UseByTech!$B$2:$B$10000,$A233)</f>
        <v>0</v>
      </c>
      <c r="Q233">
        <f>SUMIFS(UseByTech!Q$2:Q$10000,UseByTech!$B$2:$B$10000,$A233)</f>
        <v>0</v>
      </c>
      <c r="R233">
        <f>SUMIFS(UseByTech!R$2:R$10000,UseByTech!$B$2:$B$10000,$A233)</f>
        <v>0</v>
      </c>
      <c r="S233">
        <f>SUMIFS(UseByTech!S$2:S$10000,UseByTech!$B$2:$B$10000,$A233)</f>
        <v>0</v>
      </c>
      <c r="T233">
        <f>SUMIFS(UseByTech!T$2:T$10000,UseByTech!$B$2:$B$10000,$A233)</f>
        <v>0</v>
      </c>
      <c r="U233">
        <f>SUMIFS(UseByTech!U$2:U$10000,UseByTech!$B$2:$B$10000,$A233)</f>
        <v>0</v>
      </c>
      <c r="V233">
        <f>SUMIFS(UseByTech!V$2:V$10000,UseByTech!$B$2:$B$10000,$A233)</f>
        <v>0</v>
      </c>
      <c r="W233">
        <f>SUMIFS(UseByTech!W$2:W$10000,UseByTech!$B$2:$B$10000,$A233)</f>
        <v>0</v>
      </c>
      <c r="X233">
        <f>SUMIFS(UseByTech!X$2:X$10000,UseByTech!$B$2:$B$10000,$A233)</f>
        <v>0</v>
      </c>
      <c r="Y233">
        <f>SUMIFS(UseByTech!Y$2:Y$10000,UseByTech!$B$2:$B$10000,$A233)</f>
        <v>0</v>
      </c>
      <c r="Z233">
        <f>SUMIFS(UseByTech!Z$2:Z$10000,UseByTech!$B$2:$B$10000,$A233)</f>
        <v>0</v>
      </c>
      <c r="AA233">
        <f>SUMIFS(UseByTech!AA$2:AA$10000,UseByTech!$B$2:$B$10000,$A233)</f>
        <v>0</v>
      </c>
      <c r="AB233">
        <f>SUMIFS(UseByTech!AB$2:AB$10000,UseByTech!$B$2:$B$10000,$A233)</f>
        <v>0</v>
      </c>
      <c r="AC233">
        <f>SUMIFS(UseByTech!AC$2:AC$10000,UseByTech!$B$2:$B$10000,$A233)</f>
        <v>0</v>
      </c>
      <c r="AD233">
        <f>SUMIFS(UseByTech!AD$2:AD$10000,UseByTech!$B$2:$B$10000,$A233)</f>
        <v>0</v>
      </c>
      <c r="AE233">
        <f>SUMIFS(UseByTech!AE$2:AE$10000,UseByTech!$B$2:$B$10000,$A233)</f>
        <v>0</v>
      </c>
      <c r="AF233">
        <f>SUMIFS(UseByTech!AF$2:AF$10000,UseByTech!$B$2:$B$10000,$A233)</f>
        <v>0</v>
      </c>
      <c r="AG233">
        <f>SUMIFS(UseByTech!AG$2:AG$10000,UseByTech!$B$2:$B$10000,$A233)</f>
        <v>0</v>
      </c>
      <c r="AH233">
        <f>SUMIFS(UseByTech!AH$2:AH$10000,UseByTech!$B$2:$B$10000,$A233)</f>
        <v>0</v>
      </c>
      <c r="AI233">
        <f>SUMIFS(UseByTech!AI$2:AI$10000,UseByTech!$B$2:$B$10000,$A233)</f>
        <v>0</v>
      </c>
      <c r="AJ233">
        <f>SUMIFS(UseByTech!AJ$2:AJ$10000,UseByTech!$B$2:$B$10000,$A233)</f>
        <v>0</v>
      </c>
    </row>
    <row r="234" spans="1:36">
      <c r="A234" t="s">
        <v>148</v>
      </c>
      <c r="C234">
        <f>SUMIFS(UseByTech!C$2:C$10000,UseByTech!$B$2:$B$10000,$A234)</f>
        <v>0</v>
      </c>
      <c r="D234">
        <f>SUMIFS(UseByTech!D$2:D$10000,UseByTech!$B$2:$B$10000,$A234)</f>
        <v>0</v>
      </c>
      <c r="E234">
        <f>SUMIFS(UseByTech!E$2:E$10000,UseByTech!$B$2:$B$10000,$A234)</f>
        <v>0</v>
      </c>
      <c r="F234">
        <f>SUMIFS(UseByTech!F$2:F$10000,UseByTech!$B$2:$B$10000,$A234)</f>
        <v>0</v>
      </c>
      <c r="G234">
        <f>SUMIFS(UseByTech!G$2:G$10000,UseByTech!$B$2:$B$10000,$A234)</f>
        <v>0</v>
      </c>
      <c r="H234">
        <f>SUMIFS(UseByTech!H$2:H$10000,UseByTech!$B$2:$B$10000,$A234)</f>
        <v>0</v>
      </c>
      <c r="I234">
        <f>SUMIFS(UseByTech!I$2:I$10000,UseByTech!$B$2:$B$10000,$A234)</f>
        <v>0</v>
      </c>
      <c r="J234">
        <f>SUMIFS(UseByTech!J$2:J$10000,UseByTech!$B$2:$B$10000,$A234)</f>
        <v>0</v>
      </c>
      <c r="K234">
        <f>SUMIFS(UseByTech!K$2:K$10000,UseByTech!$B$2:$B$10000,$A234)</f>
        <v>0</v>
      </c>
      <c r="L234">
        <f>SUMIFS(UseByTech!L$2:L$10000,UseByTech!$B$2:$B$10000,$A234)</f>
        <v>0</v>
      </c>
      <c r="M234">
        <f>SUMIFS(UseByTech!M$2:M$10000,UseByTech!$B$2:$B$10000,$A234)</f>
        <v>0</v>
      </c>
      <c r="N234">
        <f>SUMIFS(UseByTech!N$2:N$10000,UseByTech!$B$2:$B$10000,$A234)</f>
        <v>0</v>
      </c>
      <c r="O234">
        <f>SUMIFS(UseByTech!O$2:O$10000,UseByTech!$B$2:$B$10000,$A234)</f>
        <v>0</v>
      </c>
      <c r="P234">
        <f>SUMIFS(UseByTech!P$2:P$10000,UseByTech!$B$2:$B$10000,$A234)</f>
        <v>0</v>
      </c>
      <c r="Q234">
        <f>SUMIFS(UseByTech!Q$2:Q$10000,UseByTech!$B$2:$B$10000,$A234)</f>
        <v>0</v>
      </c>
      <c r="R234">
        <f>SUMIFS(UseByTech!R$2:R$10000,UseByTech!$B$2:$B$10000,$A234)</f>
        <v>0</v>
      </c>
      <c r="S234">
        <f>SUMIFS(UseByTech!S$2:S$10000,UseByTech!$B$2:$B$10000,$A234)</f>
        <v>0</v>
      </c>
      <c r="T234">
        <f>SUMIFS(UseByTech!T$2:T$10000,UseByTech!$B$2:$B$10000,$A234)</f>
        <v>0</v>
      </c>
      <c r="U234">
        <f>SUMIFS(UseByTech!U$2:U$10000,UseByTech!$B$2:$B$10000,$A234)</f>
        <v>0</v>
      </c>
      <c r="V234">
        <f>SUMIFS(UseByTech!V$2:V$10000,UseByTech!$B$2:$B$10000,$A234)</f>
        <v>0</v>
      </c>
      <c r="W234">
        <f>SUMIFS(UseByTech!W$2:W$10000,UseByTech!$B$2:$B$10000,$A234)</f>
        <v>0</v>
      </c>
      <c r="X234">
        <f>SUMIFS(UseByTech!X$2:X$10000,UseByTech!$B$2:$B$10000,$A234)</f>
        <v>0</v>
      </c>
      <c r="Y234">
        <f>SUMIFS(UseByTech!Y$2:Y$10000,UseByTech!$B$2:$B$10000,$A234)</f>
        <v>0</v>
      </c>
      <c r="Z234">
        <f>SUMIFS(UseByTech!Z$2:Z$10000,UseByTech!$B$2:$B$10000,$A234)</f>
        <v>0</v>
      </c>
      <c r="AA234">
        <f>SUMIFS(UseByTech!AA$2:AA$10000,UseByTech!$B$2:$B$10000,$A234)</f>
        <v>0</v>
      </c>
      <c r="AB234">
        <f>SUMIFS(UseByTech!AB$2:AB$10000,UseByTech!$B$2:$B$10000,$A234)</f>
        <v>0</v>
      </c>
      <c r="AC234">
        <f>SUMIFS(UseByTech!AC$2:AC$10000,UseByTech!$B$2:$B$10000,$A234)</f>
        <v>0</v>
      </c>
      <c r="AD234">
        <f>SUMIFS(UseByTech!AD$2:AD$10000,UseByTech!$B$2:$B$10000,$A234)</f>
        <v>0</v>
      </c>
      <c r="AE234">
        <f>SUMIFS(UseByTech!AE$2:AE$10000,UseByTech!$B$2:$B$10000,$A234)</f>
        <v>0</v>
      </c>
      <c r="AF234">
        <f>SUMIFS(UseByTech!AF$2:AF$10000,UseByTech!$B$2:$B$10000,$A234)</f>
        <v>0</v>
      </c>
      <c r="AG234">
        <f>SUMIFS(UseByTech!AG$2:AG$10000,UseByTech!$B$2:$B$10000,$A234)</f>
        <v>0</v>
      </c>
      <c r="AH234">
        <f>SUMIFS(UseByTech!AH$2:AH$10000,UseByTech!$B$2:$B$10000,$A234)</f>
        <v>0</v>
      </c>
      <c r="AI234">
        <f>SUMIFS(UseByTech!AI$2:AI$10000,UseByTech!$B$2:$B$10000,$A234)</f>
        <v>0</v>
      </c>
      <c r="AJ234">
        <f>SUMIFS(UseByTech!AJ$2:AJ$10000,UseByTech!$B$2:$B$10000,$A234)</f>
        <v>0</v>
      </c>
    </row>
    <row r="235" spans="1:36">
      <c r="A235" t="s">
        <v>149</v>
      </c>
      <c r="C235">
        <f>SUMIFS(UseByTech!C$2:C$10000,UseByTech!$B$2:$B$10000,$A235)</f>
        <v>0</v>
      </c>
      <c r="D235">
        <f>SUMIFS(UseByTech!D$2:D$10000,UseByTech!$B$2:$B$10000,$A235)</f>
        <v>0</v>
      </c>
      <c r="E235">
        <f>SUMIFS(UseByTech!E$2:E$10000,UseByTech!$B$2:$B$10000,$A235)</f>
        <v>0</v>
      </c>
      <c r="F235">
        <f>SUMIFS(UseByTech!F$2:F$10000,UseByTech!$B$2:$B$10000,$A235)</f>
        <v>0</v>
      </c>
      <c r="G235">
        <f>SUMIFS(UseByTech!G$2:G$10000,UseByTech!$B$2:$B$10000,$A235)</f>
        <v>0</v>
      </c>
      <c r="H235">
        <f>SUMIFS(UseByTech!H$2:H$10000,UseByTech!$B$2:$B$10000,$A235)</f>
        <v>0</v>
      </c>
      <c r="I235">
        <f>SUMIFS(UseByTech!I$2:I$10000,UseByTech!$B$2:$B$10000,$A235)</f>
        <v>0</v>
      </c>
      <c r="J235">
        <f>SUMIFS(UseByTech!J$2:J$10000,UseByTech!$B$2:$B$10000,$A235)</f>
        <v>0</v>
      </c>
      <c r="K235">
        <f>SUMIFS(UseByTech!K$2:K$10000,UseByTech!$B$2:$B$10000,$A235)</f>
        <v>0</v>
      </c>
      <c r="L235">
        <f>SUMIFS(UseByTech!L$2:L$10000,UseByTech!$B$2:$B$10000,$A235)</f>
        <v>0</v>
      </c>
      <c r="M235">
        <f>SUMIFS(UseByTech!M$2:M$10000,UseByTech!$B$2:$B$10000,$A235)</f>
        <v>0</v>
      </c>
      <c r="N235">
        <f>SUMIFS(UseByTech!N$2:N$10000,UseByTech!$B$2:$B$10000,$A235)</f>
        <v>0</v>
      </c>
      <c r="O235">
        <f>SUMIFS(UseByTech!O$2:O$10000,UseByTech!$B$2:$B$10000,$A235)</f>
        <v>0</v>
      </c>
      <c r="P235">
        <f>SUMIFS(UseByTech!P$2:P$10000,UseByTech!$B$2:$B$10000,$A235)</f>
        <v>0</v>
      </c>
      <c r="Q235">
        <f>SUMIFS(UseByTech!Q$2:Q$10000,UseByTech!$B$2:$B$10000,$A235)</f>
        <v>0</v>
      </c>
      <c r="R235">
        <f>SUMIFS(UseByTech!R$2:R$10000,UseByTech!$B$2:$B$10000,$A235)</f>
        <v>0</v>
      </c>
      <c r="S235">
        <f>SUMIFS(UseByTech!S$2:S$10000,UseByTech!$B$2:$B$10000,$A235)</f>
        <v>0</v>
      </c>
      <c r="T235">
        <f>SUMIFS(UseByTech!T$2:T$10000,UseByTech!$B$2:$B$10000,$A235)</f>
        <v>0</v>
      </c>
      <c r="U235">
        <f>SUMIFS(UseByTech!U$2:U$10000,UseByTech!$B$2:$B$10000,$A235)</f>
        <v>0</v>
      </c>
      <c r="V235">
        <f>SUMIFS(UseByTech!V$2:V$10000,UseByTech!$B$2:$B$10000,$A235)</f>
        <v>0</v>
      </c>
      <c r="W235">
        <f>SUMIFS(UseByTech!W$2:W$10000,UseByTech!$B$2:$B$10000,$A235)</f>
        <v>0</v>
      </c>
      <c r="X235">
        <f>SUMIFS(UseByTech!X$2:X$10000,UseByTech!$B$2:$B$10000,$A235)</f>
        <v>0</v>
      </c>
      <c r="Y235">
        <f>SUMIFS(UseByTech!Y$2:Y$10000,UseByTech!$B$2:$B$10000,$A235)</f>
        <v>0</v>
      </c>
      <c r="Z235">
        <f>SUMIFS(UseByTech!Z$2:Z$10000,UseByTech!$B$2:$B$10000,$A235)</f>
        <v>0</v>
      </c>
      <c r="AA235">
        <f>SUMIFS(UseByTech!AA$2:AA$10000,UseByTech!$B$2:$B$10000,$A235)</f>
        <v>0</v>
      </c>
      <c r="AB235">
        <f>SUMIFS(UseByTech!AB$2:AB$10000,UseByTech!$B$2:$B$10000,$A235)</f>
        <v>0</v>
      </c>
      <c r="AC235">
        <f>SUMIFS(UseByTech!AC$2:AC$10000,UseByTech!$B$2:$B$10000,$A235)</f>
        <v>0</v>
      </c>
      <c r="AD235">
        <f>SUMIFS(UseByTech!AD$2:AD$10000,UseByTech!$B$2:$B$10000,$A235)</f>
        <v>0</v>
      </c>
      <c r="AE235">
        <f>SUMIFS(UseByTech!AE$2:AE$10000,UseByTech!$B$2:$B$10000,$A235)</f>
        <v>0</v>
      </c>
      <c r="AF235">
        <f>SUMIFS(UseByTech!AF$2:AF$10000,UseByTech!$B$2:$B$10000,$A235)</f>
        <v>0</v>
      </c>
      <c r="AG235">
        <f>SUMIFS(UseByTech!AG$2:AG$10000,UseByTech!$B$2:$B$10000,$A235)</f>
        <v>0</v>
      </c>
      <c r="AH235">
        <f>SUMIFS(UseByTech!AH$2:AH$10000,UseByTech!$B$2:$B$10000,$A235)</f>
        <v>0</v>
      </c>
      <c r="AI235">
        <f>SUMIFS(UseByTech!AI$2:AI$10000,UseByTech!$B$2:$B$10000,$A235)</f>
        <v>0</v>
      </c>
      <c r="AJ235">
        <f>SUMIFS(UseByTech!AJ$2:AJ$10000,UseByTech!$B$2:$B$10000,$A235)</f>
        <v>0</v>
      </c>
    </row>
    <row r="236" spans="1:36">
      <c r="A236" t="s">
        <v>150</v>
      </c>
      <c r="C236">
        <f>SUMIFS(UseByTech!C$2:C$10000,UseByTech!$B$2:$B$10000,$A236)</f>
        <v>0</v>
      </c>
      <c r="D236">
        <f>SUMIFS(UseByTech!D$2:D$10000,UseByTech!$B$2:$B$10000,$A236)</f>
        <v>0</v>
      </c>
      <c r="E236">
        <f>SUMIFS(UseByTech!E$2:E$10000,UseByTech!$B$2:$B$10000,$A236)</f>
        <v>0</v>
      </c>
      <c r="F236">
        <f>SUMIFS(UseByTech!F$2:F$10000,UseByTech!$B$2:$B$10000,$A236)</f>
        <v>0</v>
      </c>
      <c r="G236">
        <f>SUMIFS(UseByTech!G$2:G$10000,UseByTech!$B$2:$B$10000,$A236)</f>
        <v>0</v>
      </c>
      <c r="H236">
        <f>SUMIFS(UseByTech!H$2:H$10000,UseByTech!$B$2:$B$10000,$A236)</f>
        <v>0</v>
      </c>
      <c r="I236">
        <f>SUMIFS(UseByTech!I$2:I$10000,UseByTech!$B$2:$B$10000,$A236)</f>
        <v>0</v>
      </c>
      <c r="J236">
        <f>SUMIFS(UseByTech!J$2:J$10000,UseByTech!$B$2:$B$10000,$A236)</f>
        <v>0</v>
      </c>
      <c r="K236">
        <f>SUMIFS(UseByTech!K$2:K$10000,UseByTech!$B$2:$B$10000,$A236)</f>
        <v>0</v>
      </c>
      <c r="L236">
        <f>SUMIFS(UseByTech!L$2:L$10000,UseByTech!$B$2:$B$10000,$A236)</f>
        <v>0</v>
      </c>
      <c r="M236">
        <f>SUMIFS(UseByTech!M$2:M$10000,UseByTech!$B$2:$B$10000,$A236)</f>
        <v>0</v>
      </c>
      <c r="N236">
        <f>SUMIFS(UseByTech!N$2:N$10000,UseByTech!$B$2:$B$10000,$A236)</f>
        <v>0</v>
      </c>
      <c r="O236">
        <f>SUMIFS(UseByTech!O$2:O$10000,UseByTech!$B$2:$B$10000,$A236)</f>
        <v>0</v>
      </c>
      <c r="P236">
        <f>SUMIFS(UseByTech!P$2:P$10000,UseByTech!$B$2:$B$10000,$A236)</f>
        <v>0</v>
      </c>
      <c r="Q236">
        <f>SUMIFS(UseByTech!Q$2:Q$10000,UseByTech!$B$2:$B$10000,$A236)</f>
        <v>0</v>
      </c>
      <c r="R236">
        <f>SUMIFS(UseByTech!R$2:R$10000,UseByTech!$B$2:$B$10000,$A236)</f>
        <v>0</v>
      </c>
      <c r="S236">
        <f>SUMIFS(UseByTech!S$2:S$10000,UseByTech!$B$2:$B$10000,$A236)</f>
        <v>0</v>
      </c>
      <c r="T236">
        <f>SUMIFS(UseByTech!T$2:T$10000,UseByTech!$B$2:$B$10000,$A236)</f>
        <v>0</v>
      </c>
      <c r="U236">
        <f>SUMIFS(UseByTech!U$2:U$10000,UseByTech!$B$2:$B$10000,$A236)</f>
        <v>0</v>
      </c>
      <c r="V236">
        <f>SUMIFS(UseByTech!V$2:V$10000,UseByTech!$B$2:$B$10000,$A236)</f>
        <v>0</v>
      </c>
      <c r="W236">
        <f>SUMIFS(UseByTech!W$2:W$10000,UseByTech!$B$2:$B$10000,$A236)</f>
        <v>0</v>
      </c>
      <c r="X236">
        <f>SUMIFS(UseByTech!X$2:X$10000,UseByTech!$B$2:$B$10000,$A236)</f>
        <v>0</v>
      </c>
      <c r="Y236">
        <f>SUMIFS(UseByTech!Y$2:Y$10000,UseByTech!$B$2:$B$10000,$A236)</f>
        <v>0</v>
      </c>
      <c r="Z236">
        <f>SUMIFS(UseByTech!Z$2:Z$10000,UseByTech!$B$2:$B$10000,$A236)</f>
        <v>0</v>
      </c>
      <c r="AA236">
        <f>SUMIFS(UseByTech!AA$2:AA$10000,UseByTech!$B$2:$B$10000,$A236)</f>
        <v>0</v>
      </c>
      <c r="AB236">
        <f>SUMIFS(UseByTech!AB$2:AB$10000,UseByTech!$B$2:$B$10000,$A236)</f>
        <v>0</v>
      </c>
      <c r="AC236">
        <f>SUMIFS(UseByTech!AC$2:AC$10000,UseByTech!$B$2:$B$10000,$A236)</f>
        <v>0</v>
      </c>
      <c r="AD236">
        <f>SUMIFS(UseByTech!AD$2:AD$10000,UseByTech!$B$2:$B$10000,$A236)</f>
        <v>0</v>
      </c>
      <c r="AE236">
        <f>SUMIFS(UseByTech!AE$2:AE$10000,UseByTech!$B$2:$B$10000,$A236)</f>
        <v>0</v>
      </c>
      <c r="AF236">
        <f>SUMIFS(UseByTech!AF$2:AF$10000,UseByTech!$B$2:$B$10000,$A236)</f>
        <v>0</v>
      </c>
      <c r="AG236">
        <f>SUMIFS(UseByTech!AG$2:AG$10000,UseByTech!$B$2:$B$10000,$A236)</f>
        <v>0</v>
      </c>
      <c r="AH236">
        <f>SUMIFS(UseByTech!AH$2:AH$10000,UseByTech!$B$2:$B$10000,$A236)</f>
        <v>0</v>
      </c>
      <c r="AI236">
        <f>SUMIFS(UseByTech!AI$2:AI$10000,UseByTech!$B$2:$B$10000,$A236)</f>
        <v>0</v>
      </c>
      <c r="AJ236">
        <f>SUMIFS(UseByTech!AJ$2:AJ$10000,UseByTech!$B$2:$B$10000,$A236)</f>
        <v>0</v>
      </c>
    </row>
    <row r="237" spans="1:36">
      <c r="A237" t="s">
        <v>151</v>
      </c>
      <c r="C237">
        <f>SUMIFS(UseByTech!C$2:C$10000,UseByTech!$B$2:$B$10000,$A237)</f>
        <v>0</v>
      </c>
      <c r="D237">
        <f>SUMIFS(UseByTech!D$2:D$10000,UseByTech!$B$2:$B$10000,$A237)</f>
        <v>0</v>
      </c>
      <c r="E237">
        <f>SUMIFS(UseByTech!E$2:E$10000,UseByTech!$B$2:$B$10000,$A237)</f>
        <v>0</v>
      </c>
      <c r="F237">
        <f>SUMIFS(UseByTech!F$2:F$10000,UseByTech!$B$2:$B$10000,$A237)</f>
        <v>0</v>
      </c>
      <c r="G237">
        <f>SUMIFS(UseByTech!G$2:G$10000,UseByTech!$B$2:$B$10000,$A237)</f>
        <v>0</v>
      </c>
      <c r="H237">
        <f>SUMIFS(UseByTech!H$2:H$10000,UseByTech!$B$2:$B$10000,$A237)</f>
        <v>0</v>
      </c>
      <c r="I237">
        <f>SUMIFS(UseByTech!I$2:I$10000,UseByTech!$B$2:$B$10000,$A237)</f>
        <v>0</v>
      </c>
      <c r="J237">
        <f>SUMIFS(UseByTech!J$2:J$10000,UseByTech!$B$2:$B$10000,$A237)</f>
        <v>0</v>
      </c>
      <c r="K237">
        <f>SUMIFS(UseByTech!K$2:K$10000,UseByTech!$B$2:$B$10000,$A237)</f>
        <v>0</v>
      </c>
      <c r="L237">
        <f>SUMIFS(UseByTech!L$2:L$10000,UseByTech!$B$2:$B$10000,$A237)</f>
        <v>0</v>
      </c>
      <c r="M237">
        <f>SUMIFS(UseByTech!M$2:M$10000,UseByTech!$B$2:$B$10000,$A237)</f>
        <v>0</v>
      </c>
      <c r="N237">
        <f>SUMIFS(UseByTech!N$2:N$10000,UseByTech!$B$2:$B$10000,$A237)</f>
        <v>0</v>
      </c>
      <c r="O237">
        <f>SUMIFS(UseByTech!O$2:O$10000,UseByTech!$B$2:$B$10000,$A237)</f>
        <v>0</v>
      </c>
      <c r="P237">
        <f>SUMIFS(UseByTech!P$2:P$10000,UseByTech!$B$2:$B$10000,$A237)</f>
        <v>0</v>
      </c>
      <c r="Q237">
        <f>SUMIFS(UseByTech!Q$2:Q$10000,UseByTech!$B$2:$B$10000,$A237)</f>
        <v>0</v>
      </c>
      <c r="R237">
        <f>SUMIFS(UseByTech!R$2:R$10000,UseByTech!$B$2:$B$10000,$A237)</f>
        <v>0</v>
      </c>
      <c r="S237">
        <f>SUMIFS(UseByTech!S$2:S$10000,UseByTech!$B$2:$B$10000,$A237)</f>
        <v>0</v>
      </c>
      <c r="T237">
        <f>SUMIFS(UseByTech!T$2:T$10000,UseByTech!$B$2:$B$10000,$A237)</f>
        <v>0</v>
      </c>
      <c r="U237">
        <f>SUMIFS(UseByTech!U$2:U$10000,UseByTech!$B$2:$B$10000,$A237)</f>
        <v>0</v>
      </c>
      <c r="V237">
        <f>SUMIFS(UseByTech!V$2:V$10000,UseByTech!$B$2:$B$10000,$A237)</f>
        <v>0</v>
      </c>
      <c r="W237">
        <f>SUMIFS(UseByTech!W$2:W$10000,UseByTech!$B$2:$B$10000,$A237)</f>
        <v>0</v>
      </c>
      <c r="X237">
        <f>SUMIFS(UseByTech!X$2:X$10000,UseByTech!$B$2:$B$10000,$A237)</f>
        <v>0</v>
      </c>
      <c r="Y237">
        <f>SUMIFS(UseByTech!Y$2:Y$10000,UseByTech!$B$2:$B$10000,$A237)</f>
        <v>0</v>
      </c>
      <c r="Z237">
        <f>SUMIFS(UseByTech!Z$2:Z$10000,UseByTech!$B$2:$B$10000,$A237)</f>
        <v>0</v>
      </c>
      <c r="AA237">
        <f>SUMIFS(UseByTech!AA$2:AA$10000,UseByTech!$B$2:$B$10000,$A237)</f>
        <v>0</v>
      </c>
      <c r="AB237">
        <f>SUMIFS(UseByTech!AB$2:AB$10000,UseByTech!$B$2:$B$10000,$A237)</f>
        <v>0</v>
      </c>
      <c r="AC237">
        <f>SUMIFS(UseByTech!AC$2:AC$10000,UseByTech!$B$2:$B$10000,$A237)</f>
        <v>0</v>
      </c>
      <c r="AD237">
        <f>SUMIFS(UseByTech!AD$2:AD$10000,UseByTech!$B$2:$B$10000,$A237)</f>
        <v>0</v>
      </c>
      <c r="AE237">
        <f>SUMIFS(UseByTech!AE$2:AE$10000,UseByTech!$B$2:$B$10000,$A237)</f>
        <v>0</v>
      </c>
      <c r="AF237">
        <f>SUMIFS(UseByTech!AF$2:AF$10000,UseByTech!$B$2:$B$10000,$A237)</f>
        <v>0</v>
      </c>
      <c r="AG237">
        <f>SUMIFS(UseByTech!AG$2:AG$10000,UseByTech!$B$2:$B$10000,$A237)</f>
        <v>0</v>
      </c>
      <c r="AH237">
        <f>SUMIFS(UseByTech!AH$2:AH$10000,UseByTech!$B$2:$B$10000,$A237)</f>
        <v>0</v>
      </c>
      <c r="AI237">
        <f>SUMIFS(UseByTech!AI$2:AI$10000,UseByTech!$B$2:$B$10000,$A237)</f>
        <v>0</v>
      </c>
      <c r="AJ237">
        <f>SUMIFS(UseByTech!AJ$2:AJ$10000,UseByTech!$B$2:$B$10000,$A237)</f>
        <v>0</v>
      </c>
    </row>
    <row r="238" spans="1:36">
      <c r="A238" t="s">
        <v>152</v>
      </c>
      <c r="C238">
        <f>SUMIFS(UseByTech!C$2:C$10000,UseByTech!$B$2:$B$10000,$A238)</f>
        <v>0</v>
      </c>
      <c r="D238">
        <f>SUMIFS(UseByTech!D$2:D$10000,UseByTech!$B$2:$B$10000,$A238)</f>
        <v>0</v>
      </c>
      <c r="E238">
        <f>SUMIFS(UseByTech!E$2:E$10000,UseByTech!$B$2:$B$10000,$A238)</f>
        <v>0</v>
      </c>
      <c r="F238">
        <f>SUMIFS(UseByTech!F$2:F$10000,UseByTech!$B$2:$B$10000,$A238)</f>
        <v>0</v>
      </c>
      <c r="G238">
        <f>SUMIFS(UseByTech!G$2:G$10000,UseByTech!$B$2:$B$10000,$A238)</f>
        <v>0</v>
      </c>
      <c r="H238">
        <f>SUMIFS(UseByTech!H$2:H$10000,UseByTech!$B$2:$B$10000,$A238)</f>
        <v>0</v>
      </c>
      <c r="I238">
        <f>SUMIFS(UseByTech!I$2:I$10000,UseByTech!$B$2:$B$10000,$A238)</f>
        <v>0</v>
      </c>
      <c r="J238">
        <f>SUMIFS(UseByTech!J$2:J$10000,UseByTech!$B$2:$B$10000,$A238)</f>
        <v>0</v>
      </c>
      <c r="K238">
        <f>SUMIFS(UseByTech!K$2:K$10000,UseByTech!$B$2:$B$10000,$A238)</f>
        <v>0</v>
      </c>
      <c r="L238">
        <f>SUMIFS(UseByTech!L$2:L$10000,UseByTech!$B$2:$B$10000,$A238)</f>
        <v>0</v>
      </c>
      <c r="M238">
        <f>SUMIFS(UseByTech!M$2:M$10000,UseByTech!$B$2:$B$10000,$A238)</f>
        <v>0</v>
      </c>
      <c r="N238">
        <f>SUMIFS(UseByTech!N$2:N$10000,UseByTech!$B$2:$B$10000,$A238)</f>
        <v>0</v>
      </c>
      <c r="O238">
        <f>SUMIFS(UseByTech!O$2:O$10000,UseByTech!$B$2:$B$10000,$A238)</f>
        <v>0</v>
      </c>
      <c r="P238">
        <f>SUMIFS(UseByTech!P$2:P$10000,UseByTech!$B$2:$B$10000,$A238)</f>
        <v>0</v>
      </c>
      <c r="Q238">
        <f>SUMIFS(UseByTech!Q$2:Q$10000,UseByTech!$B$2:$B$10000,$A238)</f>
        <v>0</v>
      </c>
      <c r="R238">
        <f>SUMIFS(UseByTech!R$2:R$10000,UseByTech!$B$2:$B$10000,$A238)</f>
        <v>0</v>
      </c>
      <c r="S238">
        <f>SUMIFS(UseByTech!S$2:S$10000,UseByTech!$B$2:$B$10000,$A238)</f>
        <v>0</v>
      </c>
      <c r="T238">
        <f>SUMIFS(UseByTech!T$2:T$10000,UseByTech!$B$2:$B$10000,$A238)</f>
        <v>0</v>
      </c>
      <c r="U238">
        <f>SUMIFS(UseByTech!U$2:U$10000,UseByTech!$B$2:$B$10000,$A238)</f>
        <v>0</v>
      </c>
      <c r="V238">
        <f>SUMIFS(UseByTech!V$2:V$10000,UseByTech!$B$2:$B$10000,$A238)</f>
        <v>0</v>
      </c>
      <c r="W238">
        <f>SUMIFS(UseByTech!W$2:W$10000,UseByTech!$B$2:$B$10000,$A238)</f>
        <v>0</v>
      </c>
      <c r="X238">
        <f>SUMIFS(UseByTech!X$2:X$10000,UseByTech!$B$2:$B$10000,$A238)</f>
        <v>0</v>
      </c>
      <c r="Y238">
        <f>SUMIFS(UseByTech!Y$2:Y$10000,UseByTech!$B$2:$B$10000,$A238)</f>
        <v>0</v>
      </c>
      <c r="Z238">
        <f>SUMIFS(UseByTech!Z$2:Z$10000,UseByTech!$B$2:$B$10000,$A238)</f>
        <v>0</v>
      </c>
      <c r="AA238">
        <f>SUMIFS(UseByTech!AA$2:AA$10000,UseByTech!$B$2:$B$10000,$A238)</f>
        <v>0</v>
      </c>
      <c r="AB238">
        <f>SUMIFS(UseByTech!AB$2:AB$10000,UseByTech!$B$2:$B$10000,$A238)</f>
        <v>0</v>
      </c>
      <c r="AC238">
        <f>SUMIFS(UseByTech!AC$2:AC$10000,UseByTech!$B$2:$B$10000,$A238)</f>
        <v>0</v>
      </c>
      <c r="AD238">
        <f>SUMIFS(UseByTech!AD$2:AD$10000,UseByTech!$B$2:$B$10000,$A238)</f>
        <v>0</v>
      </c>
      <c r="AE238">
        <f>SUMIFS(UseByTech!AE$2:AE$10000,UseByTech!$B$2:$B$10000,$A238)</f>
        <v>0</v>
      </c>
      <c r="AF238">
        <f>SUMIFS(UseByTech!AF$2:AF$10000,UseByTech!$B$2:$B$10000,$A238)</f>
        <v>0</v>
      </c>
      <c r="AG238">
        <f>SUMIFS(UseByTech!AG$2:AG$10000,UseByTech!$B$2:$B$10000,$A238)</f>
        <v>0</v>
      </c>
      <c r="AH238">
        <f>SUMIFS(UseByTech!AH$2:AH$10000,UseByTech!$B$2:$B$10000,$A238)</f>
        <v>0</v>
      </c>
      <c r="AI238">
        <f>SUMIFS(UseByTech!AI$2:AI$10000,UseByTech!$B$2:$B$10000,$A238)</f>
        <v>0</v>
      </c>
      <c r="AJ238">
        <f>SUMIFS(UseByTech!AJ$2:AJ$10000,UseByTech!$B$2:$B$10000,$A238)</f>
        <v>0</v>
      </c>
    </row>
    <row r="239" spans="1:36">
      <c r="A239" t="s">
        <v>135</v>
      </c>
      <c r="C239">
        <f>SUMIFS(UseByTech!C$2:C$10000,UseByTech!$B$2:$B$10000,$A239)</f>
        <v>46.39820000000001</v>
      </c>
      <c r="D239">
        <f>SUMIFS(UseByTech!D$2:D$10000,UseByTech!$B$2:$B$10000,$A239)</f>
        <v>30.358100000000004</v>
      </c>
      <c r="E239">
        <f>SUMIFS(UseByTech!E$2:E$10000,UseByTech!$B$2:$B$10000,$A239)</f>
        <v>47.316299999999998</v>
      </c>
      <c r="F239">
        <f>SUMIFS(UseByTech!F$2:F$10000,UseByTech!$B$2:$B$10000,$A239)</f>
        <v>24.493300000000005</v>
      </c>
      <c r="G239">
        <f>SUMIFS(UseByTech!G$2:G$10000,UseByTech!$B$2:$B$10000,$A239)</f>
        <v>25.207899999999999</v>
      </c>
      <c r="H239">
        <f>SUMIFS(UseByTech!H$2:H$10000,UseByTech!$B$2:$B$10000,$A239)</f>
        <v>0</v>
      </c>
      <c r="I239">
        <f>SUMIFS(UseByTech!I$2:I$10000,UseByTech!$B$2:$B$10000,$A239)</f>
        <v>0</v>
      </c>
      <c r="J239">
        <f>SUMIFS(UseByTech!J$2:J$10000,UseByTech!$B$2:$B$10000,$A239)</f>
        <v>0</v>
      </c>
      <c r="K239">
        <f>SUMIFS(UseByTech!K$2:K$10000,UseByTech!$B$2:$B$10000,$A239)</f>
        <v>0</v>
      </c>
      <c r="L239">
        <f>SUMIFS(UseByTech!L$2:L$10000,UseByTech!$B$2:$B$10000,$A239)</f>
        <v>0</v>
      </c>
      <c r="M239">
        <f>SUMIFS(UseByTech!M$2:M$10000,UseByTech!$B$2:$B$10000,$A239)</f>
        <v>0</v>
      </c>
      <c r="N239">
        <f>SUMIFS(UseByTech!N$2:N$10000,UseByTech!$B$2:$B$10000,$A239)</f>
        <v>0</v>
      </c>
      <c r="O239">
        <f>SUMIFS(UseByTech!O$2:O$10000,UseByTech!$B$2:$B$10000,$A239)</f>
        <v>0</v>
      </c>
      <c r="P239">
        <f>SUMIFS(UseByTech!P$2:P$10000,UseByTech!$B$2:$B$10000,$A239)</f>
        <v>0</v>
      </c>
      <c r="Q239">
        <f>SUMIFS(UseByTech!Q$2:Q$10000,UseByTech!$B$2:$B$10000,$A239)</f>
        <v>0</v>
      </c>
      <c r="R239">
        <f>SUMIFS(UseByTech!R$2:R$10000,UseByTech!$B$2:$B$10000,$A239)</f>
        <v>0</v>
      </c>
      <c r="S239">
        <f>SUMIFS(UseByTech!S$2:S$10000,UseByTech!$B$2:$B$10000,$A239)</f>
        <v>0</v>
      </c>
      <c r="T239">
        <f>SUMIFS(UseByTech!T$2:T$10000,UseByTech!$B$2:$B$10000,$A239)</f>
        <v>0</v>
      </c>
      <c r="U239">
        <f>SUMIFS(UseByTech!U$2:U$10000,UseByTech!$B$2:$B$10000,$A239)</f>
        <v>0</v>
      </c>
      <c r="V239">
        <f>SUMIFS(UseByTech!V$2:V$10000,UseByTech!$B$2:$B$10000,$A239)</f>
        <v>0</v>
      </c>
      <c r="W239">
        <f>SUMIFS(UseByTech!W$2:W$10000,UseByTech!$B$2:$B$10000,$A239)</f>
        <v>0</v>
      </c>
      <c r="X239">
        <f>SUMIFS(UseByTech!X$2:X$10000,UseByTech!$B$2:$B$10000,$A239)</f>
        <v>0</v>
      </c>
      <c r="Y239">
        <f>SUMIFS(UseByTech!Y$2:Y$10000,UseByTech!$B$2:$B$10000,$A239)</f>
        <v>0</v>
      </c>
      <c r="Z239">
        <f>SUMIFS(UseByTech!Z$2:Z$10000,UseByTech!$B$2:$B$10000,$A239)</f>
        <v>0</v>
      </c>
      <c r="AA239">
        <f>SUMIFS(UseByTech!AA$2:AA$10000,UseByTech!$B$2:$B$10000,$A239)</f>
        <v>0</v>
      </c>
      <c r="AB239">
        <f>SUMIFS(UseByTech!AB$2:AB$10000,UseByTech!$B$2:$B$10000,$A239)</f>
        <v>0</v>
      </c>
      <c r="AC239">
        <f>SUMIFS(UseByTech!AC$2:AC$10000,UseByTech!$B$2:$B$10000,$A239)</f>
        <v>0</v>
      </c>
      <c r="AD239">
        <f>SUMIFS(UseByTech!AD$2:AD$10000,UseByTech!$B$2:$B$10000,$A239)</f>
        <v>0</v>
      </c>
      <c r="AE239">
        <f>SUMIFS(UseByTech!AE$2:AE$10000,UseByTech!$B$2:$B$10000,$A239)</f>
        <v>0</v>
      </c>
      <c r="AF239">
        <f>SUMIFS(UseByTech!AF$2:AF$10000,UseByTech!$B$2:$B$10000,$A239)</f>
        <v>0</v>
      </c>
      <c r="AG239">
        <f>SUMIFS(UseByTech!AG$2:AG$10000,UseByTech!$B$2:$B$10000,$A239)</f>
        <v>0</v>
      </c>
      <c r="AH239">
        <f>SUMIFS(UseByTech!AH$2:AH$10000,UseByTech!$B$2:$B$10000,$A239)</f>
        <v>0</v>
      </c>
      <c r="AI239">
        <f>SUMIFS(UseByTech!AI$2:AI$10000,UseByTech!$B$2:$B$10000,$A239)</f>
        <v>0</v>
      </c>
      <c r="AJ239">
        <f>SUMIFS(UseByTech!AJ$2:AJ$10000,UseByTech!$B$2:$B$10000,$A239)</f>
        <v>0</v>
      </c>
    </row>
    <row r="240" spans="1:36">
      <c r="A240" t="s">
        <v>134</v>
      </c>
      <c r="C240">
        <f>SUMIFS(UseByTech!C$2:C$10000,UseByTech!$B$2:$B$10000,$A240)</f>
        <v>131.27699999999999</v>
      </c>
      <c r="D240">
        <f>SUMIFS(UseByTech!D$2:D$10000,UseByTech!$B$2:$B$10000,$A240)</f>
        <v>128.31489999999997</v>
      </c>
      <c r="E240">
        <f>SUMIFS(UseByTech!E$2:E$10000,UseByTech!$B$2:$B$10000,$A240)</f>
        <v>120.3972</v>
      </c>
      <c r="F240">
        <f>SUMIFS(UseByTech!F$2:F$10000,UseByTech!$B$2:$B$10000,$A240)</f>
        <v>112.21179999999998</v>
      </c>
      <c r="G240">
        <f>SUMIFS(UseByTech!G$2:G$10000,UseByTech!$B$2:$B$10000,$A240)</f>
        <v>121.49469999999998</v>
      </c>
      <c r="H240">
        <f>SUMIFS(UseByTech!H$2:H$10000,UseByTech!$B$2:$B$10000,$A240)</f>
        <v>2.2016</v>
      </c>
      <c r="I240">
        <f>SUMIFS(UseByTech!I$2:I$10000,UseByTech!$B$2:$B$10000,$A240)</f>
        <v>2.7831999999999999</v>
      </c>
      <c r="J240">
        <f>SUMIFS(UseByTech!J$2:J$10000,UseByTech!$B$2:$B$10000,$A240)</f>
        <v>3.3155999999999999</v>
      </c>
      <c r="K240">
        <f>SUMIFS(UseByTech!K$2:K$10000,UseByTech!$B$2:$B$10000,$A240)</f>
        <v>3.6776</v>
      </c>
      <c r="L240">
        <f>SUMIFS(UseByTech!L$2:L$10000,UseByTech!$B$2:$B$10000,$A240)</f>
        <v>12.376799999999999</v>
      </c>
      <c r="M240">
        <f>SUMIFS(UseByTech!M$2:M$10000,UseByTech!$B$2:$B$10000,$A240)</f>
        <v>21.9754</v>
      </c>
      <c r="N240">
        <f>SUMIFS(UseByTech!N$2:N$10000,UseByTech!$B$2:$B$10000,$A240)</f>
        <v>25.105699999999999</v>
      </c>
      <c r="O240">
        <f>SUMIFS(UseByTech!O$2:O$10000,UseByTech!$B$2:$B$10000,$A240)</f>
        <v>2.3677999999999999</v>
      </c>
      <c r="P240">
        <f>SUMIFS(UseByTech!P$2:P$10000,UseByTech!$B$2:$B$10000,$A240)</f>
        <v>2.3677999999999999</v>
      </c>
      <c r="Q240">
        <f>SUMIFS(UseByTech!Q$2:Q$10000,UseByTech!$B$2:$B$10000,$A240)</f>
        <v>2.3677999999999999</v>
      </c>
      <c r="R240">
        <f>SUMIFS(UseByTech!R$2:R$10000,UseByTech!$B$2:$B$10000,$A240)</f>
        <v>2.3677999999999999</v>
      </c>
      <c r="S240">
        <f>SUMIFS(UseByTech!S$2:S$10000,UseByTech!$B$2:$B$10000,$A240)</f>
        <v>2.3677999999999999</v>
      </c>
      <c r="T240">
        <f>SUMIFS(UseByTech!T$2:T$10000,UseByTech!$B$2:$B$10000,$A240)</f>
        <v>2.3677999999999999</v>
      </c>
      <c r="U240">
        <f>SUMIFS(UseByTech!U$2:U$10000,UseByTech!$B$2:$B$10000,$A240)</f>
        <v>2.3677999999999999</v>
      </c>
      <c r="V240">
        <f>SUMIFS(UseByTech!V$2:V$10000,UseByTech!$B$2:$B$10000,$A240)</f>
        <v>2.3677999999999999</v>
      </c>
      <c r="W240">
        <f>SUMIFS(UseByTech!W$2:W$10000,UseByTech!$B$2:$B$10000,$A240)</f>
        <v>2.3677999999999999</v>
      </c>
      <c r="X240">
        <f>SUMIFS(UseByTech!X$2:X$10000,UseByTech!$B$2:$B$10000,$A240)</f>
        <v>2.3677999999999999</v>
      </c>
      <c r="Y240">
        <f>SUMIFS(UseByTech!Y$2:Y$10000,UseByTech!$B$2:$B$10000,$A240)</f>
        <v>2.3635999999999999</v>
      </c>
      <c r="Z240">
        <f>SUMIFS(UseByTech!Z$2:Z$10000,UseByTech!$B$2:$B$10000,$A240)</f>
        <v>2.431</v>
      </c>
      <c r="AA240">
        <f>SUMIFS(UseByTech!AA$2:AA$10000,UseByTech!$B$2:$B$10000,$A240)</f>
        <v>2.3635999999999999</v>
      </c>
      <c r="AB240">
        <f>SUMIFS(UseByTech!AB$2:AB$10000,UseByTech!$B$2:$B$10000,$A240)</f>
        <v>2.3635999999999999</v>
      </c>
      <c r="AC240">
        <f>SUMIFS(UseByTech!AC$2:AC$10000,UseByTech!$B$2:$B$10000,$A240)</f>
        <v>0</v>
      </c>
      <c r="AD240">
        <f>SUMIFS(UseByTech!AD$2:AD$10000,UseByTech!$B$2:$B$10000,$A240)</f>
        <v>0</v>
      </c>
      <c r="AE240">
        <f>SUMIFS(UseByTech!AE$2:AE$10000,UseByTech!$B$2:$B$10000,$A240)</f>
        <v>0</v>
      </c>
      <c r="AF240">
        <f>SUMIFS(UseByTech!AF$2:AF$10000,UseByTech!$B$2:$B$10000,$A240)</f>
        <v>0</v>
      </c>
      <c r="AG240">
        <f>SUMIFS(UseByTech!AG$2:AG$10000,UseByTech!$B$2:$B$10000,$A240)</f>
        <v>0</v>
      </c>
      <c r="AH240">
        <f>SUMIFS(UseByTech!AH$2:AH$10000,UseByTech!$B$2:$B$10000,$A240)</f>
        <v>0</v>
      </c>
      <c r="AI240">
        <f>SUMIFS(UseByTech!AI$2:AI$10000,UseByTech!$B$2:$B$10000,$A240)</f>
        <v>0</v>
      </c>
      <c r="AJ240">
        <f>SUMIFS(UseByTech!AJ$2:AJ$10000,UseByTech!$B$2:$B$10000,$A240)</f>
        <v>0</v>
      </c>
    </row>
    <row r="241" spans="1:36">
      <c r="A241" s="29" t="s">
        <v>149</v>
      </c>
      <c r="C241">
        <f>SUMIFS(UseByTech!C$2:C$10000,UseByTech!$B$2:$B$10000,$A241)</f>
        <v>0</v>
      </c>
      <c r="D241">
        <f>SUMIFS(UseByTech!D$2:D$10000,UseByTech!$B$2:$B$10000,$A241)</f>
        <v>0</v>
      </c>
      <c r="E241">
        <f>SUMIFS(UseByTech!E$2:E$10000,UseByTech!$B$2:$B$10000,$A241)</f>
        <v>0</v>
      </c>
      <c r="F241">
        <f>SUMIFS(UseByTech!F$2:F$10000,UseByTech!$B$2:$B$10000,$A241)</f>
        <v>0</v>
      </c>
      <c r="G241">
        <f>SUMIFS(UseByTech!G$2:G$10000,UseByTech!$B$2:$B$10000,$A241)</f>
        <v>0</v>
      </c>
      <c r="H241">
        <f>SUMIFS(UseByTech!H$2:H$10000,UseByTech!$B$2:$B$10000,$A241)</f>
        <v>0</v>
      </c>
      <c r="I241">
        <f>SUMIFS(UseByTech!I$2:I$10000,UseByTech!$B$2:$B$10000,$A241)</f>
        <v>0</v>
      </c>
      <c r="J241">
        <f>SUMIFS(UseByTech!J$2:J$10000,UseByTech!$B$2:$B$10000,$A241)</f>
        <v>0</v>
      </c>
      <c r="K241">
        <f>SUMIFS(UseByTech!K$2:K$10000,UseByTech!$B$2:$B$10000,$A241)</f>
        <v>0</v>
      </c>
      <c r="L241">
        <f>SUMIFS(UseByTech!L$2:L$10000,UseByTech!$B$2:$B$10000,$A241)</f>
        <v>0</v>
      </c>
      <c r="M241">
        <f>SUMIFS(UseByTech!M$2:M$10000,UseByTech!$B$2:$B$10000,$A241)</f>
        <v>0</v>
      </c>
      <c r="N241">
        <f>SUMIFS(UseByTech!N$2:N$10000,UseByTech!$B$2:$B$10000,$A241)</f>
        <v>0</v>
      </c>
      <c r="O241">
        <f>SUMIFS(UseByTech!O$2:O$10000,UseByTech!$B$2:$B$10000,$A241)</f>
        <v>0</v>
      </c>
      <c r="P241">
        <f>SUMIFS(UseByTech!P$2:P$10000,UseByTech!$B$2:$B$10000,$A241)</f>
        <v>0</v>
      </c>
      <c r="Q241">
        <f>SUMIFS(UseByTech!Q$2:Q$10000,UseByTech!$B$2:$B$10000,$A241)</f>
        <v>0</v>
      </c>
      <c r="R241">
        <f>SUMIFS(UseByTech!R$2:R$10000,UseByTech!$B$2:$B$10000,$A241)</f>
        <v>0</v>
      </c>
      <c r="S241">
        <f>SUMIFS(UseByTech!S$2:S$10000,UseByTech!$B$2:$B$10000,$A241)</f>
        <v>0</v>
      </c>
      <c r="T241">
        <f>SUMIFS(UseByTech!T$2:T$10000,UseByTech!$B$2:$B$10000,$A241)</f>
        <v>0</v>
      </c>
      <c r="U241">
        <f>SUMIFS(UseByTech!U$2:U$10000,UseByTech!$B$2:$B$10000,$A241)</f>
        <v>0</v>
      </c>
      <c r="V241">
        <f>SUMIFS(UseByTech!V$2:V$10000,UseByTech!$B$2:$B$10000,$A241)</f>
        <v>0</v>
      </c>
      <c r="W241">
        <f>SUMIFS(UseByTech!W$2:W$10000,UseByTech!$B$2:$B$10000,$A241)</f>
        <v>0</v>
      </c>
      <c r="X241">
        <f>SUMIFS(UseByTech!X$2:X$10000,UseByTech!$B$2:$B$10000,$A241)</f>
        <v>0</v>
      </c>
      <c r="Y241">
        <f>SUMIFS(UseByTech!Y$2:Y$10000,UseByTech!$B$2:$B$10000,$A241)</f>
        <v>0</v>
      </c>
      <c r="Z241">
        <f>SUMIFS(UseByTech!Z$2:Z$10000,UseByTech!$B$2:$B$10000,$A241)</f>
        <v>0</v>
      </c>
      <c r="AA241">
        <f>SUMIFS(UseByTech!AA$2:AA$10000,UseByTech!$B$2:$B$10000,$A241)</f>
        <v>0</v>
      </c>
      <c r="AB241">
        <f>SUMIFS(UseByTech!AB$2:AB$10000,UseByTech!$B$2:$B$10000,$A241)</f>
        <v>0</v>
      </c>
      <c r="AC241">
        <f>SUMIFS(UseByTech!AC$2:AC$10000,UseByTech!$B$2:$B$10000,$A241)</f>
        <v>0</v>
      </c>
      <c r="AD241">
        <f>SUMIFS(UseByTech!AD$2:AD$10000,UseByTech!$B$2:$B$10000,$A241)</f>
        <v>0</v>
      </c>
      <c r="AE241">
        <f>SUMIFS(UseByTech!AE$2:AE$10000,UseByTech!$B$2:$B$10000,$A241)</f>
        <v>0</v>
      </c>
      <c r="AF241">
        <f>SUMIFS(UseByTech!AF$2:AF$10000,UseByTech!$B$2:$B$10000,$A241)</f>
        <v>0</v>
      </c>
      <c r="AG241">
        <f>SUMIFS(UseByTech!AG$2:AG$10000,UseByTech!$B$2:$B$10000,$A241)</f>
        <v>0</v>
      </c>
      <c r="AH241">
        <f>SUMIFS(UseByTech!AH$2:AH$10000,UseByTech!$B$2:$B$10000,$A241)</f>
        <v>0</v>
      </c>
      <c r="AI241">
        <f>SUMIFS(UseByTech!AI$2:AI$10000,UseByTech!$B$2:$B$10000,$A241)</f>
        <v>0</v>
      </c>
      <c r="AJ241">
        <f>SUMIFS(UseByTech!AJ$2:AJ$10000,UseByTech!$B$2:$B$10000,$A241)</f>
        <v>0</v>
      </c>
    </row>
    <row r="242" spans="1:36">
      <c r="A242" s="43" t="s">
        <v>154</v>
      </c>
      <c r="C242">
        <v>366.3974</v>
      </c>
      <c r="D242">
        <v>366.83909999999997</v>
      </c>
      <c r="E242">
        <v>385.23459999999989</v>
      </c>
      <c r="F242">
        <v>403.63040000000001</v>
      </c>
      <c r="G242">
        <v>421.88849999999996</v>
      </c>
      <c r="H242">
        <v>436.32650000000012</v>
      </c>
      <c r="I242">
        <v>458.98250000000002</v>
      </c>
      <c r="J242">
        <v>481.65270000000004</v>
      </c>
      <c r="K242">
        <v>504.36810000000014</v>
      </c>
      <c r="L242">
        <v>526.9633</v>
      </c>
      <c r="M242">
        <v>549.5335</v>
      </c>
      <c r="N242">
        <v>576.68740000000014</v>
      </c>
      <c r="O242">
        <v>604.73090000000002</v>
      </c>
      <c r="P242">
        <v>631.79039999999986</v>
      </c>
      <c r="Q242">
        <v>658.93470000000002</v>
      </c>
      <c r="R242">
        <v>675.34649999999988</v>
      </c>
      <c r="S242">
        <v>708.29930000000002</v>
      </c>
      <c r="T242">
        <v>741.25210000000004</v>
      </c>
      <c r="U242">
        <v>774.20439999999996</v>
      </c>
      <c r="V242">
        <v>807.15699999999993</v>
      </c>
      <c r="W242">
        <v>839.72759999999994</v>
      </c>
      <c r="X242">
        <v>873.00210000000004</v>
      </c>
      <c r="Y242">
        <v>908.86289999999985</v>
      </c>
      <c r="Z242">
        <v>944.80179999999996</v>
      </c>
      <c r="AA242">
        <v>980.81389999999988</v>
      </c>
      <c r="AB242">
        <v>1016.7588000000002</v>
      </c>
      <c r="AC242">
        <v>1054.1231</v>
      </c>
      <c r="AD242">
        <v>1091.6573999999998</v>
      </c>
      <c r="AE242">
        <v>1129.2427</v>
      </c>
      <c r="AF242">
        <v>1166.8751999999997</v>
      </c>
      <c r="AG242">
        <v>1220.0816999999997</v>
      </c>
      <c r="AH242">
        <v>1256.317</v>
      </c>
      <c r="AI242">
        <v>1292.5527</v>
      </c>
      <c r="AJ242">
        <v>1328.7885000000001</v>
      </c>
    </row>
    <row r="243" spans="1:36">
      <c r="W243"/>
    </row>
    <row r="244" spans="1:36">
      <c r="W244"/>
    </row>
    <row r="245" spans="1:36">
      <c r="W245"/>
    </row>
    <row r="246" spans="1:36">
      <c r="A246" s="29"/>
      <c r="W246"/>
    </row>
    <row r="247" spans="1:36">
      <c r="A247" s="29"/>
      <c r="W247"/>
    </row>
    <row r="248" spans="1:36">
      <c r="A248" s="29"/>
      <c r="W248"/>
    </row>
    <row r="249" spans="1:36">
      <c r="A249" s="29"/>
      <c r="W249"/>
    </row>
    <row r="250" spans="1:36">
      <c r="A250" s="29"/>
      <c r="W250"/>
    </row>
    <row r="251" spans="1:36">
      <c r="A251" s="29"/>
      <c r="W251"/>
    </row>
    <row r="252" spans="1:36">
      <c r="A252" s="29"/>
      <c r="W252"/>
    </row>
    <row r="253" spans="1:36">
      <c r="A253" s="29"/>
      <c r="W253"/>
    </row>
    <row r="254" spans="1:36">
      <c r="W254"/>
    </row>
    <row r="255" spans="1:36">
      <c r="W255"/>
    </row>
    <row r="256" spans="1:36">
      <c r="W256"/>
    </row>
    <row r="257" spans="23:23">
      <c r="W257"/>
    </row>
    <row r="258" spans="23:23">
      <c r="W258"/>
    </row>
    <row r="259" spans="23:23">
      <c r="W259"/>
    </row>
    <row r="260" spans="23:23">
      <c r="W260"/>
    </row>
    <row r="261" spans="23:23">
      <c r="W261"/>
    </row>
    <row r="262" spans="23:23">
      <c r="W262"/>
    </row>
    <row r="263" spans="23:23">
      <c r="W263"/>
    </row>
    <row r="264" spans="23:23">
      <c r="W264"/>
    </row>
    <row r="265" spans="23:23">
      <c r="W265"/>
    </row>
    <row r="266" spans="23:23">
      <c r="W266"/>
    </row>
    <row r="267" spans="23:23">
      <c r="W267"/>
    </row>
    <row r="268" spans="23:23">
      <c r="W268"/>
    </row>
    <row r="269" spans="23:23">
      <c r="W269"/>
    </row>
    <row r="270" spans="23:23">
      <c r="W270"/>
    </row>
    <row r="271" spans="23:23">
      <c r="W271"/>
    </row>
    <row r="272" spans="23:23">
      <c r="W272"/>
    </row>
    <row r="273" spans="23:23">
      <c r="W273"/>
    </row>
    <row r="274" spans="23:23">
      <c r="W274"/>
    </row>
    <row r="275" spans="23:23">
      <c r="W275"/>
    </row>
    <row r="276" spans="23:23">
      <c r="W276"/>
    </row>
    <row r="277" spans="23:23">
      <c r="W277"/>
    </row>
    <row r="278" spans="23:23">
      <c r="W278"/>
    </row>
    <row r="279" spans="23:23">
      <c r="W279"/>
    </row>
    <row r="280" spans="23:23">
      <c r="W280"/>
    </row>
    <row r="281" spans="23:23">
      <c r="W281"/>
    </row>
    <row r="282" spans="23:23">
      <c r="W282"/>
    </row>
    <row r="283" spans="23:23">
      <c r="W283"/>
    </row>
    <row r="284" spans="23:23">
      <c r="W284"/>
    </row>
    <row r="285" spans="23:23">
      <c r="W285"/>
    </row>
    <row r="286" spans="23:23">
      <c r="W286"/>
    </row>
    <row r="287" spans="23:23">
      <c r="W287"/>
    </row>
    <row r="288" spans="23:23">
      <c r="W288"/>
    </row>
    <row r="289" spans="23:23">
      <c r="W289"/>
    </row>
    <row r="290" spans="23:23">
      <c r="W290"/>
    </row>
    <row r="291" spans="23:23">
      <c r="W291"/>
    </row>
    <row r="292" spans="23:23">
      <c r="W292"/>
    </row>
    <row r="293" spans="23:23">
      <c r="W293"/>
    </row>
    <row r="294" spans="23:23">
      <c r="W294"/>
    </row>
    <row r="295" spans="23:23">
      <c r="W295"/>
    </row>
    <row r="296" spans="23:23">
      <c r="W296"/>
    </row>
    <row r="297" spans="23:23">
      <c r="W297"/>
    </row>
    <row r="298" spans="23:23">
      <c r="W298"/>
    </row>
    <row r="299" spans="23:23">
      <c r="W299"/>
    </row>
    <row r="300" spans="23:23">
      <c r="W300"/>
    </row>
    <row r="301" spans="23:23">
      <c r="W301"/>
    </row>
    <row r="302" spans="23:23">
      <c r="W302"/>
    </row>
    <row r="303" spans="23:23">
      <c r="W303"/>
    </row>
    <row r="304" spans="23:23">
      <c r="W304"/>
    </row>
    <row r="305" spans="23:23">
      <c r="W305"/>
    </row>
    <row r="306" spans="23:23">
      <c r="W306"/>
    </row>
    <row r="307" spans="23:23">
      <c r="W307"/>
    </row>
    <row r="308" spans="23:23">
      <c r="W308"/>
    </row>
    <row r="309" spans="23:23">
      <c r="W309"/>
    </row>
    <row r="310" spans="23:23">
      <c r="W310"/>
    </row>
    <row r="311" spans="23:23">
      <c r="W311"/>
    </row>
    <row r="312" spans="23:23">
      <c r="W312"/>
    </row>
    <row r="313" spans="23:23">
      <c r="W313"/>
    </row>
    <row r="314" spans="23:23">
      <c r="W314"/>
    </row>
    <row r="315" spans="23:23">
      <c r="W315"/>
    </row>
    <row r="316" spans="23:23">
      <c r="W316"/>
    </row>
    <row r="317" spans="23:23">
      <c r="W317"/>
    </row>
    <row r="318" spans="23:23">
      <c r="W318"/>
    </row>
    <row r="319" spans="23:23">
      <c r="W319"/>
    </row>
    <row r="320" spans="23:23">
      <c r="W320"/>
    </row>
    <row r="321" spans="23:23">
      <c r="W321"/>
    </row>
    <row r="322" spans="23:23">
      <c r="W322"/>
    </row>
    <row r="323" spans="23:23">
      <c r="W323"/>
    </row>
    <row r="324" spans="23:23">
      <c r="W324"/>
    </row>
    <row r="325" spans="23:23">
      <c r="W325"/>
    </row>
    <row r="326" spans="23:23">
      <c r="W326"/>
    </row>
    <row r="327" spans="23:23">
      <c r="W327"/>
    </row>
    <row r="328" spans="23:23">
      <c r="W328"/>
    </row>
    <row r="329" spans="23:23">
      <c r="W329"/>
    </row>
    <row r="330" spans="23:23">
      <c r="W330"/>
    </row>
    <row r="331" spans="23:23">
      <c r="W331"/>
    </row>
    <row r="332" spans="23:23">
      <c r="W332"/>
    </row>
    <row r="333" spans="23:23">
      <c r="W333"/>
    </row>
    <row r="334" spans="23:23">
      <c r="W334"/>
    </row>
    <row r="335" spans="23:23">
      <c r="W335"/>
    </row>
    <row r="336" spans="23:23">
      <c r="W336"/>
    </row>
    <row r="337" spans="23:23">
      <c r="W337"/>
    </row>
    <row r="338" spans="23:23">
      <c r="W338"/>
    </row>
    <row r="339" spans="23:23">
      <c r="W339"/>
    </row>
    <row r="340" spans="23:23">
      <c r="W340"/>
    </row>
    <row r="341" spans="23:23">
      <c r="W341"/>
    </row>
    <row r="342" spans="23:23">
      <c r="W342"/>
    </row>
    <row r="343" spans="23:23">
      <c r="W343"/>
    </row>
    <row r="344" spans="23:23">
      <c r="W344"/>
    </row>
    <row r="345" spans="23:23">
      <c r="W345"/>
    </row>
    <row r="346" spans="23:23">
      <c r="W346"/>
    </row>
    <row r="347" spans="23:23">
      <c r="W347"/>
    </row>
    <row r="348" spans="23:23">
      <c r="W348"/>
    </row>
    <row r="349" spans="23:23">
      <c r="W349"/>
    </row>
    <row r="350" spans="23:23">
      <c r="W350"/>
    </row>
    <row r="351" spans="23:23">
      <c r="W351"/>
    </row>
    <row r="352" spans="23:23">
      <c r="W352"/>
    </row>
    <row r="353" spans="23:23">
      <c r="W353"/>
    </row>
    <row r="354" spans="23:23">
      <c r="W354"/>
    </row>
    <row r="355" spans="23:23">
      <c r="W355"/>
    </row>
    <row r="356" spans="23:23">
      <c r="W356"/>
    </row>
    <row r="357" spans="23:23">
      <c r="W357"/>
    </row>
    <row r="358" spans="23:23">
      <c r="W358"/>
    </row>
    <row r="359" spans="23:23">
      <c r="W359"/>
    </row>
    <row r="360" spans="23:23">
      <c r="W360"/>
    </row>
    <row r="361" spans="23:23">
      <c r="W361"/>
    </row>
    <row r="362" spans="23:23">
      <c r="W362"/>
    </row>
    <row r="363" spans="23:23">
      <c r="W363"/>
    </row>
    <row r="364" spans="23:23">
      <c r="W364"/>
    </row>
    <row r="365" spans="23:23">
      <c r="W365"/>
    </row>
    <row r="366" spans="23:23">
      <c r="W366"/>
    </row>
    <row r="367" spans="23:23">
      <c r="W367"/>
    </row>
    <row r="368" spans="23:23">
      <c r="W368"/>
    </row>
    <row r="369" spans="23:23">
      <c r="W369"/>
    </row>
    <row r="370" spans="23:23">
      <c r="W370"/>
    </row>
    <row r="371" spans="23:23">
      <c r="W371"/>
    </row>
    <row r="372" spans="23:23">
      <c r="W372"/>
    </row>
    <row r="373" spans="23:23">
      <c r="W373"/>
    </row>
    <row r="374" spans="23:23">
      <c r="W374"/>
    </row>
    <row r="375" spans="23:23">
      <c r="W375"/>
    </row>
    <row r="376" spans="23:23">
      <c r="W376"/>
    </row>
    <row r="377" spans="23:23">
      <c r="W377"/>
    </row>
    <row r="378" spans="23:23">
      <c r="W378"/>
    </row>
    <row r="379" spans="23:23">
      <c r="W379"/>
    </row>
    <row r="380" spans="23:23">
      <c r="W380"/>
    </row>
    <row r="381" spans="23:23">
      <c r="W381"/>
    </row>
    <row r="382" spans="23:23">
      <c r="W382"/>
    </row>
    <row r="383" spans="23:23">
      <c r="W383"/>
    </row>
    <row r="384" spans="23:23">
      <c r="W384"/>
    </row>
    <row r="385" spans="23:23">
      <c r="W385"/>
    </row>
    <row r="386" spans="23:23">
      <c r="W386"/>
    </row>
    <row r="387" spans="23:23">
      <c r="W387"/>
    </row>
    <row r="388" spans="23:23">
      <c r="W388"/>
    </row>
    <row r="389" spans="23:23">
      <c r="W389"/>
    </row>
    <row r="390" spans="23:23">
      <c r="W390"/>
    </row>
    <row r="391" spans="23:23">
      <c r="W391"/>
    </row>
    <row r="392" spans="23:23">
      <c r="W392"/>
    </row>
    <row r="393" spans="23:23">
      <c r="W393"/>
    </row>
    <row r="394" spans="23:23">
      <c r="W394"/>
    </row>
    <row r="395" spans="23:23">
      <c r="W395"/>
    </row>
    <row r="396" spans="23:23">
      <c r="W396"/>
    </row>
    <row r="397" spans="23:23">
      <c r="W397"/>
    </row>
    <row r="398" spans="23:23">
      <c r="W398"/>
    </row>
    <row r="399" spans="23:23">
      <c r="W399"/>
    </row>
    <row r="400" spans="23:23">
      <c r="W400"/>
    </row>
    <row r="401" spans="23:23">
      <c r="W401"/>
    </row>
    <row r="402" spans="23:23">
      <c r="W402"/>
    </row>
    <row r="403" spans="23:23">
      <c r="W403"/>
    </row>
    <row r="404" spans="23:23">
      <c r="W404"/>
    </row>
    <row r="405" spans="23:23">
      <c r="W405"/>
    </row>
    <row r="406" spans="23:23">
      <c r="W406"/>
    </row>
    <row r="407" spans="23:23">
      <c r="W407"/>
    </row>
    <row r="408" spans="23:23">
      <c r="W408"/>
    </row>
    <row r="409" spans="23:23">
      <c r="W409"/>
    </row>
    <row r="410" spans="23:23">
      <c r="W410"/>
    </row>
    <row r="411" spans="23:23">
      <c r="W411"/>
    </row>
    <row r="412" spans="23:23">
      <c r="W412"/>
    </row>
    <row r="413" spans="23:23">
      <c r="W413"/>
    </row>
    <row r="414" spans="23:23">
      <c r="W414"/>
    </row>
    <row r="415" spans="23:23">
      <c r="W415"/>
    </row>
    <row r="416" spans="23:23">
      <c r="W416"/>
    </row>
    <row r="417" spans="23:23">
      <c r="W417"/>
    </row>
    <row r="418" spans="23:23">
      <c r="W418"/>
    </row>
    <row r="419" spans="23:23">
      <c r="W419"/>
    </row>
    <row r="420" spans="23:23">
      <c r="W420"/>
    </row>
    <row r="421" spans="23:23">
      <c r="W421"/>
    </row>
    <row r="422" spans="23:23">
      <c r="W422"/>
    </row>
    <row r="423" spans="23:23">
      <c r="W423"/>
    </row>
    <row r="424" spans="23:23">
      <c r="W424"/>
    </row>
    <row r="425" spans="23:23">
      <c r="W425"/>
    </row>
    <row r="426" spans="23:23">
      <c r="W426"/>
    </row>
    <row r="427" spans="23:23">
      <c r="W427"/>
    </row>
    <row r="428" spans="23:23">
      <c r="W428"/>
    </row>
    <row r="429" spans="23:23">
      <c r="W429"/>
    </row>
    <row r="430" spans="23:23">
      <c r="W430"/>
    </row>
    <row r="431" spans="23:23">
      <c r="W431"/>
    </row>
    <row r="432" spans="23:23">
      <c r="W432"/>
    </row>
    <row r="433" spans="23:23">
      <c r="W433"/>
    </row>
    <row r="434" spans="23:23">
      <c r="W434"/>
    </row>
    <row r="435" spans="23:23">
      <c r="W435"/>
    </row>
    <row r="436" spans="23:23">
      <c r="W436"/>
    </row>
    <row r="437" spans="23:23">
      <c r="W437"/>
    </row>
    <row r="438" spans="23:23">
      <c r="W438"/>
    </row>
    <row r="439" spans="23:23">
      <c r="W439"/>
    </row>
    <row r="440" spans="23:23">
      <c r="W440"/>
    </row>
    <row r="441" spans="23:23">
      <c r="W441"/>
    </row>
    <row r="442" spans="23:23">
      <c r="W442"/>
    </row>
    <row r="443" spans="23:23">
      <c r="W443"/>
    </row>
    <row r="444" spans="23:23">
      <c r="W444"/>
    </row>
    <row r="445" spans="23:23">
      <c r="W445"/>
    </row>
    <row r="446" spans="23:23">
      <c r="W446"/>
    </row>
    <row r="447" spans="23:23">
      <c r="W447"/>
    </row>
    <row r="448" spans="23:23">
      <c r="W448"/>
    </row>
    <row r="449" spans="23:23">
      <c r="W449"/>
    </row>
    <row r="450" spans="23:23">
      <c r="W450"/>
    </row>
    <row r="451" spans="23:23">
      <c r="W451"/>
    </row>
    <row r="452" spans="23:23">
      <c r="W452"/>
    </row>
    <row r="453" spans="23:23">
      <c r="W453"/>
    </row>
    <row r="454" spans="23:23">
      <c r="W454"/>
    </row>
    <row r="455" spans="23:23">
      <c r="W455"/>
    </row>
    <row r="456" spans="23:23">
      <c r="W456"/>
    </row>
    <row r="457" spans="23:23">
      <c r="W457"/>
    </row>
    <row r="458" spans="23:23">
      <c r="W458"/>
    </row>
    <row r="459" spans="23:23">
      <c r="W459"/>
    </row>
    <row r="460" spans="23:23">
      <c r="W460"/>
    </row>
    <row r="461" spans="23:23">
      <c r="W461"/>
    </row>
    <row r="462" spans="23:23">
      <c r="W462"/>
    </row>
    <row r="463" spans="23:23">
      <c r="W463"/>
    </row>
    <row r="464" spans="23:23">
      <c r="W464"/>
    </row>
    <row r="465" spans="23:23">
      <c r="W465"/>
    </row>
    <row r="466" spans="23:23">
      <c r="W466"/>
    </row>
    <row r="467" spans="23:23">
      <c r="W467"/>
    </row>
    <row r="468" spans="23:23">
      <c r="W468"/>
    </row>
    <row r="469" spans="23:23">
      <c r="W469"/>
    </row>
    <row r="470" spans="23:23">
      <c r="W470"/>
    </row>
    <row r="471" spans="23:23">
      <c r="W471"/>
    </row>
    <row r="472" spans="23:23">
      <c r="W472"/>
    </row>
    <row r="473" spans="23:23">
      <c r="W473"/>
    </row>
    <row r="474" spans="23:23">
      <c r="W474"/>
    </row>
    <row r="475" spans="23:23">
      <c r="W475"/>
    </row>
    <row r="476" spans="23:23">
      <c r="W476"/>
    </row>
    <row r="477" spans="23:23">
      <c r="W477"/>
    </row>
    <row r="478" spans="23:23">
      <c r="W478"/>
    </row>
    <row r="479" spans="23:23">
      <c r="W479"/>
    </row>
    <row r="480" spans="23:23">
      <c r="W480"/>
    </row>
    <row r="481" spans="23:23">
      <c r="W481"/>
    </row>
    <row r="482" spans="23:23">
      <c r="W482"/>
    </row>
    <row r="483" spans="23:23">
      <c r="W483"/>
    </row>
    <row r="484" spans="23:23">
      <c r="W484"/>
    </row>
    <row r="485" spans="23:23">
      <c r="W485"/>
    </row>
    <row r="486" spans="23:23">
      <c r="W486"/>
    </row>
    <row r="487" spans="23:23">
      <c r="W487"/>
    </row>
    <row r="488" spans="23:23">
      <c r="W488"/>
    </row>
    <row r="489" spans="23:23">
      <c r="W489"/>
    </row>
    <row r="490" spans="23:23">
      <c r="W490"/>
    </row>
    <row r="491" spans="23:23">
      <c r="W491"/>
    </row>
    <row r="492" spans="23:23">
      <c r="W492"/>
    </row>
    <row r="493" spans="23:23">
      <c r="W493"/>
    </row>
    <row r="494" spans="23:23">
      <c r="W494"/>
    </row>
    <row r="495" spans="23:23">
      <c r="W495"/>
    </row>
    <row r="496" spans="23:23">
      <c r="W496"/>
    </row>
    <row r="497" spans="23:23">
      <c r="W497"/>
    </row>
    <row r="498" spans="23:23">
      <c r="W498"/>
    </row>
    <row r="499" spans="23:23">
      <c r="W499"/>
    </row>
    <row r="500" spans="23:23">
      <c r="W500"/>
    </row>
    <row r="501" spans="23:23">
      <c r="W501"/>
    </row>
    <row r="502" spans="23:23">
      <c r="W502"/>
    </row>
    <row r="503" spans="23:23">
      <c r="W503"/>
    </row>
    <row r="504" spans="23:23">
      <c r="W504"/>
    </row>
    <row r="505" spans="23:23">
      <c r="W505"/>
    </row>
    <row r="506" spans="23:23">
      <c r="W506"/>
    </row>
    <row r="507" spans="23:23">
      <c r="W507"/>
    </row>
    <row r="508" spans="23:23">
      <c r="W508"/>
    </row>
    <row r="509" spans="23:23">
      <c r="W509"/>
    </row>
    <row r="510" spans="23:23">
      <c r="W510"/>
    </row>
    <row r="511" spans="23:23">
      <c r="W511"/>
    </row>
    <row r="512" spans="23:23">
      <c r="W512"/>
    </row>
    <row r="513" spans="23:23">
      <c r="W513"/>
    </row>
    <row r="514" spans="23:23">
      <c r="W514"/>
    </row>
    <row r="515" spans="23:23">
      <c r="W515"/>
    </row>
    <row r="516" spans="23:23">
      <c r="W516"/>
    </row>
    <row r="517" spans="23:23">
      <c r="W517"/>
    </row>
    <row r="518" spans="23:23">
      <c r="W518"/>
    </row>
    <row r="519" spans="23:23">
      <c r="W519"/>
    </row>
    <row r="520" spans="23:23">
      <c r="W520"/>
    </row>
    <row r="521" spans="23:23">
      <c r="W521"/>
    </row>
    <row r="522" spans="23:23">
      <c r="W522"/>
    </row>
    <row r="523" spans="23:23">
      <c r="W523"/>
    </row>
    <row r="524" spans="23:23">
      <c r="W524"/>
    </row>
    <row r="525" spans="23:23">
      <c r="W525"/>
    </row>
    <row r="526" spans="23:23">
      <c r="W526"/>
    </row>
    <row r="527" spans="23:23">
      <c r="W527"/>
    </row>
    <row r="528" spans="23:23">
      <c r="W528"/>
    </row>
    <row r="529" spans="23:23">
      <c r="W529"/>
    </row>
    <row r="530" spans="23:23">
      <c r="W530"/>
    </row>
    <row r="531" spans="23:23">
      <c r="W531"/>
    </row>
    <row r="532" spans="23:23">
      <c r="W532"/>
    </row>
    <row r="533" spans="23:23">
      <c r="W533"/>
    </row>
    <row r="534" spans="23:23">
      <c r="W534"/>
    </row>
    <row r="535" spans="23:23">
      <c r="W535"/>
    </row>
    <row r="536" spans="23:23">
      <c r="W536"/>
    </row>
    <row r="537" spans="23:23">
      <c r="W537"/>
    </row>
    <row r="538" spans="23:23">
      <c r="W538"/>
    </row>
    <row r="539" spans="23:23">
      <c r="W539"/>
    </row>
    <row r="540" spans="23:23">
      <c r="W540"/>
    </row>
    <row r="541" spans="23:23">
      <c r="W541"/>
    </row>
    <row r="542" spans="23:23">
      <c r="W542"/>
    </row>
    <row r="543" spans="23:23">
      <c r="W543"/>
    </row>
    <row r="544" spans="23:23">
      <c r="W544"/>
    </row>
    <row r="545" spans="23:23">
      <c r="W545"/>
    </row>
    <row r="546" spans="23:23">
      <c r="W546"/>
    </row>
    <row r="547" spans="23:23">
      <c r="W547"/>
    </row>
    <row r="548" spans="23:23">
      <c r="W548"/>
    </row>
    <row r="549" spans="23:23">
      <c r="W549"/>
    </row>
    <row r="550" spans="23:23">
      <c r="W550"/>
    </row>
    <row r="551" spans="23:23">
      <c r="W551"/>
    </row>
    <row r="552" spans="23:23">
      <c r="W552"/>
    </row>
    <row r="553" spans="23:23">
      <c r="W553"/>
    </row>
    <row r="554" spans="23:23">
      <c r="W554"/>
    </row>
    <row r="555" spans="23:23">
      <c r="W555"/>
    </row>
    <row r="556" spans="23:23">
      <c r="W556"/>
    </row>
    <row r="557" spans="23:23">
      <c r="W557"/>
    </row>
    <row r="558" spans="23:23">
      <c r="W558"/>
    </row>
    <row r="559" spans="23:23">
      <c r="W559"/>
    </row>
    <row r="560" spans="23:23">
      <c r="W560"/>
    </row>
    <row r="561" spans="23:23">
      <c r="W561"/>
    </row>
    <row r="562" spans="23:23">
      <c r="W562"/>
    </row>
    <row r="563" spans="23:23">
      <c r="W563"/>
    </row>
    <row r="564" spans="23:23">
      <c r="W564"/>
    </row>
    <row r="565" spans="23:23">
      <c r="W565"/>
    </row>
    <row r="566" spans="23:23">
      <c r="W566"/>
    </row>
    <row r="567" spans="23:23">
      <c r="W567"/>
    </row>
    <row r="568" spans="23:23">
      <c r="W568"/>
    </row>
    <row r="569" spans="23:23">
      <c r="W569"/>
    </row>
    <row r="570" spans="23:23">
      <c r="W570"/>
    </row>
    <row r="571" spans="23:23">
      <c r="W571"/>
    </row>
    <row r="572" spans="23:23">
      <c r="W572"/>
    </row>
    <row r="573" spans="23:23">
      <c r="W573"/>
    </row>
    <row r="574" spans="23:23">
      <c r="W574"/>
    </row>
    <row r="575" spans="23:23">
      <c r="W575"/>
    </row>
    <row r="576" spans="23:23">
      <c r="W576"/>
    </row>
    <row r="577" spans="23:23">
      <c r="W577"/>
    </row>
    <row r="578" spans="23:23">
      <c r="W578"/>
    </row>
    <row r="579" spans="23:23">
      <c r="W579"/>
    </row>
    <row r="580" spans="23:23">
      <c r="W580"/>
    </row>
    <row r="581" spans="23:23">
      <c r="W581"/>
    </row>
    <row r="582" spans="23:23">
      <c r="W582"/>
    </row>
    <row r="583" spans="23:23">
      <c r="W583"/>
    </row>
    <row r="584" spans="23:23">
      <c r="W584"/>
    </row>
    <row r="585" spans="23:23">
      <c r="W585"/>
    </row>
    <row r="586" spans="23:23">
      <c r="W586"/>
    </row>
    <row r="587" spans="23:23">
      <c r="W587"/>
    </row>
    <row r="588" spans="23:23">
      <c r="W588"/>
    </row>
    <row r="589" spans="23:23">
      <c r="W589"/>
    </row>
    <row r="590" spans="23:23">
      <c r="W590"/>
    </row>
    <row r="591" spans="23:23">
      <c r="W591"/>
    </row>
    <row r="592" spans="23:23">
      <c r="W592"/>
    </row>
    <row r="593" spans="23:23">
      <c r="W593"/>
    </row>
    <row r="594" spans="23:23">
      <c r="W594"/>
    </row>
    <row r="595" spans="23:23">
      <c r="W595"/>
    </row>
    <row r="596" spans="23:23">
      <c r="W596"/>
    </row>
    <row r="597" spans="23:23">
      <c r="W597"/>
    </row>
    <row r="598" spans="23:23">
      <c r="W598"/>
    </row>
    <row r="599" spans="23:23">
      <c r="W599"/>
    </row>
    <row r="600" spans="23:23">
      <c r="W600"/>
    </row>
    <row r="601" spans="23:23">
      <c r="W601"/>
    </row>
    <row r="602" spans="23:23">
      <c r="W602"/>
    </row>
    <row r="603" spans="23:23">
      <c r="W603"/>
    </row>
    <row r="604" spans="23:23">
      <c r="W604"/>
    </row>
    <row r="605" spans="23:23">
      <c r="W605"/>
    </row>
    <row r="606" spans="23:23">
      <c r="W606"/>
    </row>
    <row r="607" spans="23:23">
      <c r="W607"/>
    </row>
    <row r="608" spans="23:23">
      <c r="W608"/>
    </row>
    <row r="609" spans="23:23">
      <c r="W609"/>
    </row>
    <row r="610" spans="23:23">
      <c r="W610"/>
    </row>
    <row r="611" spans="23:23">
      <c r="W611"/>
    </row>
    <row r="612" spans="23:23">
      <c r="W612"/>
    </row>
    <row r="613" spans="23:23">
      <c r="W613"/>
    </row>
    <row r="614" spans="23:23">
      <c r="W614"/>
    </row>
    <row r="615" spans="23:23">
      <c r="W615"/>
    </row>
    <row r="616" spans="23:23">
      <c r="W616"/>
    </row>
    <row r="617" spans="23:23">
      <c r="W617"/>
    </row>
    <row r="618" spans="23:23">
      <c r="W618"/>
    </row>
    <row r="619" spans="23:23">
      <c r="W619"/>
    </row>
    <row r="620" spans="23:23">
      <c r="W620"/>
    </row>
    <row r="621" spans="23:23">
      <c r="W621"/>
    </row>
    <row r="622" spans="23:23">
      <c r="W622"/>
    </row>
    <row r="623" spans="23:23">
      <c r="W623"/>
    </row>
    <row r="624" spans="23:23">
      <c r="W624"/>
    </row>
    <row r="625" spans="23:23">
      <c r="W625"/>
    </row>
    <row r="626" spans="23:23">
      <c r="W626"/>
    </row>
    <row r="627" spans="23:23">
      <c r="W627"/>
    </row>
    <row r="628" spans="23:23">
      <c r="W628"/>
    </row>
    <row r="629" spans="23:23">
      <c r="W629"/>
    </row>
    <row r="630" spans="23:23">
      <c r="W630"/>
    </row>
    <row r="631" spans="23:23">
      <c r="W631"/>
    </row>
    <row r="632" spans="23:23">
      <c r="W632"/>
    </row>
    <row r="633" spans="23:23">
      <c r="W633"/>
    </row>
    <row r="634" spans="23:23">
      <c r="W634"/>
    </row>
    <row r="635" spans="23:23">
      <c r="W635"/>
    </row>
    <row r="636" spans="23:23">
      <c r="W636"/>
    </row>
    <row r="637" spans="23:23">
      <c r="W637"/>
    </row>
    <row r="638" spans="23:23">
      <c r="W638"/>
    </row>
    <row r="639" spans="23:23">
      <c r="W639"/>
    </row>
    <row r="640" spans="23:23">
      <c r="W640"/>
    </row>
    <row r="641" spans="23:23">
      <c r="W641"/>
    </row>
    <row r="642" spans="23:23">
      <c r="W642"/>
    </row>
    <row r="643" spans="23:23">
      <c r="W643"/>
    </row>
    <row r="644" spans="23:23">
      <c r="W644"/>
    </row>
    <row r="645" spans="23:23">
      <c r="W645"/>
    </row>
    <row r="646" spans="23:23">
      <c r="W646"/>
    </row>
    <row r="647" spans="23:23">
      <c r="W647"/>
    </row>
    <row r="648" spans="23:23">
      <c r="W648"/>
    </row>
    <row r="649" spans="23:23">
      <c r="W649"/>
    </row>
    <row r="650" spans="23:23">
      <c r="W650"/>
    </row>
    <row r="651" spans="23:23">
      <c r="W651"/>
    </row>
    <row r="652" spans="23:23">
      <c r="W652"/>
    </row>
    <row r="653" spans="23:23">
      <c r="W653"/>
    </row>
    <row r="654" spans="23:23">
      <c r="W654"/>
    </row>
    <row r="655" spans="23:23">
      <c r="W655"/>
    </row>
    <row r="656" spans="23:23">
      <c r="W656"/>
    </row>
    <row r="657" spans="23:23">
      <c r="W657"/>
    </row>
    <row r="658" spans="23:23">
      <c r="W658"/>
    </row>
    <row r="659" spans="23:23">
      <c r="W659"/>
    </row>
    <row r="660" spans="23:23">
      <c r="W660"/>
    </row>
    <row r="661" spans="23:23">
      <c r="W661"/>
    </row>
    <row r="662" spans="23:23">
      <c r="W662"/>
    </row>
    <row r="663" spans="23:23">
      <c r="W663"/>
    </row>
    <row r="664" spans="23:23">
      <c r="W664"/>
    </row>
    <row r="665" spans="23:23">
      <c r="W665"/>
    </row>
    <row r="666" spans="23:23">
      <c r="W666"/>
    </row>
    <row r="667" spans="23:23">
      <c r="W667"/>
    </row>
    <row r="668" spans="23:23">
      <c r="W668"/>
    </row>
    <row r="669" spans="23:23">
      <c r="W669"/>
    </row>
    <row r="670" spans="23:23">
      <c r="W670"/>
    </row>
    <row r="671" spans="23:23">
      <c r="W671"/>
    </row>
    <row r="672" spans="23:23">
      <c r="W672"/>
    </row>
    <row r="673" spans="23:23">
      <c r="W673"/>
    </row>
    <row r="674" spans="23:23">
      <c r="W674"/>
    </row>
    <row r="675" spans="23:23">
      <c r="W675"/>
    </row>
    <row r="676" spans="23:23">
      <c r="W676"/>
    </row>
    <row r="677" spans="23:23">
      <c r="W677"/>
    </row>
    <row r="678" spans="23:23">
      <c r="W678"/>
    </row>
    <row r="679" spans="23:23">
      <c r="W679"/>
    </row>
    <row r="680" spans="23:23">
      <c r="W680"/>
    </row>
    <row r="681" spans="23:23">
      <c r="W681"/>
    </row>
    <row r="682" spans="23:23">
      <c r="W682"/>
    </row>
    <row r="683" spans="23:23">
      <c r="W683"/>
    </row>
    <row r="684" spans="23:23">
      <c r="W684"/>
    </row>
    <row r="685" spans="23:23">
      <c r="W685"/>
    </row>
    <row r="686" spans="23:23">
      <c r="W686"/>
    </row>
    <row r="687" spans="23:23">
      <c r="W687"/>
    </row>
    <row r="688" spans="23:23">
      <c r="W688"/>
    </row>
    <row r="689" spans="23:23">
      <c r="W689"/>
    </row>
    <row r="690" spans="23:23">
      <c r="W690"/>
    </row>
    <row r="691" spans="23:23">
      <c r="W691"/>
    </row>
    <row r="692" spans="23:23">
      <c r="W692"/>
    </row>
    <row r="693" spans="23:23">
      <c r="W693"/>
    </row>
    <row r="694" spans="23:23">
      <c r="W694"/>
    </row>
    <row r="695" spans="23:23">
      <c r="W695"/>
    </row>
    <row r="696" spans="23:23">
      <c r="W696"/>
    </row>
    <row r="697" spans="23:23">
      <c r="W697"/>
    </row>
    <row r="698" spans="23:23">
      <c r="W698"/>
    </row>
    <row r="699" spans="23:23">
      <c r="W699"/>
    </row>
    <row r="700" spans="23:23">
      <c r="W700"/>
    </row>
    <row r="701" spans="23:23">
      <c r="W701"/>
    </row>
    <row r="702" spans="23:23">
      <c r="W702"/>
    </row>
    <row r="703" spans="23:23">
      <c r="W703"/>
    </row>
    <row r="704" spans="23:23">
      <c r="W704"/>
    </row>
    <row r="705" spans="23:23">
      <c r="W705"/>
    </row>
    <row r="706" spans="23:23">
      <c r="W706"/>
    </row>
    <row r="707" spans="23:23">
      <c r="W707"/>
    </row>
    <row r="708" spans="23:23">
      <c r="W708"/>
    </row>
    <row r="709" spans="23:23">
      <c r="W709"/>
    </row>
    <row r="710" spans="23:23">
      <c r="W710"/>
    </row>
    <row r="711" spans="23:23">
      <c r="W711"/>
    </row>
    <row r="712" spans="23:23">
      <c r="W712"/>
    </row>
    <row r="713" spans="23:23">
      <c r="W713"/>
    </row>
    <row r="714" spans="23:23">
      <c r="W714"/>
    </row>
    <row r="715" spans="23:23">
      <c r="W715"/>
    </row>
    <row r="716" spans="23:23">
      <c r="W716"/>
    </row>
    <row r="717" spans="23:23">
      <c r="W717"/>
    </row>
    <row r="718" spans="23:23">
      <c r="W718"/>
    </row>
    <row r="719" spans="23:23">
      <c r="W719"/>
    </row>
    <row r="720" spans="23:23">
      <c r="W720"/>
    </row>
    <row r="721" spans="23:23">
      <c r="W721"/>
    </row>
    <row r="722" spans="23:23">
      <c r="W722"/>
    </row>
    <row r="723" spans="23:23">
      <c r="W723"/>
    </row>
    <row r="724" spans="23:23">
      <c r="W724"/>
    </row>
    <row r="725" spans="23:23">
      <c r="W725"/>
    </row>
    <row r="726" spans="23:23">
      <c r="W726"/>
    </row>
    <row r="727" spans="23:23">
      <c r="W727"/>
    </row>
    <row r="728" spans="23:23">
      <c r="W728"/>
    </row>
    <row r="729" spans="23:23">
      <c r="W729"/>
    </row>
    <row r="730" spans="23:23">
      <c r="W730"/>
    </row>
    <row r="731" spans="23:23">
      <c r="W731"/>
    </row>
    <row r="732" spans="23:23">
      <c r="W732"/>
    </row>
    <row r="733" spans="23:23">
      <c r="W733"/>
    </row>
    <row r="734" spans="23:23">
      <c r="W734"/>
    </row>
    <row r="735" spans="23:23">
      <c r="W735"/>
    </row>
    <row r="736" spans="23:23">
      <c r="W736"/>
    </row>
    <row r="737" spans="23:23">
      <c r="W737"/>
    </row>
    <row r="738" spans="23:23">
      <c r="W738"/>
    </row>
    <row r="739" spans="23:23">
      <c r="W739"/>
    </row>
    <row r="740" spans="23:23">
      <c r="W740"/>
    </row>
    <row r="741" spans="23:23">
      <c r="W741"/>
    </row>
    <row r="742" spans="23:23">
      <c r="W742"/>
    </row>
    <row r="743" spans="23:23">
      <c r="W743"/>
    </row>
    <row r="744" spans="23:23">
      <c r="W744"/>
    </row>
    <row r="745" spans="23:23">
      <c r="W745"/>
    </row>
    <row r="746" spans="23:23">
      <c r="W746"/>
    </row>
    <row r="747" spans="23:23">
      <c r="W747"/>
    </row>
    <row r="748" spans="23:23">
      <c r="W748"/>
    </row>
    <row r="749" spans="23:23">
      <c r="W749"/>
    </row>
    <row r="750" spans="23:23">
      <c r="W750"/>
    </row>
    <row r="751" spans="23:23">
      <c r="W751"/>
    </row>
    <row r="752" spans="23:23">
      <c r="W752"/>
    </row>
    <row r="753" spans="23:23">
      <c r="W753"/>
    </row>
    <row r="754" spans="23:23">
      <c r="W754"/>
    </row>
    <row r="755" spans="23:23">
      <c r="W755"/>
    </row>
    <row r="756" spans="23:23">
      <c r="W756"/>
    </row>
    <row r="757" spans="23:23">
      <c r="W757"/>
    </row>
    <row r="758" spans="23:23">
      <c r="W758"/>
    </row>
    <row r="759" spans="23:23">
      <c r="W759"/>
    </row>
    <row r="760" spans="23:23">
      <c r="W760"/>
    </row>
    <row r="761" spans="23:23">
      <c r="W761"/>
    </row>
    <row r="762" spans="23:23">
      <c r="W762"/>
    </row>
    <row r="763" spans="23:23">
      <c r="W763"/>
    </row>
    <row r="764" spans="23:23">
      <c r="W764"/>
    </row>
    <row r="765" spans="23:23">
      <c r="W765"/>
    </row>
    <row r="766" spans="23:23">
      <c r="W766"/>
    </row>
    <row r="767" spans="23:23">
      <c r="W767"/>
    </row>
    <row r="768" spans="23:23">
      <c r="W768"/>
    </row>
    <row r="769" spans="23:23">
      <c r="W769"/>
    </row>
    <row r="770" spans="23:23">
      <c r="W770"/>
    </row>
    <row r="771" spans="23:23">
      <c r="W771"/>
    </row>
    <row r="772" spans="23:23">
      <c r="W772"/>
    </row>
    <row r="773" spans="23:23">
      <c r="W773"/>
    </row>
    <row r="774" spans="23:23">
      <c r="W774"/>
    </row>
    <row r="775" spans="23:23">
      <c r="W775"/>
    </row>
    <row r="776" spans="23:23">
      <c r="W776"/>
    </row>
    <row r="777" spans="23:23">
      <c r="W777"/>
    </row>
    <row r="778" spans="23:23">
      <c r="W778"/>
    </row>
    <row r="779" spans="23:23">
      <c r="W779"/>
    </row>
    <row r="780" spans="23:23">
      <c r="W780"/>
    </row>
    <row r="781" spans="23:23">
      <c r="W781"/>
    </row>
    <row r="782" spans="23:23">
      <c r="W782"/>
    </row>
    <row r="783" spans="23:23">
      <c r="W783"/>
    </row>
    <row r="784" spans="23:23">
      <c r="W784"/>
    </row>
    <row r="785" spans="23:23">
      <c r="W785"/>
    </row>
    <row r="786" spans="23:23">
      <c r="W786"/>
    </row>
    <row r="787" spans="23:23">
      <c r="W787"/>
    </row>
    <row r="788" spans="23:23">
      <c r="W788"/>
    </row>
    <row r="789" spans="23:23">
      <c r="W789"/>
    </row>
    <row r="790" spans="23:23">
      <c r="W790"/>
    </row>
    <row r="791" spans="23:23">
      <c r="W791"/>
    </row>
    <row r="792" spans="23:23">
      <c r="W792"/>
    </row>
    <row r="793" spans="23:23">
      <c r="W793"/>
    </row>
    <row r="794" spans="23:23">
      <c r="W794"/>
    </row>
    <row r="795" spans="23:23">
      <c r="W795"/>
    </row>
    <row r="796" spans="23:23">
      <c r="W796"/>
    </row>
    <row r="797" spans="23:23">
      <c r="W797"/>
    </row>
    <row r="798" spans="23:23">
      <c r="W798"/>
    </row>
    <row r="799" spans="23:23">
      <c r="W799"/>
    </row>
    <row r="800" spans="23:23">
      <c r="W800"/>
    </row>
    <row r="801" spans="23:23">
      <c r="W801"/>
    </row>
    <row r="802" spans="23:23">
      <c r="W802"/>
    </row>
    <row r="803" spans="23:23">
      <c r="W803"/>
    </row>
    <row r="804" spans="23:23">
      <c r="W804"/>
    </row>
    <row r="805" spans="23:23">
      <c r="W805"/>
    </row>
    <row r="806" spans="23:23">
      <c r="W806"/>
    </row>
    <row r="807" spans="23:23">
      <c r="W807"/>
    </row>
    <row r="808" spans="23:23">
      <c r="W808"/>
    </row>
    <row r="809" spans="23:23">
      <c r="W809"/>
    </row>
    <row r="810" spans="23:23">
      <c r="W810"/>
    </row>
    <row r="811" spans="23:23">
      <c r="W811"/>
    </row>
    <row r="812" spans="23:23">
      <c r="W812"/>
    </row>
    <row r="813" spans="23:23">
      <c r="W813"/>
    </row>
    <row r="814" spans="23:23">
      <c r="W814"/>
    </row>
    <row r="815" spans="23:23">
      <c r="W815"/>
    </row>
    <row r="816" spans="23:23">
      <c r="W816"/>
    </row>
    <row r="817" spans="23:23">
      <c r="W817"/>
    </row>
    <row r="818" spans="23:23">
      <c r="W818"/>
    </row>
    <row r="819" spans="23:23">
      <c r="W819"/>
    </row>
    <row r="820" spans="23:23">
      <c r="W820"/>
    </row>
    <row r="821" spans="23:23">
      <c r="W821"/>
    </row>
    <row r="822" spans="23:23">
      <c r="W822"/>
    </row>
    <row r="823" spans="23:23">
      <c r="W823"/>
    </row>
    <row r="824" spans="23:23">
      <c r="W824"/>
    </row>
    <row r="825" spans="23:23">
      <c r="W825"/>
    </row>
    <row r="826" spans="23:23">
      <c r="W826"/>
    </row>
    <row r="827" spans="23:23">
      <c r="W827"/>
    </row>
    <row r="828" spans="23:23">
      <c r="W828"/>
    </row>
    <row r="829" spans="23:23">
      <c r="W829"/>
    </row>
    <row r="830" spans="23:23">
      <c r="W830"/>
    </row>
    <row r="831" spans="23:23">
      <c r="W831"/>
    </row>
    <row r="832" spans="23:23">
      <c r="W832"/>
    </row>
    <row r="833" spans="23:23">
      <c r="W833"/>
    </row>
    <row r="834" spans="23:23">
      <c r="W834"/>
    </row>
    <row r="835" spans="23:23">
      <c r="W835"/>
    </row>
    <row r="836" spans="23:23">
      <c r="W836"/>
    </row>
    <row r="837" spans="23:23">
      <c r="W837"/>
    </row>
    <row r="838" spans="23:23">
      <c r="W838"/>
    </row>
    <row r="839" spans="23:23">
      <c r="W839"/>
    </row>
    <row r="840" spans="23:23">
      <c r="W840"/>
    </row>
    <row r="841" spans="23:23">
      <c r="W841"/>
    </row>
    <row r="842" spans="23:23">
      <c r="W842"/>
    </row>
    <row r="843" spans="23:23">
      <c r="W843"/>
    </row>
    <row r="844" spans="23:23">
      <c r="W844"/>
    </row>
    <row r="845" spans="23:23">
      <c r="W845"/>
    </row>
    <row r="846" spans="23:23">
      <c r="W846"/>
    </row>
    <row r="847" spans="23:23">
      <c r="W847"/>
    </row>
    <row r="848" spans="23:23">
      <c r="W848"/>
    </row>
    <row r="849" spans="23:23">
      <c r="W849"/>
    </row>
    <row r="850" spans="23:23">
      <c r="W850"/>
    </row>
    <row r="851" spans="23:23">
      <c r="W851"/>
    </row>
    <row r="852" spans="23:23">
      <c r="W852"/>
    </row>
    <row r="853" spans="23:23">
      <c r="W853"/>
    </row>
    <row r="854" spans="23:23">
      <c r="W854"/>
    </row>
    <row r="855" spans="23:23">
      <c r="W855"/>
    </row>
    <row r="856" spans="23:23">
      <c r="W856"/>
    </row>
    <row r="857" spans="23:23">
      <c r="W857"/>
    </row>
    <row r="858" spans="23:23">
      <c r="W858"/>
    </row>
    <row r="859" spans="23:23">
      <c r="W859"/>
    </row>
    <row r="860" spans="23:23">
      <c r="W860"/>
    </row>
    <row r="861" spans="23:23">
      <c r="W861"/>
    </row>
    <row r="862" spans="23:23">
      <c r="W862"/>
    </row>
    <row r="863" spans="23:23">
      <c r="W863"/>
    </row>
    <row r="864" spans="23:23">
      <c r="W864"/>
    </row>
    <row r="865" spans="23:23">
      <c r="W865"/>
    </row>
    <row r="866" spans="23:23">
      <c r="W866"/>
    </row>
    <row r="867" spans="23:23">
      <c r="W867"/>
    </row>
    <row r="868" spans="23:23">
      <c r="W868"/>
    </row>
    <row r="869" spans="23:23">
      <c r="W869"/>
    </row>
    <row r="870" spans="23:23">
      <c r="W870"/>
    </row>
    <row r="871" spans="23:23">
      <c r="W871"/>
    </row>
    <row r="872" spans="23:23">
      <c r="W872"/>
    </row>
    <row r="873" spans="23:23">
      <c r="W873"/>
    </row>
    <row r="874" spans="23:23">
      <c r="W874"/>
    </row>
    <row r="875" spans="23:23">
      <c r="W875"/>
    </row>
    <row r="876" spans="23:23">
      <c r="W876"/>
    </row>
    <row r="877" spans="23:23">
      <c r="W877"/>
    </row>
    <row r="878" spans="23:23">
      <c r="W878"/>
    </row>
    <row r="879" spans="23:23">
      <c r="W879"/>
    </row>
    <row r="880" spans="23:23">
      <c r="W880"/>
    </row>
    <row r="881" spans="23:23">
      <c r="W881"/>
    </row>
    <row r="882" spans="23:23">
      <c r="W882"/>
    </row>
    <row r="883" spans="23:23">
      <c r="W883"/>
    </row>
    <row r="884" spans="23:23">
      <c r="W884"/>
    </row>
    <row r="885" spans="23:23">
      <c r="W885"/>
    </row>
    <row r="886" spans="23:23">
      <c r="W886"/>
    </row>
    <row r="887" spans="23:23">
      <c r="W887"/>
    </row>
    <row r="888" spans="23:23">
      <c r="W888"/>
    </row>
    <row r="889" spans="23:23">
      <c r="W889"/>
    </row>
    <row r="890" spans="23:23">
      <c r="W890"/>
    </row>
    <row r="891" spans="23:23">
      <c r="W891"/>
    </row>
    <row r="892" spans="23:23">
      <c r="W892"/>
    </row>
    <row r="893" spans="23:23">
      <c r="W893"/>
    </row>
    <row r="894" spans="23:23">
      <c r="W894"/>
    </row>
    <row r="895" spans="23:23">
      <c r="W895"/>
    </row>
    <row r="896" spans="23:23">
      <c r="W896"/>
    </row>
    <row r="897" spans="23:23">
      <c r="W897"/>
    </row>
    <row r="898" spans="23:23">
      <c r="W898"/>
    </row>
    <row r="899" spans="23:23">
      <c r="W899"/>
    </row>
    <row r="900" spans="23:23">
      <c r="W900"/>
    </row>
    <row r="901" spans="23:23">
      <c r="W901"/>
    </row>
    <row r="902" spans="23:23">
      <c r="W902"/>
    </row>
    <row r="903" spans="23:23">
      <c r="W903"/>
    </row>
    <row r="904" spans="23:23">
      <c r="W904"/>
    </row>
    <row r="905" spans="23:23">
      <c r="W905"/>
    </row>
    <row r="906" spans="23:23">
      <c r="W906"/>
    </row>
    <row r="907" spans="23:23">
      <c r="W907"/>
    </row>
    <row r="908" spans="23:23">
      <c r="W908"/>
    </row>
    <row r="909" spans="23:23">
      <c r="W909"/>
    </row>
    <row r="910" spans="23:23">
      <c r="W910"/>
    </row>
    <row r="911" spans="23:23">
      <c r="W911"/>
    </row>
    <row r="912" spans="23:23">
      <c r="W912"/>
    </row>
    <row r="913" spans="23:23">
      <c r="W913"/>
    </row>
    <row r="914" spans="23:23">
      <c r="W914"/>
    </row>
    <row r="915" spans="23:23">
      <c r="W915"/>
    </row>
    <row r="916" spans="23:23">
      <c r="W916"/>
    </row>
    <row r="917" spans="23:23">
      <c r="W917"/>
    </row>
    <row r="918" spans="23:23">
      <c r="W918"/>
    </row>
    <row r="919" spans="23:23">
      <c r="W919"/>
    </row>
    <row r="920" spans="23:23">
      <c r="W920"/>
    </row>
    <row r="921" spans="23:23">
      <c r="W921"/>
    </row>
    <row r="922" spans="23:23">
      <c r="W922"/>
    </row>
    <row r="923" spans="23:23">
      <c r="W923"/>
    </row>
    <row r="924" spans="23:23">
      <c r="W924"/>
    </row>
    <row r="925" spans="23:23">
      <c r="W925"/>
    </row>
    <row r="926" spans="23:23">
      <c r="W926"/>
    </row>
    <row r="927" spans="23:23">
      <c r="W927"/>
    </row>
    <row r="928" spans="23:23">
      <c r="W928"/>
    </row>
    <row r="929" spans="23:23">
      <c r="W929"/>
    </row>
    <row r="930" spans="23:23">
      <c r="W930"/>
    </row>
    <row r="931" spans="23:23">
      <c r="W931"/>
    </row>
    <row r="932" spans="23:23">
      <c r="W932"/>
    </row>
    <row r="933" spans="23:23">
      <c r="W933"/>
    </row>
    <row r="934" spans="23:23">
      <c r="W934"/>
    </row>
    <row r="935" spans="23:23">
      <c r="W935"/>
    </row>
    <row r="936" spans="23:23">
      <c r="W936"/>
    </row>
    <row r="937" spans="23:23">
      <c r="W937"/>
    </row>
    <row r="938" spans="23:23">
      <c r="W938"/>
    </row>
    <row r="939" spans="23:23">
      <c r="W939"/>
    </row>
    <row r="940" spans="23:23">
      <c r="W940"/>
    </row>
    <row r="941" spans="23:23">
      <c r="W941"/>
    </row>
    <row r="942" spans="23:23">
      <c r="W942"/>
    </row>
    <row r="943" spans="23:23">
      <c r="W943"/>
    </row>
    <row r="944" spans="23:23">
      <c r="W944"/>
    </row>
    <row r="945" spans="23:23">
      <c r="W945"/>
    </row>
    <row r="946" spans="23:23">
      <c r="W946"/>
    </row>
    <row r="947" spans="23:23">
      <c r="W947"/>
    </row>
    <row r="948" spans="23:23">
      <c r="W948"/>
    </row>
    <row r="949" spans="23:23">
      <c r="W949"/>
    </row>
    <row r="950" spans="23:23">
      <c r="W950"/>
    </row>
    <row r="951" spans="23:23">
      <c r="W951"/>
    </row>
    <row r="952" spans="23:23">
      <c r="W952"/>
    </row>
    <row r="953" spans="23:23">
      <c r="W953"/>
    </row>
    <row r="954" spans="23:23">
      <c r="W954"/>
    </row>
    <row r="955" spans="23:23">
      <c r="W955"/>
    </row>
    <row r="956" spans="23:23">
      <c r="W956"/>
    </row>
    <row r="957" spans="23:23">
      <c r="W957"/>
    </row>
    <row r="958" spans="23:23">
      <c r="W958"/>
    </row>
    <row r="959" spans="23:23">
      <c r="W959"/>
    </row>
    <row r="960" spans="23:23">
      <c r="W960"/>
    </row>
    <row r="961" spans="23:23">
      <c r="W961"/>
    </row>
    <row r="962" spans="23:23">
      <c r="W962"/>
    </row>
    <row r="963" spans="23:23">
      <c r="W963"/>
    </row>
    <row r="964" spans="23:23">
      <c r="W964"/>
    </row>
    <row r="965" spans="23:23">
      <c r="W965"/>
    </row>
    <row r="966" spans="23:23">
      <c r="W966"/>
    </row>
    <row r="967" spans="23:23">
      <c r="W967"/>
    </row>
    <row r="968" spans="23:23">
      <c r="W968"/>
    </row>
    <row r="969" spans="23:23">
      <c r="W969"/>
    </row>
    <row r="970" spans="23:23">
      <c r="W970"/>
    </row>
    <row r="971" spans="23:23">
      <c r="W971"/>
    </row>
    <row r="972" spans="23:23">
      <c r="W972"/>
    </row>
    <row r="973" spans="23:23">
      <c r="W973"/>
    </row>
    <row r="974" spans="23:23">
      <c r="W974"/>
    </row>
    <row r="975" spans="23:23">
      <c r="W975"/>
    </row>
    <row r="976" spans="23:23">
      <c r="W976"/>
    </row>
    <row r="977" spans="23:23">
      <c r="W977"/>
    </row>
    <row r="978" spans="23:23">
      <c r="W978"/>
    </row>
    <row r="979" spans="23:23">
      <c r="W979"/>
    </row>
    <row r="980" spans="23:23">
      <c r="W980"/>
    </row>
    <row r="981" spans="23:23">
      <c r="W981"/>
    </row>
    <row r="982" spans="23:23">
      <c r="W982"/>
    </row>
    <row r="983" spans="23:23">
      <c r="W983"/>
    </row>
    <row r="984" spans="23:23">
      <c r="W984"/>
    </row>
    <row r="985" spans="23:23">
      <c r="W985"/>
    </row>
    <row r="986" spans="23:23">
      <c r="W986"/>
    </row>
    <row r="987" spans="23:23">
      <c r="W987"/>
    </row>
    <row r="988" spans="23:23">
      <c r="W988"/>
    </row>
    <row r="989" spans="23:23">
      <c r="W989"/>
    </row>
    <row r="990" spans="23:23">
      <c r="W990"/>
    </row>
    <row r="991" spans="23:23">
      <c r="W991"/>
    </row>
    <row r="992" spans="23:23">
      <c r="W992"/>
    </row>
    <row r="993" spans="23:23">
      <c r="W993"/>
    </row>
    <row r="994" spans="23:23">
      <c r="W994"/>
    </row>
    <row r="995" spans="23:23">
      <c r="W995"/>
    </row>
    <row r="996" spans="23:23">
      <c r="W996"/>
    </row>
    <row r="997" spans="23:23">
      <c r="W997"/>
    </row>
    <row r="998" spans="23:23">
      <c r="W998"/>
    </row>
    <row r="999" spans="23:23">
      <c r="W999"/>
    </row>
    <row r="1000" spans="23:23">
      <c r="W1000"/>
    </row>
    <row r="1001" spans="23:23">
      <c r="W1001"/>
    </row>
    <row r="1002" spans="23:23">
      <c r="W1002"/>
    </row>
    <row r="1003" spans="23:23">
      <c r="W1003"/>
    </row>
    <row r="1004" spans="23:23">
      <c r="W1004"/>
    </row>
    <row r="1005" spans="23:23">
      <c r="W1005"/>
    </row>
    <row r="1006" spans="23:23">
      <c r="W1006"/>
    </row>
    <row r="1007" spans="23:23">
      <c r="W1007"/>
    </row>
    <row r="1008" spans="23:23">
      <c r="W1008"/>
    </row>
    <row r="1009" spans="23:23">
      <c r="W1009"/>
    </row>
    <row r="1010" spans="23:23">
      <c r="W1010"/>
    </row>
    <row r="1011" spans="23:23">
      <c r="W1011"/>
    </row>
    <row r="1012" spans="23:23">
      <c r="W1012"/>
    </row>
    <row r="1013" spans="23:23">
      <c r="W1013"/>
    </row>
    <row r="1014" spans="23:23">
      <c r="W1014"/>
    </row>
    <row r="1015" spans="23:23">
      <c r="W1015"/>
    </row>
    <row r="1016" spans="23:23">
      <c r="W1016"/>
    </row>
    <row r="1017" spans="23:23">
      <c r="W1017"/>
    </row>
    <row r="1018" spans="23:23">
      <c r="W1018"/>
    </row>
    <row r="1019" spans="23:23">
      <c r="W1019"/>
    </row>
    <row r="1020" spans="23:23">
      <c r="W1020"/>
    </row>
    <row r="1021" spans="23:23">
      <c r="W1021"/>
    </row>
    <row r="1022" spans="23:23">
      <c r="W1022"/>
    </row>
    <row r="1023" spans="23:23">
      <c r="W1023"/>
    </row>
    <row r="1024" spans="23:23">
      <c r="W1024"/>
    </row>
    <row r="1025" spans="23:23">
      <c r="W1025"/>
    </row>
    <row r="1026" spans="23:23">
      <c r="W1026"/>
    </row>
    <row r="1027" spans="23:23">
      <c r="W1027"/>
    </row>
    <row r="1028" spans="23:23">
      <c r="W1028"/>
    </row>
    <row r="1029" spans="23:23">
      <c r="W1029"/>
    </row>
    <row r="1030" spans="23:23">
      <c r="W1030"/>
    </row>
    <row r="1031" spans="23:23">
      <c r="W1031"/>
    </row>
    <row r="1032" spans="23:23">
      <c r="W1032"/>
    </row>
    <row r="1033" spans="23:23">
      <c r="W1033"/>
    </row>
    <row r="1034" spans="23:23">
      <c r="W1034"/>
    </row>
    <row r="1035" spans="23:23">
      <c r="W1035"/>
    </row>
    <row r="1036" spans="23:23">
      <c r="W1036"/>
    </row>
    <row r="1037" spans="23:23">
      <c r="W1037"/>
    </row>
    <row r="1038" spans="23:23">
      <c r="W1038"/>
    </row>
    <row r="1039" spans="23:23">
      <c r="W1039"/>
    </row>
    <row r="1040" spans="23:23">
      <c r="W1040"/>
    </row>
    <row r="1041" spans="23:23">
      <c r="W1041"/>
    </row>
    <row r="1042" spans="23:23">
      <c r="W1042"/>
    </row>
    <row r="1043" spans="23:23">
      <c r="W1043"/>
    </row>
    <row r="1044" spans="23:23">
      <c r="W1044"/>
    </row>
    <row r="1045" spans="23:23">
      <c r="W1045"/>
    </row>
    <row r="1046" spans="23:23">
      <c r="W1046"/>
    </row>
    <row r="1047" spans="23:23">
      <c r="W1047"/>
    </row>
    <row r="1048" spans="23:23">
      <c r="W1048"/>
    </row>
    <row r="1049" spans="23:23">
      <c r="W1049"/>
    </row>
    <row r="1050" spans="23:23">
      <c r="W1050"/>
    </row>
    <row r="1051" spans="23:23">
      <c r="W1051"/>
    </row>
    <row r="1052" spans="23:23">
      <c r="W1052"/>
    </row>
    <row r="1053" spans="23:23">
      <c r="W1053"/>
    </row>
    <row r="1054" spans="23:23">
      <c r="W1054"/>
    </row>
    <row r="1055" spans="23:23">
      <c r="W1055"/>
    </row>
    <row r="1056" spans="23:23">
      <c r="W1056"/>
    </row>
    <row r="1057" spans="23:23">
      <c r="W1057"/>
    </row>
    <row r="1058" spans="23:23">
      <c r="W1058"/>
    </row>
    <row r="1059" spans="23:23">
      <c r="W1059"/>
    </row>
    <row r="1060" spans="23:23">
      <c r="W1060"/>
    </row>
    <row r="1061" spans="23:23">
      <c r="W1061"/>
    </row>
    <row r="1062" spans="23:23">
      <c r="W1062"/>
    </row>
    <row r="1063" spans="23:23">
      <c r="W1063"/>
    </row>
    <row r="1064" spans="23:23">
      <c r="W1064"/>
    </row>
    <row r="1065" spans="23:23">
      <c r="W1065"/>
    </row>
    <row r="1066" spans="23:23">
      <c r="W1066"/>
    </row>
    <row r="1067" spans="23:23">
      <c r="W1067"/>
    </row>
    <row r="1068" spans="23:23">
      <c r="W1068"/>
    </row>
    <row r="1069" spans="23:23">
      <c r="W1069"/>
    </row>
    <row r="1070" spans="23:23">
      <c r="W1070"/>
    </row>
    <row r="1071" spans="23:23">
      <c r="W1071"/>
    </row>
    <row r="1072" spans="23:23">
      <c r="W1072"/>
    </row>
    <row r="1073" spans="23:23">
      <c r="W1073"/>
    </row>
    <row r="1074" spans="23:23">
      <c r="W1074"/>
    </row>
    <row r="1075" spans="23:23">
      <c r="W1075"/>
    </row>
    <row r="1076" spans="23:23">
      <c r="W1076"/>
    </row>
    <row r="1077" spans="23:23">
      <c r="W1077"/>
    </row>
    <row r="1078" spans="23:23">
      <c r="W1078"/>
    </row>
    <row r="1079" spans="23:23">
      <c r="W1079"/>
    </row>
    <row r="1080" spans="23:23">
      <c r="W1080"/>
    </row>
    <row r="1081" spans="23:23">
      <c r="W1081"/>
    </row>
    <row r="1082" spans="23:23">
      <c r="W1082"/>
    </row>
    <row r="1083" spans="23:23">
      <c r="W1083"/>
    </row>
    <row r="1084" spans="23:23">
      <c r="W1084"/>
    </row>
    <row r="1085" spans="23:23">
      <c r="W1085"/>
    </row>
    <row r="1086" spans="23:23">
      <c r="W1086"/>
    </row>
    <row r="1087" spans="23:23">
      <c r="W1087"/>
    </row>
    <row r="1088" spans="23:23">
      <c r="W1088"/>
    </row>
    <row r="1089" spans="23:23">
      <c r="W1089"/>
    </row>
    <row r="1090" spans="23:23">
      <c r="W1090"/>
    </row>
    <row r="1091" spans="23:23">
      <c r="W1091"/>
    </row>
    <row r="1092" spans="23:23">
      <c r="W1092"/>
    </row>
    <row r="1093" spans="23:23">
      <c r="W1093"/>
    </row>
    <row r="1094" spans="23:23">
      <c r="W1094"/>
    </row>
    <row r="1095" spans="23:23">
      <c r="W1095"/>
    </row>
    <row r="1096" spans="23:23">
      <c r="W1096"/>
    </row>
    <row r="1097" spans="23:23">
      <c r="W1097"/>
    </row>
    <row r="1098" spans="23:23">
      <c r="W1098"/>
    </row>
    <row r="1099" spans="23:23">
      <c r="W1099"/>
    </row>
    <row r="1100" spans="23:23">
      <c r="W1100"/>
    </row>
    <row r="1101" spans="23:23">
      <c r="W1101"/>
    </row>
    <row r="1102" spans="23:23">
      <c r="W1102"/>
    </row>
    <row r="1103" spans="23:23">
      <c r="W1103"/>
    </row>
    <row r="1104" spans="23:23">
      <c r="W1104"/>
    </row>
    <row r="1105" spans="23:23">
      <c r="W1105"/>
    </row>
    <row r="1106" spans="23:23">
      <c r="W1106"/>
    </row>
    <row r="1107" spans="23:23">
      <c r="W1107"/>
    </row>
    <row r="1108" spans="23:23">
      <c r="W1108"/>
    </row>
    <row r="1109" spans="23:23">
      <c r="W1109"/>
    </row>
    <row r="1110" spans="23:23">
      <c r="W1110"/>
    </row>
    <row r="1111" spans="23:23">
      <c r="W1111"/>
    </row>
    <row r="1112" spans="23:23">
      <c r="W1112"/>
    </row>
    <row r="1113" spans="23:23">
      <c r="W1113"/>
    </row>
    <row r="1114" spans="23:23">
      <c r="W1114"/>
    </row>
    <row r="1115" spans="23:23">
      <c r="W1115"/>
    </row>
    <row r="1116" spans="23:23">
      <c r="W1116"/>
    </row>
    <row r="1117" spans="23:23">
      <c r="W1117"/>
    </row>
    <row r="1118" spans="23:23">
      <c r="W1118"/>
    </row>
    <row r="1119" spans="23:23">
      <c r="W1119"/>
    </row>
    <row r="1120" spans="23:23">
      <c r="W1120"/>
    </row>
    <row r="1121" spans="23:23">
      <c r="W1121"/>
    </row>
    <row r="1122" spans="23:23">
      <c r="W1122"/>
    </row>
    <row r="1123" spans="23:23">
      <c r="W1123"/>
    </row>
    <row r="1124" spans="23:23">
      <c r="W1124"/>
    </row>
    <row r="1125" spans="23:23">
      <c r="W1125"/>
    </row>
    <row r="1126" spans="23:23">
      <c r="W1126"/>
    </row>
    <row r="1127" spans="23:23">
      <c r="W1127"/>
    </row>
    <row r="1128" spans="23:23">
      <c r="W1128"/>
    </row>
    <row r="1129" spans="23:23">
      <c r="W1129"/>
    </row>
    <row r="1130" spans="23:23">
      <c r="W1130"/>
    </row>
    <row r="1131" spans="23:23">
      <c r="W1131"/>
    </row>
    <row r="1132" spans="23:23">
      <c r="W1132"/>
    </row>
    <row r="1133" spans="23:23">
      <c r="W1133"/>
    </row>
    <row r="1134" spans="23:23">
      <c r="W1134"/>
    </row>
    <row r="1135" spans="23:23">
      <c r="W1135"/>
    </row>
    <row r="1136" spans="23:23">
      <c r="W1136"/>
    </row>
    <row r="1137" spans="23:23">
      <c r="W1137"/>
    </row>
    <row r="1138" spans="23:23">
      <c r="W1138"/>
    </row>
    <row r="1139" spans="23:23">
      <c r="W1139"/>
    </row>
    <row r="1140" spans="23:23">
      <c r="W1140"/>
    </row>
    <row r="1141" spans="23:23">
      <c r="W1141"/>
    </row>
    <row r="1142" spans="23:23">
      <c r="W1142"/>
    </row>
    <row r="1143" spans="23:23">
      <c r="W1143"/>
    </row>
    <row r="1144" spans="23:23">
      <c r="W1144"/>
    </row>
    <row r="1145" spans="23:23">
      <c r="W1145"/>
    </row>
    <row r="1146" spans="23:23">
      <c r="W1146"/>
    </row>
    <row r="1147" spans="23:23">
      <c r="W1147"/>
    </row>
    <row r="1148" spans="23:23">
      <c r="W1148"/>
    </row>
    <row r="1149" spans="23:23">
      <c r="W1149"/>
    </row>
    <row r="1150" spans="23:23">
      <c r="W1150"/>
    </row>
    <row r="1151" spans="23:23">
      <c r="W1151"/>
    </row>
    <row r="1152" spans="23:23">
      <c r="W1152"/>
    </row>
    <row r="1153" spans="23:23">
      <c r="W1153"/>
    </row>
    <row r="1154" spans="23:23">
      <c r="W1154"/>
    </row>
    <row r="1155" spans="23:23">
      <c r="W1155"/>
    </row>
    <row r="1156" spans="23:23">
      <c r="W1156"/>
    </row>
    <row r="1157" spans="23:23">
      <c r="W1157"/>
    </row>
    <row r="1158" spans="23:23">
      <c r="W1158"/>
    </row>
    <row r="1159" spans="23:23">
      <c r="W1159"/>
    </row>
    <row r="1160" spans="23:23">
      <c r="W1160"/>
    </row>
    <row r="1161" spans="23:23">
      <c r="W1161"/>
    </row>
    <row r="1162" spans="23:23">
      <c r="W1162"/>
    </row>
    <row r="1163" spans="23:23">
      <c r="W1163"/>
    </row>
    <row r="1164" spans="23:23">
      <c r="W1164"/>
    </row>
    <row r="1165" spans="23:23">
      <c r="W1165"/>
    </row>
    <row r="1166" spans="23:23">
      <c r="W1166"/>
    </row>
    <row r="1167" spans="23:23">
      <c r="W1167"/>
    </row>
    <row r="1168" spans="23:23">
      <c r="W1168"/>
    </row>
    <row r="1169" spans="23:23">
      <c r="W1169"/>
    </row>
    <row r="1170" spans="23:23">
      <c r="W1170"/>
    </row>
    <row r="1171" spans="23:23">
      <c r="W1171"/>
    </row>
    <row r="1172" spans="23:23">
      <c r="W1172"/>
    </row>
    <row r="1173" spans="23:23">
      <c r="W1173"/>
    </row>
    <row r="1174" spans="23:23">
      <c r="W1174"/>
    </row>
    <row r="1175" spans="23:23">
      <c r="W1175"/>
    </row>
    <row r="1176" spans="23:23">
      <c r="W1176"/>
    </row>
    <row r="1177" spans="23:23">
      <c r="W1177"/>
    </row>
    <row r="1178" spans="23:23">
      <c r="W1178"/>
    </row>
    <row r="1179" spans="23:23">
      <c r="W1179"/>
    </row>
    <row r="1180" spans="23:23">
      <c r="W1180"/>
    </row>
    <row r="1181" spans="23:23">
      <c r="W1181"/>
    </row>
    <row r="1182" spans="23:23">
      <c r="W1182"/>
    </row>
    <row r="1183" spans="23:23">
      <c r="W1183"/>
    </row>
    <row r="1184" spans="23:23">
      <c r="W1184"/>
    </row>
    <row r="1185" spans="23:23">
      <c r="W1185"/>
    </row>
    <row r="1186" spans="23:23">
      <c r="W1186"/>
    </row>
    <row r="1187" spans="23:23">
      <c r="W1187"/>
    </row>
    <row r="1188" spans="23:23">
      <c r="W1188"/>
    </row>
    <row r="1189" spans="23:23">
      <c r="W1189"/>
    </row>
    <row r="1190" spans="23:23">
      <c r="W1190"/>
    </row>
    <row r="1191" spans="23:23">
      <c r="W1191"/>
    </row>
    <row r="1192" spans="23:23">
      <c r="W1192"/>
    </row>
    <row r="1193" spans="23:23">
      <c r="W1193"/>
    </row>
    <row r="1194" spans="23:23">
      <c r="W1194"/>
    </row>
    <row r="1195" spans="23:23">
      <c r="W1195"/>
    </row>
    <row r="1196" spans="23:23">
      <c r="W1196"/>
    </row>
    <row r="1197" spans="23:23">
      <c r="W1197"/>
    </row>
    <row r="1198" spans="23:23">
      <c r="W1198"/>
    </row>
    <row r="1199" spans="23:23">
      <c r="W1199"/>
    </row>
    <row r="1200" spans="23:23">
      <c r="W1200"/>
    </row>
    <row r="1201" spans="23:23">
      <c r="W1201"/>
    </row>
    <row r="1202" spans="23:23">
      <c r="W1202"/>
    </row>
    <row r="1203" spans="23:23">
      <c r="W1203"/>
    </row>
    <row r="1204" spans="23:23">
      <c r="W1204"/>
    </row>
    <row r="1205" spans="23:23">
      <c r="W1205"/>
    </row>
    <row r="1206" spans="23:23">
      <c r="W1206"/>
    </row>
    <row r="1207" spans="23:23">
      <c r="W1207"/>
    </row>
    <row r="1208" spans="23:23">
      <c r="W1208"/>
    </row>
    <row r="1209" spans="23:23">
      <c r="W1209"/>
    </row>
    <row r="1210" spans="23:23">
      <c r="W1210"/>
    </row>
    <row r="1211" spans="23:23">
      <c r="W1211"/>
    </row>
    <row r="1212" spans="23:23">
      <c r="W1212"/>
    </row>
    <row r="1213" spans="23:23">
      <c r="W1213"/>
    </row>
    <row r="1214" spans="23:23">
      <c r="W1214"/>
    </row>
    <row r="1215" spans="23:23">
      <c r="W1215"/>
    </row>
    <row r="1216" spans="23:23">
      <c r="W1216"/>
    </row>
    <row r="1217" spans="23:23">
      <c r="W1217"/>
    </row>
    <row r="1218" spans="23:23">
      <c r="W1218"/>
    </row>
    <row r="1219" spans="23:23">
      <c r="W1219"/>
    </row>
    <row r="1220" spans="23:23">
      <c r="W1220"/>
    </row>
    <row r="1221" spans="23:23">
      <c r="W1221"/>
    </row>
    <row r="1222" spans="23:23">
      <c r="W1222"/>
    </row>
    <row r="1223" spans="23:23">
      <c r="W1223"/>
    </row>
    <row r="1224" spans="23:23">
      <c r="W1224"/>
    </row>
    <row r="1225" spans="23:23">
      <c r="W1225"/>
    </row>
    <row r="1226" spans="23:23">
      <c r="W1226"/>
    </row>
    <row r="1227" spans="23:23">
      <c r="W1227"/>
    </row>
    <row r="1228" spans="23:23">
      <c r="W1228"/>
    </row>
    <row r="1229" spans="23:23">
      <c r="W1229"/>
    </row>
    <row r="1230" spans="23:23">
      <c r="W1230"/>
    </row>
    <row r="1231" spans="23:23">
      <c r="W1231"/>
    </row>
    <row r="1232" spans="23:23">
      <c r="W1232"/>
    </row>
    <row r="1233" spans="23:23">
      <c r="W1233"/>
    </row>
    <row r="1234" spans="23:23">
      <c r="W1234"/>
    </row>
    <row r="1235" spans="23:23">
      <c r="W1235"/>
    </row>
    <row r="1236" spans="23:23">
      <c r="W1236"/>
    </row>
    <row r="1237" spans="23:23">
      <c r="W1237"/>
    </row>
    <row r="1238" spans="23:23">
      <c r="W1238"/>
    </row>
    <row r="1239" spans="23:23">
      <c r="W1239"/>
    </row>
    <row r="1240" spans="23:23">
      <c r="W1240"/>
    </row>
    <row r="1241" spans="23:23">
      <c r="W1241"/>
    </row>
    <row r="1242" spans="23:23">
      <c r="W1242"/>
    </row>
    <row r="1243" spans="23:23">
      <c r="W1243"/>
    </row>
    <row r="1244" spans="23:23">
      <c r="W1244"/>
    </row>
    <row r="1245" spans="23:23">
      <c r="W1245"/>
    </row>
    <row r="1246" spans="23:23">
      <c r="W1246"/>
    </row>
    <row r="1247" spans="23:23">
      <c r="W1247"/>
    </row>
    <row r="1248" spans="23:23">
      <c r="W1248"/>
    </row>
    <row r="1249" spans="23:23">
      <c r="W1249"/>
    </row>
    <row r="1250" spans="23:23">
      <c r="W1250"/>
    </row>
    <row r="1251" spans="23:23">
      <c r="W1251"/>
    </row>
    <row r="1252" spans="23:23">
      <c r="W1252"/>
    </row>
    <row r="1253" spans="23:23">
      <c r="W1253"/>
    </row>
    <row r="1254" spans="23:23">
      <c r="W1254"/>
    </row>
    <row r="1255" spans="23:23">
      <c r="W1255"/>
    </row>
    <row r="1256" spans="23:23">
      <c r="W1256"/>
    </row>
    <row r="1257" spans="23:23">
      <c r="W1257"/>
    </row>
    <row r="1258" spans="23:23">
      <c r="W1258"/>
    </row>
    <row r="1259" spans="23:23">
      <c r="W1259"/>
    </row>
    <row r="1260" spans="23:23">
      <c r="W1260"/>
    </row>
    <row r="1261" spans="23:23">
      <c r="W1261"/>
    </row>
    <row r="1262" spans="23:23">
      <c r="W1262"/>
    </row>
    <row r="1263" spans="23:23">
      <c r="W1263"/>
    </row>
    <row r="1264" spans="23:23">
      <c r="W1264"/>
    </row>
    <row r="1265" spans="23:23">
      <c r="W1265"/>
    </row>
    <row r="1266" spans="23:23">
      <c r="W1266"/>
    </row>
    <row r="1267" spans="23:23">
      <c r="W1267"/>
    </row>
    <row r="1268" spans="23:23">
      <c r="W1268"/>
    </row>
    <row r="1269" spans="23:23">
      <c r="W1269"/>
    </row>
    <row r="1270" spans="23:23">
      <c r="W1270"/>
    </row>
    <row r="1271" spans="23:23">
      <c r="W1271"/>
    </row>
    <row r="1272" spans="23:23">
      <c r="W1272"/>
    </row>
    <row r="1273" spans="23:23">
      <c r="W1273"/>
    </row>
    <row r="1274" spans="23:23">
      <c r="W1274"/>
    </row>
    <row r="1275" spans="23:23">
      <c r="W1275"/>
    </row>
    <row r="1276" spans="23:23">
      <c r="W1276"/>
    </row>
    <row r="1277" spans="23:23">
      <c r="W1277"/>
    </row>
    <row r="1278" spans="23:23">
      <c r="W1278"/>
    </row>
    <row r="1279" spans="23:23">
      <c r="W1279"/>
    </row>
    <row r="1280" spans="23:23">
      <c r="W1280"/>
    </row>
    <row r="1281" spans="23:23">
      <c r="W1281"/>
    </row>
    <row r="1282" spans="23:23">
      <c r="W1282"/>
    </row>
    <row r="1283" spans="23:23">
      <c r="W1283"/>
    </row>
    <row r="1284" spans="23:23">
      <c r="W1284"/>
    </row>
    <row r="1285" spans="23:23">
      <c r="W1285"/>
    </row>
    <row r="1286" spans="23:23">
      <c r="W1286"/>
    </row>
    <row r="1287" spans="23:23">
      <c r="W1287"/>
    </row>
    <row r="1288" spans="23:23">
      <c r="W1288"/>
    </row>
    <row r="1289" spans="23:23">
      <c r="W1289"/>
    </row>
    <row r="1290" spans="23:23">
      <c r="W1290"/>
    </row>
    <row r="1291" spans="23:23">
      <c r="W1291"/>
    </row>
    <row r="1292" spans="23:23">
      <c r="W1292"/>
    </row>
    <row r="1293" spans="23:23">
      <c r="W1293"/>
    </row>
    <row r="1294" spans="23:23">
      <c r="W1294"/>
    </row>
    <row r="1295" spans="23:23">
      <c r="W1295"/>
    </row>
    <row r="1296" spans="23:23">
      <c r="W1296"/>
    </row>
    <row r="1297" spans="23:23">
      <c r="W1297"/>
    </row>
    <row r="1298" spans="23:23">
      <c r="W1298"/>
    </row>
    <row r="1299" spans="23:23">
      <c r="W1299"/>
    </row>
    <row r="1300" spans="23:23">
      <c r="W1300"/>
    </row>
    <row r="1301" spans="23:23">
      <c r="W1301"/>
    </row>
    <row r="1302" spans="23:23">
      <c r="W1302"/>
    </row>
    <row r="1303" spans="23:23">
      <c r="W1303"/>
    </row>
    <row r="1304" spans="23:23">
      <c r="W1304"/>
    </row>
    <row r="1305" spans="23:23">
      <c r="W1305"/>
    </row>
    <row r="1306" spans="23:23">
      <c r="W1306"/>
    </row>
    <row r="1307" spans="23:23">
      <c r="W1307"/>
    </row>
    <row r="1308" spans="23:23">
      <c r="W1308"/>
    </row>
    <row r="1309" spans="23:23">
      <c r="W1309"/>
    </row>
    <row r="1310" spans="23:23">
      <c r="W1310"/>
    </row>
    <row r="1311" spans="23:23">
      <c r="W1311"/>
    </row>
    <row r="1312" spans="23:23">
      <c r="W1312"/>
    </row>
    <row r="1313" spans="23:23">
      <c r="W1313"/>
    </row>
    <row r="1314" spans="23:23">
      <c r="W1314"/>
    </row>
    <row r="1315" spans="23:23">
      <c r="W1315"/>
    </row>
    <row r="1316" spans="23:23">
      <c r="W1316"/>
    </row>
    <row r="1317" spans="23:23">
      <c r="W1317"/>
    </row>
    <row r="1318" spans="23:23">
      <c r="W1318"/>
    </row>
    <row r="1319" spans="23:23">
      <c r="W1319"/>
    </row>
    <row r="1320" spans="23:23">
      <c r="W1320"/>
    </row>
    <row r="1321" spans="23:23">
      <c r="W1321"/>
    </row>
    <row r="1322" spans="23:23">
      <c r="W1322"/>
    </row>
    <row r="1323" spans="23:23">
      <c r="W1323"/>
    </row>
    <row r="1324" spans="23:23">
      <c r="W1324"/>
    </row>
    <row r="1325" spans="23:23">
      <c r="W1325"/>
    </row>
    <row r="1326" spans="23:23">
      <c r="W1326"/>
    </row>
    <row r="1327" spans="23:23">
      <c r="W1327"/>
    </row>
    <row r="1328" spans="23:23">
      <c r="W1328"/>
    </row>
    <row r="1329" spans="23:23">
      <c r="W1329"/>
    </row>
    <row r="1330" spans="23:23">
      <c r="W1330"/>
    </row>
    <row r="1331" spans="23:23">
      <c r="W1331"/>
    </row>
    <row r="1332" spans="23:23">
      <c r="W1332"/>
    </row>
    <row r="1333" spans="23:23">
      <c r="W1333"/>
    </row>
    <row r="1334" spans="23:23">
      <c r="W1334"/>
    </row>
    <row r="1335" spans="23:23">
      <c r="W1335"/>
    </row>
    <row r="1336" spans="23:23">
      <c r="W1336"/>
    </row>
    <row r="1337" spans="23:23">
      <c r="W1337"/>
    </row>
    <row r="1338" spans="23:23">
      <c r="W1338"/>
    </row>
    <row r="1339" spans="23:23">
      <c r="W1339"/>
    </row>
    <row r="1340" spans="23:23">
      <c r="W1340"/>
    </row>
    <row r="1341" spans="23:23">
      <c r="W1341"/>
    </row>
    <row r="1342" spans="23:23">
      <c r="W1342"/>
    </row>
    <row r="1343" spans="23:23">
      <c r="W1343"/>
    </row>
    <row r="1344" spans="23:23">
      <c r="W1344"/>
    </row>
    <row r="1345" spans="23:23">
      <c r="W1345"/>
    </row>
    <row r="1346" spans="23:23">
      <c r="W1346"/>
    </row>
    <row r="1347" spans="23:23">
      <c r="W1347"/>
    </row>
    <row r="1348" spans="23:23">
      <c r="W1348"/>
    </row>
    <row r="1349" spans="23:23">
      <c r="W1349"/>
    </row>
    <row r="1350" spans="23:23">
      <c r="W1350"/>
    </row>
    <row r="1351" spans="23:23">
      <c r="W1351"/>
    </row>
    <row r="1352" spans="23:23">
      <c r="W1352"/>
    </row>
    <row r="1353" spans="23:23">
      <c r="W1353"/>
    </row>
    <row r="1354" spans="23:23">
      <c r="W1354"/>
    </row>
    <row r="1355" spans="23:23">
      <c r="W1355"/>
    </row>
    <row r="1356" spans="23:23">
      <c r="W1356"/>
    </row>
    <row r="1357" spans="23:23">
      <c r="W1357"/>
    </row>
    <row r="1358" spans="23:23">
      <c r="W1358"/>
    </row>
    <row r="1359" spans="23:23">
      <c r="W1359"/>
    </row>
    <row r="1360" spans="23:23">
      <c r="W1360"/>
    </row>
    <row r="1361" spans="23:23">
      <c r="W1361"/>
    </row>
    <row r="1362" spans="23:23">
      <c r="W1362"/>
    </row>
    <row r="1363" spans="23:23">
      <c r="W1363"/>
    </row>
    <row r="1364" spans="23:23">
      <c r="W1364"/>
    </row>
    <row r="1365" spans="23:23">
      <c r="W1365"/>
    </row>
    <row r="1366" spans="23:23">
      <c r="W1366"/>
    </row>
    <row r="1367" spans="23:23">
      <c r="W1367"/>
    </row>
    <row r="1368" spans="23:23">
      <c r="W1368"/>
    </row>
    <row r="1369" spans="23:23">
      <c r="W1369"/>
    </row>
    <row r="1370" spans="23:23">
      <c r="W1370"/>
    </row>
    <row r="1371" spans="23:23">
      <c r="W1371"/>
    </row>
    <row r="1372" spans="23:23">
      <c r="W1372"/>
    </row>
    <row r="1373" spans="23:23">
      <c r="W1373"/>
    </row>
    <row r="1374" spans="23:23">
      <c r="W1374"/>
    </row>
    <row r="1375" spans="23:23">
      <c r="W1375"/>
    </row>
    <row r="1376" spans="23:23">
      <c r="W1376"/>
    </row>
    <row r="1377" spans="23:23">
      <c r="W1377"/>
    </row>
    <row r="1378" spans="23:23">
      <c r="W1378"/>
    </row>
    <row r="1379" spans="23:23">
      <c r="W1379"/>
    </row>
    <row r="1380" spans="23:23">
      <c r="W1380"/>
    </row>
    <row r="1381" spans="23:23">
      <c r="W1381"/>
    </row>
    <row r="1382" spans="23:23">
      <c r="W1382"/>
    </row>
    <row r="1383" spans="23:23">
      <c r="W1383"/>
    </row>
    <row r="1384" spans="23:23">
      <c r="W1384"/>
    </row>
    <row r="1385" spans="23:23">
      <c r="W1385"/>
    </row>
    <row r="1386" spans="23:23">
      <c r="W1386"/>
    </row>
    <row r="1387" spans="23:23">
      <c r="W1387"/>
    </row>
    <row r="1388" spans="23:23">
      <c r="W1388"/>
    </row>
    <row r="1389" spans="23:23">
      <c r="W1389"/>
    </row>
    <row r="1390" spans="23:23">
      <c r="W1390"/>
    </row>
    <row r="1391" spans="23:23">
      <c r="W1391"/>
    </row>
    <row r="1392" spans="23:23">
      <c r="W1392"/>
    </row>
    <row r="1393" spans="23:23">
      <c r="W1393"/>
    </row>
    <row r="1394" spans="23:23">
      <c r="W1394"/>
    </row>
    <row r="1395" spans="23:23">
      <c r="W1395"/>
    </row>
    <row r="1396" spans="23:23">
      <c r="W1396"/>
    </row>
    <row r="1397" spans="23:23">
      <c r="W1397"/>
    </row>
    <row r="1398" spans="23:23">
      <c r="W1398"/>
    </row>
    <row r="1399" spans="23:23">
      <c r="W1399"/>
    </row>
    <row r="1400" spans="23:23">
      <c r="W1400"/>
    </row>
    <row r="1401" spans="23:23">
      <c r="W1401"/>
    </row>
    <row r="1402" spans="23:23">
      <c r="W1402"/>
    </row>
    <row r="1403" spans="23:23">
      <c r="W1403"/>
    </row>
    <row r="1404" spans="23:23">
      <c r="W1404"/>
    </row>
    <row r="1405" spans="23:23">
      <c r="W1405"/>
    </row>
    <row r="1406" spans="23:23">
      <c r="W1406"/>
    </row>
    <row r="1407" spans="23:23">
      <c r="W1407"/>
    </row>
    <row r="1408" spans="23:23">
      <c r="W1408"/>
    </row>
    <row r="1409" spans="23:23">
      <c r="W1409"/>
    </row>
    <row r="1410" spans="23:23">
      <c r="W1410"/>
    </row>
    <row r="1411" spans="23:23">
      <c r="W1411"/>
    </row>
    <row r="1412" spans="23:23">
      <c r="W1412"/>
    </row>
    <row r="1413" spans="23:23">
      <c r="W1413"/>
    </row>
    <row r="1414" spans="23:23">
      <c r="W1414"/>
    </row>
    <row r="1415" spans="23:23">
      <c r="W1415"/>
    </row>
    <row r="1416" spans="23:23">
      <c r="W1416"/>
    </row>
    <row r="1417" spans="23:23">
      <c r="W1417"/>
    </row>
    <row r="1418" spans="23:23">
      <c r="W1418"/>
    </row>
    <row r="1419" spans="23:23">
      <c r="W1419"/>
    </row>
    <row r="1420" spans="23:23">
      <c r="W1420"/>
    </row>
    <row r="1421" spans="23:23">
      <c r="W1421"/>
    </row>
    <row r="1422" spans="23:23">
      <c r="W1422"/>
    </row>
    <row r="1423" spans="23:23">
      <c r="W1423"/>
    </row>
    <row r="1424" spans="23:23">
      <c r="W1424"/>
    </row>
    <row r="1425" spans="23:23">
      <c r="W1425"/>
    </row>
    <row r="1426" spans="23:23">
      <c r="W1426"/>
    </row>
    <row r="1427" spans="23:23">
      <c r="W1427"/>
    </row>
    <row r="1428" spans="23:23">
      <c r="W1428"/>
    </row>
    <row r="1429" spans="23:23">
      <c r="W1429"/>
    </row>
    <row r="1430" spans="23:23">
      <c r="W1430"/>
    </row>
    <row r="1431" spans="23:23">
      <c r="W1431"/>
    </row>
    <row r="1432" spans="23:23">
      <c r="W1432"/>
    </row>
    <row r="1433" spans="23:23">
      <c r="W1433"/>
    </row>
    <row r="1434" spans="23:23">
      <c r="W1434"/>
    </row>
    <row r="1435" spans="23:23">
      <c r="W1435"/>
    </row>
    <row r="1436" spans="23:23">
      <c r="W1436"/>
    </row>
    <row r="1437" spans="23:23">
      <c r="W1437"/>
    </row>
    <row r="1438" spans="23:23">
      <c r="W1438"/>
    </row>
    <row r="1439" spans="23:23">
      <c r="W1439"/>
    </row>
    <row r="1440" spans="23:23">
      <c r="W1440"/>
    </row>
    <row r="1441" spans="23:23">
      <c r="W1441"/>
    </row>
    <row r="1442" spans="23:23">
      <c r="W1442"/>
    </row>
    <row r="1443" spans="23:23">
      <c r="W1443"/>
    </row>
    <row r="1444" spans="23:23">
      <c r="W1444"/>
    </row>
    <row r="1445" spans="23:23">
      <c r="W1445"/>
    </row>
    <row r="1446" spans="23:23">
      <c r="W1446"/>
    </row>
    <row r="1447" spans="23:23">
      <c r="W1447"/>
    </row>
    <row r="1448" spans="23:23">
      <c r="W1448"/>
    </row>
    <row r="1449" spans="23:23">
      <c r="W1449"/>
    </row>
    <row r="1450" spans="23:23">
      <c r="W1450"/>
    </row>
    <row r="1451" spans="23:23">
      <c r="W1451"/>
    </row>
    <row r="1452" spans="23:23">
      <c r="W1452"/>
    </row>
    <row r="1453" spans="23:23">
      <c r="W1453"/>
    </row>
    <row r="1454" spans="23:23">
      <c r="W1454"/>
    </row>
    <row r="1455" spans="23:23">
      <c r="W1455"/>
    </row>
    <row r="1456" spans="23:23">
      <c r="W1456"/>
    </row>
    <row r="1457" spans="23:23">
      <c r="W1457"/>
    </row>
    <row r="1458" spans="23:23">
      <c r="W1458"/>
    </row>
    <row r="1459" spans="23:23">
      <c r="W1459"/>
    </row>
    <row r="1460" spans="23:23">
      <c r="W1460"/>
    </row>
    <row r="1461" spans="23:23">
      <c r="W1461"/>
    </row>
    <row r="1462" spans="23:23">
      <c r="W1462"/>
    </row>
    <row r="1463" spans="23:23">
      <c r="W1463"/>
    </row>
    <row r="1464" spans="23:23">
      <c r="W1464"/>
    </row>
    <row r="1465" spans="23:23">
      <c r="W1465"/>
    </row>
    <row r="1466" spans="23:23">
      <c r="W1466"/>
    </row>
    <row r="1467" spans="23:23">
      <c r="W1467"/>
    </row>
    <row r="1468" spans="23:23">
      <c r="W1468"/>
    </row>
    <row r="1469" spans="23:23">
      <c r="W1469"/>
    </row>
    <row r="1470" spans="23:23">
      <c r="W1470"/>
    </row>
    <row r="1471" spans="23:23">
      <c r="W1471"/>
    </row>
    <row r="1472" spans="23:23">
      <c r="W1472"/>
    </row>
    <row r="1473" spans="23:23">
      <c r="W1473"/>
    </row>
    <row r="1474" spans="23:23">
      <c r="W1474"/>
    </row>
    <row r="1475" spans="23:23">
      <c r="W1475"/>
    </row>
    <row r="1476" spans="23:23">
      <c r="W1476"/>
    </row>
    <row r="1477" spans="23:23">
      <c r="W1477"/>
    </row>
    <row r="1478" spans="23:23">
      <c r="W1478"/>
    </row>
    <row r="1479" spans="23:23">
      <c r="W1479"/>
    </row>
    <row r="1480" spans="23:23">
      <c r="W1480"/>
    </row>
    <row r="1481" spans="23:23">
      <c r="W1481"/>
    </row>
    <row r="1482" spans="23:23">
      <c r="W1482"/>
    </row>
    <row r="1483" spans="23:23">
      <c r="W1483"/>
    </row>
    <row r="1484" spans="23:23">
      <c r="W1484"/>
    </row>
    <row r="1485" spans="23:23">
      <c r="W1485"/>
    </row>
    <row r="1486" spans="23:23">
      <c r="W1486"/>
    </row>
    <row r="1487" spans="23:23">
      <c r="W1487"/>
    </row>
    <row r="1488" spans="23:23">
      <c r="W1488"/>
    </row>
    <row r="1489" spans="23:23">
      <c r="W1489"/>
    </row>
    <row r="1490" spans="23:23">
      <c r="W1490"/>
    </row>
    <row r="1491" spans="23:23">
      <c r="W1491"/>
    </row>
    <row r="1492" spans="23:23">
      <c r="W1492"/>
    </row>
    <row r="1493" spans="23:23">
      <c r="W1493"/>
    </row>
    <row r="1494" spans="23:23">
      <c r="W1494"/>
    </row>
    <row r="1495" spans="23:23">
      <c r="W1495"/>
    </row>
    <row r="1496" spans="23:23">
      <c r="W1496"/>
    </row>
    <row r="1497" spans="23:23">
      <c r="W1497"/>
    </row>
    <row r="1498" spans="23:23">
      <c r="W1498"/>
    </row>
    <row r="1499" spans="23:23">
      <c r="W1499"/>
    </row>
    <row r="1500" spans="23:23">
      <c r="W1500"/>
    </row>
    <row r="1501" spans="23:23">
      <c r="W1501"/>
    </row>
    <row r="1502" spans="23:23">
      <c r="W1502"/>
    </row>
    <row r="1503" spans="23:23">
      <c r="W1503"/>
    </row>
    <row r="1504" spans="23:23">
      <c r="W1504"/>
    </row>
    <row r="1505" spans="23:23">
      <c r="W1505"/>
    </row>
    <row r="1506" spans="23:23">
      <c r="W1506"/>
    </row>
    <row r="1507" spans="23:23">
      <c r="W1507"/>
    </row>
    <row r="1508" spans="23:23">
      <c r="W1508"/>
    </row>
    <row r="1509" spans="23:23">
      <c r="W1509"/>
    </row>
    <row r="1510" spans="23:23">
      <c r="W1510"/>
    </row>
    <row r="1511" spans="23:23">
      <c r="W1511"/>
    </row>
    <row r="1512" spans="23:23">
      <c r="W1512"/>
    </row>
    <row r="1513" spans="23:23">
      <c r="W1513"/>
    </row>
    <row r="1514" spans="23:23">
      <c r="W1514"/>
    </row>
    <row r="1515" spans="23:23">
      <c r="W1515"/>
    </row>
    <row r="1516" spans="23:23">
      <c r="W1516"/>
    </row>
    <row r="1517" spans="23:23">
      <c r="W1517"/>
    </row>
    <row r="1518" spans="23:23">
      <c r="W1518"/>
    </row>
    <row r="1519" spans="23:23">
      <c r="W1519"/>
    </row>
    <row r="1520" spans="23:23">
      <c r="W1520"/>
    </row>
    <row r="1521" spans="23:23">
      <c r="W1521"/>
    </row>
    <row r="1522" spans="23:23">
      <c r="W1522"/>
    </row>
    <row r="1523" spans="23:23">
      <c r="W1523"/>
    </row>
    <row r="1524" spans="23:23">
      <c r="W1524"/>
    </row>
    <row r="1525" spans="23:23">
      <c r="W1525"/>
    </row>
    <row r="1526" spans="23:23">
      <c r="W1526"/>
    </row>
    <row r="1527" spans="23:23">
      <c r="W1527"/>
    </row>
    <row r="1528" spans="23:23">
      <c r="W1528"/>
    </row>
    <row r="1529" spans="23:23">
      <c r="W1529"/>
    </row>
    <row r="1530" spans="23:23">
      <c r="W1530"/>
    </row>
    <row r="1531" spans="23:23">
      <c r="W1531"/>
    </row>
    <row r="1532" spans="23:23">
      <c r="W1532"/>
    </row>
    <row r="1533" spans="23:23">
      <c r="W1533"/>
    </row>
    <row r="1534" spans="23:23">
      <c r="W1534"/>
    </row>
    <row r="1535" spans="23:23">
      <c r="W1535"/>
    </row>
    <row r="1536" spans="23:23">
      <c r="W1536"/>
    </row>
    <row r="1537" spans="23:23">
      <c r="W1537"/>
    </row>
    <row r="1538" spans="23:23">
      <c r="W1538"/>
    </row>
    <row r="1539" spans="23:23">
      <c r="W1539"/>
    </row>
    <row r="1540" spans="23:23">
      <c r="W1540"/>
    </row>
    <row r="1541" spans="23:23">
      <c r="W1541"/>
    </row>
    <row r="1542" spans="23:23">
      <c r="W1542"/>
    </row>
    <row r="1543" spans="23:23">
      <c r="W1543"/>
    </row>
    <row r="1544" spans="23:23">
      <c r="W1544"/>
    </row>
    <row r="1545" spans="23:23">
      <c r="W1545"/>
    </row>
    <row r="1546" spans="23:23">
      <c r="W1546"/>
    </row>
    <row r="1547" spans="23:23">
      <c r="W1547"/>
    </row>
    <row r="1548" spans="23:23">
      <c r="W1548"/>
    </row>
    <row r="1549" spans="23:23">
      <c r="W1549"/>
    </row>
    <row r="1550" spans="23:23">
      <c r="W1550"/>
    </row>
    <row r="1551" spans="23:23">
      <c r="W1551"/>
    </row>
    <row r="1552" spans="23:23">
      <c r="W1552"/>
    </row>
    <row r="1553" spans="23:23">
      <c r="W1553"/>
    </row>
    <row r="1554" spans="23:23">
      <c r="W1554"/>
    </row>
    <row r="1555" spans="23:23">
      <c r="W1555"/>
    </row>
    <row r="1556" spans="23:23">
      <c r="W1556"/>
    </row>
    <row r="1557" spans="23:23">
      <c r="W1557"/>
    </row>
    <row r="1558" spans="23:23">
      <c r="W1558"/>
    </row>
    <row r="1559" spans="23:23">
      <c r="W1559"/>
    </row>
    <row r="1560" spans="23:23">
      <c r="W1560"/>
    </row>
    <row r="1561" spans="23:23">
      <c r="W1561"/>
    </row>
    <row r="1562" spans="23:23">
      <c r="W1562"/>
    </row>
    <row r="1563" spans="23:23">
      <c r="W1563"/>
    </row>
    <row r="1564" spans="23:23">
      <c r="W1564"/>
    </row>
    <row r="1565" spans="23:23">
      <c r="W1565"/>
    </row>
    <row r="1566" spans="23:23">
      <c r="W1566"/>
    </row>
    <row r="1567" spans="23:23">
      <c r="W1567"/>
    </row>
    <row r="1568" spans="23:23">
      <c r="W1568"/>
    </row>
    <row r="1569" spans="23:23">
      <c r="W1569"/>
    </row>
    <row r="1570" spans="23:23">
      <c r="W1570"/>
    </row>
    <row r="1571" spans="23:23">
      <c r="W1571"/>
    </row>
    <row r="1572" spans="23:23">
      <c r="W1572"/>
    </row>
    <row r="1573" spans="23:23">
      <c r="W1573"/>
    </row>
    <row r="1574" spans="23:23">
      <c r="W1574"/>
    </row>
    <row r="1575" spans="23:23">
      <c r="W1575"/>
    </row>
    <row r="1576" spans="23:23">
      <c r="W1576"/>
    </row>
    <row r="1577" spans="23:23">
      <c r="W1577"/>
    </row>
    <row r="1578" spans="23:23">
      <c r="W1578"/>
    </row>
    <row r="1579" spans="23:23">
      <c r="W1579"/>
    </row>
    <row r="1580" spans="23:23">
      <c r="W1580"/>
    </row>
    <row r="1581" spans="23:23">
      <c r="W1581"/>
    </row>
    <row r="1582" spans="23:23">
      <c r="W1582"/>
    </row>
    <row r="1583" spans="23:23">
      <c r="W1583"/>
    </row>
    <row r="1584" spans="23:23">
      <c r="W1584"/>
    </row>
    <row r="1585" spans="23:23">
      <c r="W1585"/>
    </row>
    <row r="1586" spans="23:23">
      <c r="W1586"/>
    </row>
    <row r="1587" spans="23:23">
      <c r="W1587"/>
    </row>
    <row r="1588" spans="23:23">
      <c r="W1588"/>
    </row>
    <row r="1589" spans="23:23">
      <c r="W1589"/>
    </row>
    <row r="1590" spans="23:23">
      <c r="W1590"/>
    </row>
    <row r="1591" spans="23:23">
      <c r="W1591"/>
    </row>
    <row r="1592" spans="23:23">
      <c r="W1592"/>
    </row>
    <row r="1593" spans="23:23">
      <c r="W1593"/>
    </row>
    <row r="1594" spans="23:23">
      <c r="W1594"/>
    </row>
    <row r="1595" spans="23:23">
      <c r="W1595"/>
    </row>
    <row r="1596" spans="23:23">
      <c r="W1596"/>
    </row>
    <row r="1597" spans="23:23">
      <c r="W1597"/>
    </row>
    <row r="1598" spans="23:23">
      <c r="W1598"/>
    </row>
    <row r="1599" spans="23:23">
      <c r="W1599"/>
    </row>
    <row r="1600" spans="23:23">
      <c r="W1600"/>
    </row>
    <row r="1601" spans="23:23">
      <c r="W1601"/>
    </row>
    <row r="1602" spans="23:23">
      <c r="W1602"/>
    </row>
    <row r="1603" spans="23:23">
      <c r="W1603"/>
    </row>
    <row r="1604" spans="23:23">
      <c r="W1604"/>
    </row>
    <row r="1605" spans="23:23">
      <c r="W1605"/>
    </row>
    <row r="1606" spans="23:23">
      <c r="W1606"/>
    </row>
    <row r="1607" spans="23:23">
      <c r="W1607"/>
    </row>
    <row r="1608" spans="23:23">
      <c r="W1608"/>
    </row>
    <row r="1609" spans="23:23">
      <c r="W1609"/>
    </row>
    <row r="1610" spans="23:23">
      <c r="W1610"/>
    </row>
    <row r="1611" spans="23:23">
      <c r="W1611"/>
    </row>
    <row r="1612" spans="23:23">
      <c r="W1612"/>
    </row>
    <row r="1613" spans="23:23">
      <c r="W1613"/>
    </row>
    <row r="1614" spans="23:23">
      <c r="W1614"/>
    </row>
    <row r="1615" spans="23:23">
      <c r="W1615"/>
    </row>
    <row r="1616" spans="23:23">
      <c r="W1616"/>
    </row>
    <row r="1617" spans="23:23">
      <c r="W1617"/>
    </row>
    <row r="1618" spans="23:23">
      <c r="W1618"/>
    </row>
    <row r="1619" spans="23:23">
      <c r="W1619"/>
    </row>
    <row r="1620" spans="23:23">
      <c r="W1620"/>
    </row>
    <row r="1621" spans="23:23">
      <c r="W1621"/>
    </row>
    <row r="1622" spans="23:23">
      <c r="W1622"/>
    </row>
    <row r="1623" spans="23:23">
      <c r="W1623"/>
    </row>
    <row r="1624" spans="23:23">
      <c r="W1624"/>
    </row>
    <row r="1625" spans="23:23">
      <c r="W1625"/>
    </row>
    <row r="1626" spans="23:23">
      <c r="W1626"/>
    </row>
    <row r="1627" spans="23:23">
      <c r="W1627"/>
    </row>
    <row r="1628" spans="23:23">
      <c r="W1628"/>
    </row>
    <row r="1629" spans="23:23">
      <c r="W1629"/>
    </row>
    <row r="1630" spans="23:23">
      <c r="W1630"/>
    </row>
    <row r="1631" spans="23:23">
      <c r="W1631"/>
    </row>
    <row r="1632" spans="23:23">
      <c r="W1632"/>
    </row>
    <row r="1633" spans="23:23">
      <c r="W1633"/>
    </row>
    <row r="1634" spans="23:23">
      <c r="W1634"/>
    </row>
    <row r="1635" spans="23:23">
      <c r="W1635"/>
    </row>
    <row r="1636" spans="23:23">
      <c r="W1636"/>
    </row>
    <row r="1637" spans="23:23">
      <c r="W1637"/>
    </row>
    <row r="1638" spans="23:23">
      <c r="W1638"/>
    </row>
    <row r="1639" spans="23:23">
      <c r="W1639"/>
    </row>
    <row r="1640" spans="23:23">
      <c r="W1640"/>
    </row>
    <row r="1641" spans="23:23">
      <c r="W1641"/>
    </row>
    <row r="1642" spans="23:23">
      <c r="W1642"/>
    </row>
    <row r="1643" spans="23:23">
      <c r="W1643"/>
    </row>
    <row r="1644" spans="23:23">
      <c r="W1644"/>
    </row>
    <row r="1645" spans="23:23">
      <c r="W1645"/>
    </row>
    <row r="1646" spans="23:23">
      <c r="W1646"/>
    </row>
    <row r="1647" spans="23:23">
      <c r="W1647"/>
    </row>
    <row r="1648" spans="23:23">
      <c r="W1648"/>
    </row>
    <row r="1649" spans="23:23">
      <c r="W1649"/>
    </row>
    <row r="1650" spans="23:23">
      <c r="W1650"/>
    </row>
    <row r="1651" spans="23:23">
      <c r="W1651"/>
    </row>
    <row r="1652" spans="23:23">
      <c r="W1652"/>
    </row>
    <row r="1653" spans="23:23">
      <c r="W1653"/>
    </row>
    <row r="1654" spans="23:23">
      <c r="W1654"/>
    </row>
    <row r="1655" spans="23:23">
      <c r="W1655"/>
    </row>
    <row r="1656" spans="23:23">
      <c r="W1656"/>
    </row>
    <row r="1657" spans="23:23">
      <c r="W1657"/>
    </row>
    <row r="1658" spans="23:23">
      <c r="W1658"/>
    </row>
    <row r="1659" spans="23:23">
      <c r="W1659"/>
    </row>
    <row r="1660" spans="23:23">
      <c r="W1660"/>
    </row>
    <row r="1661" spans="23:23">
      <c r="W1661"/>
    </row>
    <row r="1662" spans="23:23">
      <c r="W1662"/>
    </row>
    <row r="1663" spans="23:23">
      <c r="W1663"/>
    </row>
    <row r="1664" spans="23:23">
      <c r="W1664"/>
    </row>
    <row r="1665" spans="23:23">
      <c r="W1665"/>
    </row>
    <row r="1666" spans="23:23">
      <c r="W1666"/>
    </row>
    <row r="1667" spans="23:23">
      <c r="W1667"/>
    </row>
    <row r="1668" spans="23:23">
      <c r="W1668"/>
    </row>
    <row r="1669" spans="23:23">
      <c r="W1669"/>
    </row>
    <row r="1670" spans="23:23">
      <c r="W1670"/>
    </row>
    <row r="1671" spans="23:23">
      <c r="W1671"/>
    </row>
    <row r="1672" spans="23:23">
      <c r="W1672"/>
    </row>
    <row r="1673" spans="23:23">
      <c r="W1673"/>
    </row>
    <row r="1674" spans="23:23">
      <c r="W1674"/>
    </row>
    <row r="1675" spans="23:23">
      <c r="W1675"/>
    </row>
    <row r="1676" spans="23:23">
      <c r="W1676"/>
    </row>
    <row r="1677" spans="23:23">
      <c r="W1677"/>
    </row>
    <row r="1678" spans="23:23">
      <c r="W1678"/>
    </row>
    <row r="1679" spans="23:23">
      <c r="W1679"/>
    </row>
    <row r="1680" spans="23:23">
      <c r="W1680"/>
    </row>
    <row r="1681" spans="23:23">
      <c r="W1681"/>
    </row>
    <row r="1682" spans="23:23">
      <c r="W1682"/>
    </row>
    <row r="1683" spans="23:23">
      <c r="W1683"/>
    </row>
    <row r="1684" spans="23:23">
      <c r="W1684"/>
    </row>
    <row r="1685" spans="23:23">
      <c r="W1685"/>
    </row>
    <row r="1686" spans="23:23">
      <c r="W1686"/>
    </row>
    <row r="1687" spans="23:23">
      <c r="W1687"/>
    </row>
    <row r="1688" spans="23:23">
      <c r="W1688"/>
    </row>
    <row r="1689" spans="23:23">
      <c r="W1689"/>
    </row>
    <row r="1690" spans="23:23">
      <c r="W1690"/>
    </row>
    <row r="1691" spans="23:23">
      <c r="W1691"/>
    </row>
    <row r="1692" spans="23:23">
      <c r="W1692"/>
    </row>
    <row r="1693" spans="23:23">
      <c r="W1693"/>
    </row>
    <row r="1694" spans="23:23">
      <c r="W1694"/>
    </row>
    <row r="1695" spans="23:23">
      <c r="W1695"/>
    </row>
    <row r="1696" spans="23:23">
      <c r="W1696"/>
    </row>
    <row r="1697" spans="23:23">
      <c r="W1697"/>
    </row>
    <row r="1698" spans="23:23">
      <c r="W1698"/>
    </row>
    <row r="1699" spans="23:23">
      <c r="W1699"/>
    </row>
    <row r="1700" spans="23:23">
      <c r="W1700"/>
    </row>
    <row r="1701" spans="23:23">
      <c r="W1701"/>
    </row>
    <row r="1702" spans="23:23">
      <c r="W1702"/>
    </row>
    <row r="1703" spans="23:23">
      <c r="W1703"/>
    </row>
    <row r="1704" spans="23:23">
      <c r="W1704"/>
    </row>
    <row r="1705" spans="23:23">
      <c r="W1705"/>
    </row>
    <row r="1706" spans="23:23">
      <c r="W1706"/>
    </row>
    <row r="1707" spans="23:23">
      <c r="W1707"/>
    </row>
    <row r="1708" spans="23:23">
      <c r="W1708"/>
    </row>
    <row r="1709" spans="23:23">
      <c r="W1709"/>
    </row>
    <row r="1710" spans="23:23">
      <c r="W1710"/>
    </row>
    <row r="1711" spans="23:23">
      <c r="W1711"/>
    </row>
    <row r="1712" spans="23:23">
      <c r="W1712"/>
    </row>
    <row r="1713" spans="23:23">
      <c r="W1713"/>
    </row>
    <row r="1714" spans="23:23">
      <c r="W1714"/>
    </row>
    <row r="1715" spans="23:23">
      <c r="W1715"/>
    </row>
    <row r="1716" spans="23:23">
      <c r="W1716"/>
    </row>
    <row r="1717" spans="23:23">
      <c r="W1717"/>
    </row>
    <row r="1718" spans="23:23">
      <c r="W1718"/>
    </row>
    <row r="1719" spans="23:23">
      <c r="W1719"/>
    </row>
    <row r="1720" spans="23:23">
      <c r="W1720"/>
    </row>
    <row r="1721" spans="23:23">
      <c r="W1721"/>
    </row>
    <row r="1722" spans="23:23">
      <c r="W1722"/>
    </row>
    <row r="1723" spans="23:23">
      <c r="W1723"/>
    </row>
    <row r="1724" spans="23:23">
      <c r="W1724"/>
    </row>
    <row r="1725" spans="23:23">
      <c r="W1725"/>
    </row>
    <row r="1726" spans="23:23">
      <c r="W1726"/>
    </row>
    <row r="1727" spans="23:23">
      <c r="W1727"/>
    </row>
    <row r="1728" spans="23:23">
      <c r="W1728"/>
    </row>
    <row r="1729" spans="23:23">
      <c r="W1729"/>
    </row>
    <row r="1730" spans="23:23">
      <c r="W1730"/>
    </row>
    <row r="1731" spans="23:23">
      <c r="W1731"/>
    </row>
    <row r="1732" spans="23:23">
      <c r="W1732"/>
    </row>
    <row r="1733" spans="23:23">
      <c r="W1733"/>
    </row>
    <row r="1734" spans="23:23">
      <c r="W1734"/>
    </row>
    <row r="1735" spans="23:23">
      <c r="W1735"/>
    </row>
    <row r="1736" spans="23:23">
      <c r="W1736"/>
    </row>
    <row r="1737" spans="23:23">
      <c r="W1737"/>
    </row>
    <row r="1738" spans="23:23">
      <c r="W1738"/>
    </row>
    <row r="1739" spans="23:23">
      <c r="W1739"/>
    </row>
    <row r="1740" spans="23:23">
      <c r="W1740"/>
    </row>
    <row r="1741" spans="23:23">
      <c r="W1741"/>
    </row>
    <row r="1742" spans="23:23">
      <c r="W1742"/>
    </row>
    <row r="1743" spans="23:23">
      <c r="W1743"/>
    </row>
    <row r="1744" spans="23:23">
      <c r="W1744"/>
    </row>
    <row r="1745" spans="23:23">
      <c r="W1745"/>
    </row>
    <row r="1746" spans="23:23">
      <c r="W1746"/>
    </row>
    <row r="1747" spans="23:23">
      <c r="W1747"/>
    </row>
    <row r="1748" spans="23:23">
      <c r="W1748"/>
    </row>
    <row r="1749" spans="23:23">
      <c r="W1749"/>
    </row>
    <row r="1750" spans="23:23">
      <c r="W1750"/>
    </row>
    <row r="1751" spans="23:23">
      <c r="W1751"/>
    </row>
    <row r="1752" spans="23:23">
      <c r="W1752"/>
    </row>
    <row r="1753" spans="23:23">
      <c r="W1753"/>
    </row>
    <row r="1754" spans="23:23">
      <c r="W1754"/>
    </row>
    <row r="1755" spans="23:23">
      <c r="W1755"/>
    </row>
    <row r="1756" spans="23:23">
      <c r="W1756"/>
    </row>
    <row r="1757" spans="23:23">
      <c r="W1757"/>
    </row>
    <row r="1758" spans="23:23">
      <c r="W1758"/>
    </row>
    <row r="1759" spans="23:23">
      <c r="W1759"/>
    </row>
    <row r="1760" spans="23:23">
      <c r="W1760"/>
    </row>
    <row r="1761" spans="23:23">
      <c r="W1761"/>
    </row>
    <row r="1762" spans="23:23">
      <c r="W1762"/>
    </row>
    <row r="1763" spans="23:23">
      <c r="W1763"/>
    </row>
    <row r="1764" spans="23:23">
      <c r="W1764"/>
    </row>
    <row r="1765" spans="23:23">
      <c r="W1765"/>
    </row>
    <row r="1766" spans="23:23">
      <c r="W1766"/>
    </row>
    <row r="1767" spans="23:23">
      <c r="W1767"/>
    </row>
    <row r="1768" spans="23:23">
      <c r="W1768"/>
    </row>
    <row r="1769" spans="23:23">
      <c r="W1769"/>
    </row>
    <row r="1770" spans="23:23">
      <c r="W1770"/>
    </row>
    <row r="1771" spans="23:23">
      <c r="W1771"/>
    </row>
    <row r="1772" spans="23:23">
      <c r="W1772"/>
    </row>
    <row r="1773" spans="23:23">
      <c r="W1773"/>
    </row>
    <row r="1774" spans="23:23">
      <c r="W1774"/>
    </row>
    <row r="1775" spans="23:23">
      <c r="W1775"/>
    </row>
    <row r="1776" spans="23:23">
      <c r="W1776"/>
    </row>
    <row r="1777" spans="23:23">
      <c r="W1777"/>
    </row>
    <row r="1778" spans="23:23">
      <c r="W1778"/>
    </row>
    <row r="1779" spans="23:23">
      <c r="W1779"/>
    </row>
    <row r="1780" spans="23:23">
      <c r="W1780"/>
    </row>
    <row r="1781" spans="23:23">
      <c r="W1781"/>
    </row>
    <row r="1782" spans="23:23">
      <c r="W1782"/>
    </row>
    <row r="1783" spans="23:23">
      <c r="W1783"/>
    </row>
    <row r="1784" spans="23:23">
      <c r="W1784"/>
    </row>
    <row r="1785" spans="23:23">
      <c r="W1785"/>
    </row>
    <row r="1786" spans="23:23">
      <c r="W1786"/>
    </row>
    <row r="1787" spans="23:23">
      <c r="W1787"/>
    </row>
    <row r="1788" spans="23:23">
      <c r="W1788"/>
    </row>
    <row r="1789" spans="23:23">
      <c r="W1789"/>
    </row>
    <row r="1790" spans="23:23">
      <c r="W1790"/>
    </row>
    <row r="1791" spans="23:23">
      <c r="W1791"/>
    </row>
    <row r="1792" spans="23:23">
      <c r="W1792"/>
    </row>
    <row r="1793" spans="23:23">
      <c r="W1793"/>
    </row>
    <row r="1794" spans="23:23">
      <c r="W1794"/>
    </row>
    <row r="1795" spans="23:23">
      <c r="W1795"/>
    </row>
    <row r="1796" spans="23:23">
      <c r="W1796"/>
    </row>
    <row r="1797" spans="23:23">
      <c r="W1797"/>
    </row>
    <row r="1798" spans="23:23">
      <c r="W1798"/>
    </row>
    <row r="1799" spans="23:23">
      <c r="W1799"/>
    </row>
    <row r="1800" spans="23:23">
      <c r="W1800"/>
    </row>
    <row r="1801" spans="23:23">
      <c r="W1801"/>
    </row>
    <row r="1802" spans="23:23">
      <c r="W1802"/>
    </row>
    <row r="1803" spans="23:23">
      <c r="W1803"/>
    </row>
    <row r="1804" spans="23:23">
      <c r="W1804"/>
    </row>
    <row r="1805" spans="23:23">
      <c r="W1805"/>
    </row>
    <row r="1806" spans="23:23">
      <c r="W1806"/>
    </row>
    <row r="1807" spans="23:23">
      <c r="W1807"/>
    </row>
    <row r="1808" spans="23:23">
      <c r="W1808"/>
    </row>
    <row r="1809" spans="23:23">
      <c r="W1809"/>
    </row>
    <row r="1810" spans="23:23">
      <c r="W1810"/>
    </row>
    <row r="1811" spans="23:23">
      <c r="W1811"/>
    </row>
    <row r="1812" spans="23:23">
      <c r="W1812"/>
    </row>
    <row r="1813" spans="23:23">
      <c r="W1813"/>
    </row>
    <row r="1814" spans="23:23">
      <c r="W1814"/>
    </row>
    <row r="1815" spans="23:23">
      <c r="W1815"/>
    </row>
    <row r="1816" spans="23:23">
      <c r="W1816"/>
    </row>
    <row r="1817" spans="23:23">
      <c r="W1817"/>
    </row>
    <row r="1818" spans="23:23">
      <c r="W1818"/>
    </row>
    <row r="1819" spans="23:23">
      <c r="W1819"/>
    </row>
    <row r="1820" spans="23:23">
      <c r="W1820"/>
    </row>
    <row r="1821" spans="23:23">
      <c r="W1821"/>
    </row>
    <row r="1822" spans="23:23">
      <c r="W1822"/>
    </row>
    <row r="1823" spans="23:23">
      <c r="W1823"/>
    </row>
    <row r="1824" spans="23:23">
      <c r="W1824"/>
    </row>
    <row r="1825" spans="23:23">
      <c r="W1825"/>
    </row>
    <row r="1826" spans="23:23">
      <c r="W1826"/>
    </row>
    <row r="1827" spans="23:23">
      <c r="W1827"/>
    </row>
    <row r="1828" spans="23:23">
      <c r="W1828"/>
    </row>
    <row r="1829" spans="23:23">
      <c r="W1829"/>
    </row>
    <row r="1830" spans="23:23">
      <c r="W1830"/>
    </row>
    <row r="1831" spans="23:23">
      <c r="W1831"/>
    </row>
    <row r="1832" spans="23:23">
      <c r="W1832"/>
    </row>
    <row r="1833" spans="23:23">
      <c r="W1833"/>
    </row>
    <row r="1834" spans="23:23">
      <c r="W1834"/>
    </row>
    <row r="1835" spans="23:23">
      <c r="W1835"/>
    </row>
    <row r="1836" spans="23:23">
      <c r="W1836"/>
    </row>
    <row r="1837" spans="23:23">
      <c r="W1837"/>
    </row>
    <row r="1838" spans="23:23">
      <c r="W1838"/>
    </row>
    <row r="1839" spans="23:23">
      <c r="W1839"/>
    </row>
    <row r="1840" spans="23:23">
      <c r="W1840"/>
    </row>
    <row r="1841" spans="23:23">
      <c r="W1841"/>
    </row>
    <row r="1842" spans="23:23">
      <c r="W1842"/>
    </row>
    <row r="1843" spans="23:23">
      <c r="W1843"/>
    </row>
    <row r="1844" spans="23:23">
      <c r="W1844"/>
    </row>
    <row r="1845" spans="23:23">
      <c r="W1845"/>
    </row>
    <row r="1846" spans="23:23">
      <c r="W1846"/>
    </row>
    <row r="1847" spans="23:23">
      <c r="W1847"/>
    </row>
    <row r="1848" spans="23:23">
      <c r="W1848"/>
    </row>
    <row r="1849" spans="23:23">
      <c r="W1849"/>
    </row>
    <row r="1850" spans="23:23">
      <c r="W1850"/>
    </row>
    <row r="1851" spans="23:23">
      <c r="W1851"/>
    </row>
    <row r="1852" spans="23:23">
      <c r="W1852"/>
    </row>
    <row r="1853" spans="23:23">
      <c r="W1853"/>
    </row>
    <row r="1854" spans="23:23">
      <c r="W1854"/>
    </row>
    <row r="1855" spans="23:23">
      <c r="W1855"/>
    </row>
    <row r="1856" spans="23:23">
      <c r="W1856"/>
    </row>
    <row r="1857" spans="23:23">
      <c r="W1857"/>
    </row>
    <row r="1858" spans="23:23">
      <c r="W1858"/>
    </row>
    <row r="1859" spans="23:23">
      <c r="W1859"/>
    </row>
    <row r="1860" spans="23:23">
      <c r="W1860"/>
    </row>
    <row r="1861" spans="23:23">
      <c r="W1861"/>
    </row>
    <row r="1862" spans="23:23">
      <c r="W1862"/>
    </row>
    <row r="1863" spans="23:23">
      <c r="W1863"/>
    </row>
    <row r="1864" spans="23:23">
      <c r="W1864"/>
    </row>
    <row r="1865" spans="23:23">
      <c r="W1865"/>
    </row>
    <row r="1866" spans="23:23">
      <c r="W1866"/>
    </row>
    <row r="1867" spans="23:23">
      <c r="W1867"/>
    </row>
    <row r="1868" spans="23:23">
      <c r="W1868"/>
    </row>
    <row r="1869" spans="23:23">
      <c r="W1869"/>
    </row>
    <row r="1870" spans="23:23">
      <c r="W1870"/>
    </row>
    <row r="1871" spans="23:23">
      <c r="W1871"/>
    </row>
    <row r="1872" spans="23:23">
      <c r="W1872"/>
    </row>
    <row r="1873" spans="23:23">
      <c r="W1873"/>
    </row>
    <row r="1874" spans="23:23">
      <c r="W1874"/>
    </row>
    <row r="1875" spans="23:23">
      <c r="W1875"/>
    </row>
    <row r="1876" spans="23:23">
      <c r="W1876"/>
    </row>
    <row r="1877" spans="23:23">
      <c r="W1877"/>
    </row>
    <row r="1878" spans="23:23">
      <c r="W1878"/>
    </row>
    <row r="1879" spans="23:23">
      <c r="W1879"/>
    </row>
    <row r="1880" spans="23:23">
      <c r="W1880"/>
    </row>
    <row r="1881" spans="23:23">
      <c r="W1881"/>
    </row>
    <row r="1882" spans="23:23">
      <c r="W1882"/>
    </row>
    <row r="1883" spans="23:23">
      <c r="W1883"/>
    </row>
    <row r="1884" spans="23:23">
      <c r="W1884"/>
    </row>
    <row r="1885" spans="23:23">
      <c r="W1885"/>
    </row>
    <row r="1886" spans="23:23">
      <c r="W1886"/>
    </row>
    <row r="1887" spans="23:23">
      <c r="W1887"/>
    </row>
    <row r="1888" spans="23:23">
      <c r="W1888"/>
    </row>
    <row r="1889" spans="23:23">
      <c r="W1889"/>
    </row>
    <row r="1890" spans="23:23">
      <c r="W1890"/>
    </row>
    <row r="1891" spans="23:23">
      <c r="W1891"/>
    </row>
    <row r="1892" spans="23:23">
      <c r="W1892"/>
    </row>
    <row r="1893" spans="23:23">
      <c r="W1893"/>
    </row>
    <row r="1894" spans="23:23">
      <c r="W1894"/>
    </row>
    <row r="1895" spans="23:23">
      <c r="W1895"/>
    </row>
    <row r="1896" spans="23:23">
      <c r="W1896"/>
    </row>
    <row r="1897" spans="23:23">
      <c r="W1897"/>
    </row>
    <row r="1898" spans="23:23">
      <c r="W1898"/>
    </row>
    <row r="1899" spans="23:23">
      <c r="W1899"/>
    </row>
    <row r="1900" spans="23:23">
      <c r="W1900"/>
    </row>
    <row r="1901" spans="23:23">
      <c r="W1901"/>
    </row>
    <row r="1902" spans="23:23">
      <c r="W1902"/>
    </row>
    <row r="1903" spans="23:23">
      <c r="W1903"/>
    </row>
    <row r="1904" spans="23:23">
      <c r="W1904"/>
    </row>
    <row r="1905" spans="23:23">
      <c r="W1905"/>
    </row>
    <row r="1906" spans="23:23">
      <c r="W1906"/>
    </row>
    <row r="1907" spans="23:23">
      <c r="W1907"/>
    </row>
    <row r="1908" spans="23:23">
      <c r="W1908"/>
    </row>
    <row r="1909" spans="23:23">
      <c r="W1909"/>
    </row>
    <row r="1910" spans="23:23">
      <c r="W1910"/>
    </row>
    <row r="1911" spans="23:23">
      <c r="W1911"/>
    </row>
    <row r="1912" spans="23:23">
      <c r="W1912"/>
    </row>
    <row r="1913" spans="23:23">
      <c r="W1913"/>
    </row>
    <row r="1914" spans="23:23">
      <c r="W1914"/>
    </row>
    <row r="1915" spans="23:23">
      <c r="W1915"/>
    </row>
    <row r="1916" spans="23:23">
      <c r="W1916"/>
    </row>
    <row r="1917" spans="23:23">
      <c r="W1917"/>
    </row>
    <row r="1918" spans="23:23">
      <c r="W1918"/>
    </row>
    <row r="1919" spans="23:23">
      <c r="W1919"/>
    </row>
    <row r="1920" spans="23:23">
      <c r="W1920"/>
    </row>
    <row r="1921" spans="23:23">
      <c r="W1921"/>
    </row>
    <row r="1922" spans="23:23">
      <c r="W1922"/>
    </row>
    <row r="1923" spans="23:23">
      <c r="W1923"/>
    </row>
    <row r="1924" spans="23:23">
      <c r="W1924"/>
    </row>
    <row r="1925" spans="23:23">
      <c r="W1925"/>
    </row>
    <row r="1926" spans="23:23">
      <c r="W1926"/>
    </row>
    <row r="1927" spans="23:23">
      <c r="W1927"/>
    </row>
    <row r="1928" spans="23:23">
      <c r="W1928"/>
    </row>
    <row r="1929" spans="23:23">
      <c r="W1929"/>
    </row>
    <row r="1930" spans="23:23">
      <c r="W1930"/>
    </row>
    <row r="1931" spans="23:23">
      <c r="W1931"/>
    </row>
    <row r="1932" spans="23:23">
      <c r="W1932"/>
    </row>
    <row r="1933" spans="23:23">
      <c r="W1933"/>
    </row>
    <row r="1934" spans="23:23">
      <c r="W1934"/>
    </row>
    <row r="1935" spans="23:23">
      <c r="W1935"/>
    </row>
    <row r="1936" spans="23:23">
      <c r="W1936"/>
    </row>
    <row r="1937" spans="23:23">
      <c r="W1937"/>
    </row>
    <row r="1938" spans="23:23">
      <c r="W1938"/>
    </row>
    <row r="1939" spans="23:23">
      <c r="W1939"/>
    </row>
    <row r="1940" spans="23:23">
      <c r="W1940"/>
    </row>
    <row r="1941" spans="23:23">
      <c r="W1941"/>
    </row>
    <row r="1942" spans="23:23">
      <c r="W1942"/>
    </row>
    <row r="1943" spans="23:23">
      <c r="W1943"/>
    </row>
    <row r="1944" spans="23:23">
      <c r="W1944"/>
    </row>
    <row r="1945" spans="23:23">
      <c r="W1945"/>
    </row>
    <row r="1946" spans="23:23">
      <c r="W1946"/>
    </row>
    <row r="1947" spans="23:23">
      <c r="W1947"/>
    </row>
    <row r="1948" spans="23:23">
      <c r="W1948"/>
    </row>
    <row r="1949" spans="23:23">
      <c r="W1949"/>
    </row>
    <row r="1950" spans="23:23">
      <c r="W1950"/>
    </row>
    <row r="1951" spans="23:23">
      <c r="W1951"/>
    </row>
    <row r="1952" spans="23:23">
      <c r="W1952"/>
    </row>
    <row r="1953" spans="23:23">
      <c r="W1953"/>
    </row>
    <row r="1954" spans="23:23">
      <c r="W1954"/>
    </row>
    <row r="1955" spans="23:23">
      <c r="W1955"/>
    </row>
    <row r="1956" spans="23:23">
      <c r="W1956"/>
    </row>
    <row r="1957" spans="23:23">
      <c r="W1957"/>
    </row>
    <row r="1958" spans="23:23">
      <c r="W1958"/>
    </row>
    <row r="1959" spans="23:23">
      <c r="W1959"/>
    </row>
    <row r="1960" spans="23:23">
      <c r="W1960"/>
    </row>
    <row r="1961" spans="23:23">
      <c r="W1961"/>
    </row>
    <row r="1962" spans="23:23">
      <c r="W1962"/>
    </row>
    <row r="1963" spans="23:23">
      <c r="W1963"/>
    </row>
    <row r="1964" spans="23:23">
      <c r="W1964"/>
    </row>
    <row r="1965" spans="23:23">
      <c r="W1965"/>
    </row>
    <row r="1966" spans="23:23">
      <c r="W1966"/>
    </row>
    <row r="1967" spans="23:23">
      <c r="W1967"/>
    </row>
    <row r="1968" spans="23:23">
      <c r="W1968"/>
    </row>
    <row r="1969" spans="23:23">
      <c r="W1969"/>
    </row>
    <row r="1970" spans="23:23">
      <c r="W1970"/>
    </row>
    <row r="1971" spans="23:23">
      <c r="W1971"/>
    </row>
    <row r="1972" spans="23:23">
      <c r="W1972"/>
    </row>
    <row r="1973" spans="23:23">
      <c r="W1973"/>
    </row>
    <row r="1974" spans="23:23">
      <c r="W1974"/>
    </row>
    <row r="1975" spans="23:23">
      <c r="W1975"/>
    </row>
    <row r="1976" spans="23:23">
      <c r="W1976"/>
    </row>
    <row r="1977" spans="23:23">
      <c r="W1977"/>
    </row>
    <row r="1978" spans="23:23">
      <c r="W1978"/>
    </row>
    <row r="1979" spans="23:23">
      <c r="W1979"/>
    </row>
    <row r="1980" spans="23:23">
      <c r="W1980"/>
    </row>
    <row r="1981" spans="23:23">
      <c r="W1981"/>
    </row>
    <row r="1982" spans="23:23">
      <c r="W1982"/>
    </row>
    <row r="1983" spans="23:23">
      <c r="W1983"/>
    </row>
    <row r="1984" spans="23:23">
      <c r="W1984"/>
    </row>
    <row r="1985" spans="23:23">
      <c r="W1985"/>
    </row>
    <row r="1986" spans="23:23">
      <c r="W1986"/>
    </row>
    <row r="1987" spans="23:23">
      <c r="W1987"/>
    </row>
    <row r="1988" spans="23:23">
      <c r="W1988"/>
    </row>
    <row r="1989" spans="23:23">
      <c r="W1989"/>
    </row>
    <row r="1990" spans="23:23">
      <c r="W1990"/>
    </row>
    <row r="1991" spans="23:23">
      <c r="W1991"/>
    </row>
    <row r="1992" spans="23:23">
      <c r="W1992"/>
    </row>
    <row r="1993" spans="23:23">
      <c r="W1993"/>
    </row>
    <row r="1994" spans="23:23">
      <c r="W1994"/>
    </row>
    <row r="1995" spans="23:23">
      <c r="W1995"/>
    </row>
    <row r="1996" spans="23:23">
      <c r="W1996"/>
    </row>
    <row r="1997" spans="23:23">
      <c r="W1997"/>
    </row>
    <row r="1998" spans="23:23">
      <c r="W1998"/>
    </row>
    <row r="1999" spans="23:23">
      <c r="W1999"/>
    </row>
    <row r="2000" spans="23:23">
      <c r="W2000"/>
    </row>
    <row r="2001" spans="23:23">
      <c r="W2001"/>
    </row>
    <row r="2002" spans="23:23">
      <c r="W2002"/>
    </row>
    <row r="2003" spans="23:23">
      <c r="W2003"/>
    </row>
    <row r="2004" spans="23:23">
      <c r="W2004"/>
    </row>
    <row r="2005" spans="23:23">
      <c r="W2005"/>
    </row>
    <row r="2006" spans="23:23">
      <c r="W2006"/>
    </row>
    <row r="2007" spans="23:23">
      <c r="W2007"/>
    </row>
    <row r="2008" spans="23:23">
      <c r="W2008"/>
    </row>
    <row r="2009" spans="23:23">
      <c r="W2009"/>
    </row>
    <row r="2010" spans="23:23">
      <c r="W2010"/>
    </row>
    <row r="2011" spans="23:23">
      <c r="W2011"/>
    </row>
    <row r="2012" spans="23:23">
      <c r="W2012"/>
    </row>
    <row r="2013" spans="23:23">
      <c r="W2013"/>
    </row>
    <row r="2014" spans="23:23">
      <c r="W2014"/>
    </row>
    <row r="2015" spans="23:23">
      <c r="W2015"/>
    </row>
    <row r="2016" spans="23:23">
      <c r="W2016"/>
    </row>
    <row r="2017" spans="23:23">
      <c r="W2017"/>
    </row>
    <row r="2018" spans="23:23">
      <c r="W2018"/>
    </row>
    <row r="2019" spans="23:23">
      <c r="W2019"/>
    </row>
    <row r="2020" spans="23:23">
      <c r="W2020"/>
    </row>
    <row r="2021" spans="23:23">
      <c r="W2021"/>
    </row>
    <row r="2022" spans="23:23">
      <c r="W2022"/>
    </row>
    <row r="2023" spans="23:23">
      <c r="W2023"/>
    </row>
    <row r="2024" spans="23:23">
      <c r="W2024"/>
    </row>
    <row r="2025" spans="23:23">
      <c r="W2025"/>
    </row>
    <row r="2026" spans="23:23">
      <c r="W2026"/>
    </row>
    <row r="2027" spans="23:23">
      <c r="W2027"/>
    </row>
    <row r="2028" spans="23:23">
      <c r="W2028"/>
    </row>
    <row r="2029" spans="23:23">
      <c r="W2029"/>
    </row>
    <row r="2030" spans="23:23">
      <c r="W2030"/>
    </row>
    <row r="2031" spans="23:23">
      <c r="W2031"/>
    </row>
    <row r="2032" spans="23:23">
      <c r="W2032"/>
    </row>
    <row r="2033" spans="23:23">
      <c r="W2033"/>
    </row>
    <row r="2034" spans="23:23">
      <c r="W2034"/>
    </row>
    <row r="2035" spans="23:23">
      <c r="W2035"/>
    </row>
    <row r="2036" spans="23:23">
      <c r="W2036"/>
    </row>
    <row r="2037" spans="23:23">
      <c r="W2037"/>
    </row>
    <row r="2038" spans="23:23">
      <c r="W2038"/>
    </row>
    <row r="2039" spans="23:23">
      <c r="W2039"/>
    </row>
    <row r="2040" spans="23:23">
      <c r="W2040"/>
    </row>
    <row r="2041" spans="23:23">
      <c r="W2041"/>
    </row>
    <row r="2042" spans="23:23">
      <c r="W2042"/>
    </row>
    <row r="2043" spans="23:23">
      <c r="W2043"/>
    </row>
    <row r="2044" spans="23:23">
      <c r="W2044"/>
    </row>
    <row r="2045" spans="23:23">
      <c r="W2045"/>
    </row>
    <row r="2046" spans="23:23">
      <c r="W2046"/>
    </row>
    <row r="2047" spans="23:23">
      <c r="W2047"/>
    </row>
    <row r="2048" spans="23:23">
      <c r="W2048"/>
    </row>
    <row r="2049" spans="23:23">
      <c r="W2049"/>
    </row>
    <row r="2050" spans="23:23">
      <c r="W2050"/>
    </row>
    <row r="2051" spans="23:23">
      <c r="W2051"/>
    </row>
    <row r="2052" spans="23:23">
      <c r="W2052"/>
    </row>
    <row r="2053" spans="23:23">
      <c r="W2053"/>
    </row>
    <row r="2054" spans="23:23">
      <c r="W2054"/>
    </row>
    <row r="2055" spans="23:23">
      <c r="W2055"/>
    </row>
    <row r="2056" spans="23:23">
      <c r="W2056"/>
    </row>
    <row r="2057" spans="23:23">
      <c r="W2057"/>
    </row>
    <row r="2058" spans="23:23">
      <c r="W2058"/>
    </row>
    <row r="2059" spans="23:23">
      <c r="W2059"/>
    </row>
    <row r="2060" spans="23:23">
      <c r="W2060"/>
    </row>
    <row r="2061" spans="23:23">
      <c r="W2061"/>
    </row>
    <row r="2062" spans="23:23">
      <c r="W2062"/>
    </row>
    <row r="2063" spans="23:23">
      <c r="W2063"/>
    </row>
    <row r="2064" spans="23:23">
      <c r="W2064"/>
    </row>
    <row r="2065" spans="23:23">
      <c r="W2065"/>
    </row>
    <row r="2066" spans="23:23">
      <c r="W2066"/>
    </row>
    <row r="2067" spans="23:23">
      <c r="W2067"/>
    </row>
    <row r="2068" spans="23:23">
      <c r="W2068"/>
    </row>
    <row r="2069" spans="23:23">
      <c r="W2069"/>
    </row>
    <row r="2070" spans="23:23">
      <c r="W2070"/>
    </row>
    <row r="2071" spans="23:23">
      <c r="W2071"/>
    </row>
    <row r="2072" spans="23:23">
      <c r="W2072"/>
    </row>
    <row r="2073" spans="23:23">
      <c r="W2073"/>
    </row>
    <row r="2074" spans="23:23">
      <c r="W2074"/>
    </row>
    <row r="2075" spans="23:23">
      <c r="W2075"/>
    </row>
    <row r="2076" spans="23:23">
      <c r="W2076"/>
    </row>
    <row r="2077" spans="23:23">
      <c r="W2077"/>
    </row>
    <row r="2078" spans="23:23">
      <c r="W2078"/>
    </row>
    <row r="2079" spans="23:23">
      <c r="W2079"/>
    </row>
    <row r="2080" spans="23:23">
      <c r="W2080"/>
    </row>
    <row r="2081" spans="23:23">
      <c r="W2081"/>
    </row>
    <row r="2082" spans="23:23">
      <c r="W2082"/>
    </row>
    <row r="2083" spans="23:23">
      <c r="W2083"/>
    </row>
    <row r="2084" spans="23:23">
      <c r="W2084"/>
    </row>
    <row r="2085" spans="23:23">
      <c r="W2085"/>
    </row>
    <row r="2086" spans="23:23">
      <c r="W2086"/>
    </row>
    <row r="2087" spans="23:23">
      <c r="W2087"/>
    </row>
    <row r="2088" spans="23:23">
      <c r="W2088"/>
    </row>
    <row r="2089" spans="23:23">
      <c r="W2089"/>
    </row>
    <row r="2090" spans="23:23">
      <c r="W2090"/>
    </row>
    <row r="2091" spans="23:23">
      <c r="W2091"/>
    </row>
    <row r="2092" spans="23:23">
      <c r="W2092"/>
    </row>
    <row r="2093" spans="23:23">
      <c r="W2093"/>
    </row>
    <row r="2094" spans="23:23">
      <c r="W2094"/>
    </row>
    <row r="2095" spans="23:23">
      <c r="W2095"/>
    </row>
    <row r="2096" spans="23:23">
      <c r="W2096"/>
    </row>
    <row r="2097" spans="23:23">
      <c r="W2097"/>
    </row>
    <row r="2098" spans="23:23">
      <c r="W2098"/>
    </row>
    <row r="2099" spans="23:23">
      <c r="W2099"/>
    </row>
    <row r="2100" spans="23:23">
      <c r="W2100"/>
    </row>
    <row r="2101" spans="23:23">
      <c r="W2101"/>
    </row>
    <row r="2102" spans="23:23">
      <c r="W2102"/>
    </row>
    <row r="2103" spans="23:23">
      <c r="W2103"/>
    </row>
    <row r="2104" spans="23:23">
      <c r="W2104"/>
    </row>
    <row r="2105" spans="23:23">
      <c r="W2105"/>
    </row>
    <row r="2106" spans="23:23">
      <c r="W2106"/>
    </row>
    <row r="2107" spans="23:23">
      <c r="W2107"/>
    </row>
    <row r="2108" spans="23:23">
      <c r="W2108"/>
    </row>
    <row r="2109" spans="23:23">
      <c r="W2109"/>
    </row>
    <row r="2110" spans="23:23">
      <c r="W2110"/>
    </row>
    <row r="2111" spans="23:23">
      <c r="W2111"/>
    </row>
    <row r="2112" spans="23:23">
      <c r="W2112"/>
    </row>
    <row r="2113" spans="23:23">
      <c r="W2113"/>
    </row>
    <row r="2114" spans="23:23">
      <c r="W2114"/>
    </row>
    <row r="2115" spans="23:23">
      <c r="W2115"/>
    </row>
    <row r="2116" spans="23:23">
      <c r="W2116"/>
    </row>
    <row r="2117" spans="23:23">
      <c r="W2117"/>
    </row>
    <row r="2118" spans="23:23">
      <c r="W2118"/>
    </row>
    <row r="2119" spans="23:23">
      <c r="W2119"/>
    </row>
    <row r="2120" spans="23:23">
      <c r="W2120"/>
    </row>
    <row r="2121" spans="23:23">
      <c r="W2121"/>
    </row>
    <row r="2122" spans="23:23">
      <c r="W2122"/>
    </row>
    <row r="2123" spans="23:23">
      <c r="W2123"/>
    </row>
    <row r="2124" spans="23:23">
      <c r="W2124"/>
    </row>
    <row r="2125" spans="23:23">
      <c r="W2125"/>
    </row>
    <row r="2126" spans="23:23">
      <c r="W2126"/>
    </row>
    <row r="2127" spans="23:23">
      <c r="W2127"/>
    </row>
    <row r="2128" spans="23:23">
      <c r="W2128"/>
    </row>
    <row r="2129" spans="23:23">
      <c r="W2129"/>
    </row>
    <row r="2130" spans="23:23">
      <c r="W2130"/>
    </row>
    <row r="2131" spans="23:23">
      <c r="W2131"/>
    </row>
    <row r="2132" spans="23:23">
      <c r="W2132"/>
    </row>
    <row r="2133" spans="23:23">
      <c r="W2133"/>
    </row>
    <row r="2134" spans="23:23">
      <c r="W2134"/>
    </row>
    <row r="2135" spans="23:23">
      <c r="W2135"/>
    </row>
    <row r="2136" spans="23:23">
      <c r="W2136"/>
    </row>
    <row r="2137" spans="23:23">
      <c r="W2137"/>
    </row>
    <row r="2138" spans="23:23">
      <c r="W2138"/>
    </row>
    <row r="2139" spans="23:23">
      <c r="W2139"/>
    </row>
    <row r="2140" spans="23:23">
      <c r="W2140"/>
    </row>
    <row r="2141" spans="23:23">
      <c r="W2141"/>
    </row>
    <row r="2142" spans="23:23">
      <c r="W2142"/>
    </row>
    <row r="2143" spans="23:23">
      <c r="W2143"/>
    </row>
    <row r="2144" spans="23:23">
      <c r="W2144"/>
    </row>
    <row r="2145" spans="23:23">
      <c r="W2145"/>
    </row>
    <row r="2146" spans="23:23">
      <c r="W2146"/>
    </row>
    <row r="2147" spans="23:23">
      <c r="W2147"/>
    </row>
    <row r="2148" spans="23:23">
      <c r="W2148"/>
    </row>
    <row r="2149" spans="23:23">
      <c r="W2149"/>
    </row>
    <row r="2150" spans="23:23">
      <c r="W2150"/>
    </row>
    <row r="2151" spans="23:23">
      <c r="W2151"/>
    </row>
    <row r="2152" spans="23:23">
      <c r="W2152"/>
    </row>
    <row r="2153" spans="23:23">
      <c r="W2153"/>
    </row>
    <row r="2154" spans="23:23">
      <c r="W2154"/>
    </row>
    <row r="2155" spans="23:23">
      <c r="W2155"/>
    </row>
    <row r="2156" spans="23:23">
      <c r="W2156"/>
    </row>
    <row r="2157" spans="23:23">
      <c r="W2157"/>
    </row>
    <row r="2158" spans="23:23">
      <c r="W2158"/>
    </row>
    <row r="2159" spans="23:23">
      <c r="W2159"/>
    </row>
    <row r="2160" spans="23:23">
      <c r="W2160"/>
    </row>
    <row r="2161" spans="23:23">
      <c r="W2161"/>
    </row>
    <row r="2162" spans="23:23">
      <c r="W2162"/>
    </row>
    <row r="2163" spans="23:23">
      <c r="W2163"/>
    </row>
    <row r="2164" spans="23:23">
      <c r="W2164"/>
    </row>
    <row r="2165" spans="23:23">
      <c r="W2165"/>
    </row>
    <row r="2166" spans="23:23">
      <c r="W2166"/>
    </row>
    <row r="2167" spans="23:23">
      <c r="W2167"/>
    </row>
    <row r="2168" spans="23:23">
      <c r="W2168"/>
    </row>
    <row r="2169" spans="23:23">
      <c r="W2169"/>
    </row>
    <row r="2170" spans="23:23">
      <c r="W2170"/>
    </row>
    <row r="2171" spans="23:23">
      <c r="W2171"/>
    </row>
    <row r="2172" spans="23:23">
      <c r="W2172"/>
    </row>
    <row r="2173" spans="23:23">
      <c r="W2173"/>
    </row>
    <row r="2174" spans="23:23">
      <c r="W2174"/>
    </row>
    <row r="2175" spans="23:23">
      <c r="W2175"/>
    </row>
    <row r="2176" spans="23:23">
      <c r="W2176"/>
    </row>
    <row r="2177" spans="23:23">
      <c r="W2177"/>
    </row>
    <row r="2178" spans="23:23">
      <c r="W2178"/>
    </row>
    <row r="2179" spans="23:23">
      <c r="W2179"/>
    </row>
    <row r="2180" spans="23:23">
      <c r="W2180"/>
    </row>
    <row r="2181" spans="23:23">
      <c r="W2181"/>
    </row>
    <row r="2182" spans="23:23">
      <c r="W2182"/>
    </row>
    <row r="2183" spans="23:23">
      <c r="W2183"/>
    </row>
    <row r="2184" spans="23:23">
      <c r="W2184"/>
    </row>
    <row r="2185" spans="23:23">
      <c r="W2185"/>
    </row>
    <row r="2186" spans="23:23">
      <c r="W2186"/>
    </row>
    <row r="2187" spans="23:23">
      <c r="W2187"/>
    </row>
    <row r="2188" spans="23:23">
      <c r="W2188"/>
    </row>
    <row r="2189" spans="23:23">
      <c r="W2189"/>
    </row>
    <row r="2190" spans="23:23">
      <c r="W2190"/>
    </row>
    <row r="2191" spans="23:23">
      <c r="W2191"/>
    </row>
    <row r="2192" spans="23:23">
      <c r="W2192"/>
    </row>
    <row r="2193" spans="23:23">
      <c r="W2193"/>
    </row>
    <row r="2194" spans="23:23">
      <c r="W2194"/>
    </row>
    <row r="2195" spans="23:23">
      <c r="W2195"/>
    </row>
    <row r="2196" spans="23:23">
      <c r="W2196"/>
    </row>
    <row r="2197" spans="23:23">
      <c r="W2197"/>
    </row>
    <row r="2198" spans="23:23">
      <c r="W2198"/>
    </row>
    <row r="2199" spans="23:23">
      <c r="W2199"/>
    </row>
    <row r="2200" spans="23:23">
      <c r="W2200"/>
    </row>
    <row r="2201" spans="23:23">
      <c r="W2201"/>
    </row>
    <row r="2202" spans="23:23">
      <c r="W2202"/>
    </row>
    <row r="2203" spans="23:23">
      <c r="W2203"/>
    </row>
    <row r="2204" spans="23:23">
      <c r="W2204"/>
    </row>
    <row r="2205" spans="23:23">
      <c r="W2205"/>
    </row>
    <row r="2206" spans="23:23">
      <c r="W2206"/>
    </row>
    <row r="2207" spans="23:23">
      <c r="W2207"/>
    </row>
    <row r="2208" spans="23:23">
      <c r="W2208"/>
    </row>
    <row r="2209" spans="23:23">
      <c r="W2209"/>
    </row>
    <row r="2210" spans="23:23">
      <c r="W2210"/>
    </row>
    <row r="2211" spans="23:23">
      <c r="W2211"/>
    </row>
    <row r="2212" spans="23:23">
      <c r="W2212"/>
    </row>
    <row r="2213" spans="23:23">
      <c r="W2213"/>
    </row>
    <row r="2214" spans="23:23">
      <c r="W2214"/>
    </row>
    <row r="2215" spans="23:23">
      <c r="W2215"/>
    </row>
    <row r="2216" spans="23:23">
      <c r="W2216"/>
    </row>
    <row r="2217" spans="23:23">
      <c r="W2217"/>
    </row>
    <row r="2218" spans="23:23">
      <c r="W2218"/>
    </row>
    <row r="2219" spans="23:23">
      <c r="W2219"/>
    </row>
    <row r="2220" spans="23:23">
      <c r="W2220"/>
    </row>
    <row r="2221" spans="23:23">
      <c r="W2221"/>
    </row>
    <row r="2222" spans="23:23">
      <c r="W2222"/>
    </row>
    <row r="2223" spans="23:23">
      <c r="W2223"/>
    </row>
    <row r="2224" spans="23:23">
      <c r="W2224"/>
    </row>
    <row r="2225" spans="23:23">
      <c r="W2225"/>
    </row>
    <row r="2226" spans="23:23">
      <c r="W2226"/>
    </row>
    <row r="2227" spans="23:23">
      <c r="W2227"/>
    </row>
    <row r="2228" spans="23:23">
      <c r="W2228"/>
    </row>
    <row r="2229" spans="23:23">
      <c r="W2229"/>
    </row>
    <row r="2230" spans="23:23">
      <c r="W2230"/>
    </row>
    <row r="2231" spans="23:23">
      <c r="W2231"/>
    </row>
    <row r="2232" spans="23:23">
      <c r="W2232"/>
    </row>
    <row r="2233" spans="23:23">
      <c r="W2233"/>
    </row>
    <row r="2234" spans="23:23">
      <c r="W2234"/>
    </row>
    <row r="2235" spans="23:23">
      <c r="W2235"/>
    </row>
    <row r="2236" spans="23:23">
      <c r="W2236"/>
    </row>
    <row r="2237" spans="23:23">
      <c r="W2237"/>
    </row>
    <row r="2238" spans="23:23">
      <c r="W2238"/>
    </row>
    <row r="2239" spans="23:23">
      <c r="W2239"/>
    </row>
    <row r="2240" spans="23:23">
      <c r="W2240"/>
    </row>
    <row r="2241" spans="23:23">
      <c r="W2241"/>
    </row>
    <row r="2242" spans="23:23">
      <c r="W2242"/>
    </row>
    <row r="2243" spans="23:23">
      <c r="W2243"/>
    </row>
    <row r="2244" spans="23:23">
      <c r="W2244"/>
    </row>
    <row r="2245" spans="23:23">
      <c r="W2245"/>
    </row>
    <row r="2246" spans="23:23">
      <c r="W2246"/>
    </row>
    <row r="2247" spans="23:23">
      <c r="W2247"/>
    </row>
    <row r="2248" spans="23:23">
      <c r="W2248"/>
    </row>
    <row r="2249" spans="23:23">
      <c r="W2249"/>
    </row>
    <row r="2250" spans="23:23">
      <c r="W2250"/>
    </row>
    <row r="2251" spans="23:23">
      <c r="W2251"/>
    </row>
    <row r="2252" spans="23:23">
      <c r="W2252"/>
    </row>
    <row r="2253" spans="23:23">
      <c r="W2253"/>
    </row>
    <row r="2254" spans="23:23">
      <c r="W2254"/>
    </row>
    <row r="2255" spans="23:23">
      <c r="W2255"/>
    </row>
    <row r="2256" spans="23:23">
      <c r="W2256"/>
    </row>
    <row r="2257" spans="23:23">
      <c r="W2257"/>
    </row>
    <row r="2258" spans="23:23">
      <c r="W2258"/>
    </row>
    <row r="2259" spans="23:23">
      <c r="W2259"/>
    </row>
    <row r="2260" spans="23:23">
      <c r="W2260"/>
    </row>
    <row r="2261" spans="23:23">
      <c r="W2261"/>
    </row>
    <row r="2262" spans="23:23">
      <c r="W2262"/>
    </row>
    <row r="2263" spans="23:23">
      <c r="W2263"/>
    </row>
    <row r="2264" spans="23:23">
      <c r="W2264"/>
    </row>
    <row r="2265" spans="23:23">
      <c r="W2265"/>
    </row>
    <row r="2266" spans="23:23">
      <c r="W2266"/>
    </row>
    <row r="2267" spans="23:23">
      <c r="W2267"/>
    </row>
    <row r="2268" spans="23:23">
      <c r="W2268"/>
    </row>
    <row r="2269" spans="23:23">
      <c r="W2269"/>
    </row>
    <row r="2270" spans="23:23">
      <c r="W2270"/>
    </row>
    <row r="2271" spans="23:23">
      <c r="W2271"/>
    </row>
    <row r="2272" spans="23:23">
      <c r="W2272"/>
    </row>
    <row r="2273" spans="23:23">
      <c r="W2273"/>
    </row>
    <row r="2274" spans="23:23">
      <c r="W2274"/>
    </row>
    <row r="2275" spans="23:23">
      <c r="W2275"/>
    </row>
    <row r="2276" spans="23:23">
      <c r="W2276"/>
    </row>
    <row r="2277" spans="23:23">
      <c r="W2277"/>
    </row>
    <row r="2278" spans="23:23">
      <c r="W2278"/>
    </row>
    <row r="2279" spans="23:23">
      <c r="W2279"/>
    </row>
    <row r="2280" spans="23:23">
      <c r="W2280"/>
    </row>
    <row r="2281" spans="23:23">
      <c r="W2281"/>
    </row>
    <row r="2282" spans="23:23">
      <c r="W2282"/>
    </row>
    <row r="2283" spans="23:23">
      <c r="W2283"/>
    </row>
    <row r="2284" spans="23:23">
      <c r="W2284"/>
    </row>
    <row r="2285" spans="23:23">
      <c r="W2285"/>
    </row>
    <row r="2286" spans="23:23">
      <c r="W2286"/>
    </row>
    <row r="2287" spans="23:23">
      <c r="W2287"/>
    </row>
    <row r="2288" spans="23:23">
      <c r="W2288"/>
    </row>
    <row r="2289" spans="23:23">
      <c r="W2289"/>
    </row>
    <row r="2290" spans="23:23">
      <c r="W2290"/>
    </row>
    <row r="2291" spans="23:23">
      <c r="W2291"/>
    </row>
    <row r="2292" spans="23:23">
      <c r="W2292"/>
    </row>
    <row r="2293" spans="23:23">
      <c r="W2293"/>
    </row>
    <row r="2294" spans="23:23">
      <c r="W2294"/>
    </row>
    <row r="2295" spans="23:23">
      <c r="W2295"/>
    </row>
    <row r="2296" spans="23:23">
      <c r="W2296"/>
    </row>
    <row r="2297" spans="23:23">
      <c r="W2297"/>
    </row>
    <row r="2298" spans="23:23">
      <c r="W2298"/>
    </row>
    <row r="2299" spans="23:23">
      <c r="W2299"/>
    </row>
    <row r="2300" spans="23:23">
      <c r="W2300"/>
    </row>
    <row r="2301" spans="23:23">
      <c r="W2301"/>
    </row>
    <row r="2302" spans="23:23">
      <c r="W2302"/>
    </row>
    <row r="2303" spans="23:23">
      <c r="W2303"/>
    </row>
    <row r="2304" spans="23:23">
      <c r="W2304"/>
    </row>
    <row r="2305" spans="23:23">
      <c r="W2305"/>
    </row>
    <row r="2306" spans="23:23">
      <c r="W2306"/>
    </row>
    <row r="2307" spans="23:23">
      <c r="W2307"/>
    </row>
    <row r="2308" spans="23:23">
      <c r="W2308"/>
    </row>
    <row r="2309" spans="23:23">
      <c r="W2309"/>
    </row>
    <row r="2310" spans="23:23">
      <c r="W2310"/>
    </row>
    <row r="2311" spans="23:23">
      <c r="W2311"/>
    </row>
    <row r="2312" spans="23:23">
      <c r="W2312"/>
    </row>
    <row r="2313" spans="23:23">
      <c r="W2313"/>
    </row>
    <row r="2314" spans="23:23">
      <c r="W2314"/>
    </row>
    <row r="2315" spans="23:23">
      <c r="W2315"/>
    </row>
    <row r="2316" spans="23:23">
      <c r="W2316"/>
    </row>
    <row r="2317" spans="23:23">
      <c r="W2317"/>
    </row>
    <row r="2318" spans="23:23">
      <c r="W2318"/>
    </row>
    <row r="2319" spans="23:23">
      <c r="W2319"/>
    </row>
    <row r="2320" spans="23:23">
      <c r="W2320"/>
    </row>
    <row r="2321" spans="23:23">
      <c r="W2321"/>
    </row>
    <row r="2322" spans="23:23">
      <c r="W2322"/>
    </row>
    <row r="2323" spans="23:23">
      <c r="W2323"/>
    </row>
    <row r="2324" spans="23:23">
      <c r="W2324"/>
    </row>
    <row r="2325" spans="23:23">
      <c r="W2325"/>
    </row>
    <row r="2326" spans="23:23">
      <c r="W2326"/>
    </row>
    <row r="2327" spans="23:23">
      <c r="W2327"/>
    </row>
    <row r="2328" spans="23:23">
      <c r="W2328"/>
    </row>
    <row r="2329" spans="23:23">
      <c r="W2329"/>
    </row>
    <row r="2330" spans="23:23">
      <c r="W2330"/>
    </row>
    <row r="2331" spans="23:23">
      <c r="W2331"/>
    </row>
    <row r="2332" spans="23:23">
      <c r="W2332"/>
    </row>
    <row r="2333" spans="23:23">
      <c r="W2333"/>
    </row>
    <row r="2334" spans="23:23">
      <c r="W2334"/>
    </row>
    <row r="2335" spans="23:23">
      <c r="W2335"/>
    </row>
    <row r="2336" spans="23:23">
      <c r="W2336"/>
    </row>
    <row r="2337" spans="23:23">
      <c r="W2337"/>
    </row>
    <row r="2338" spans="23:23">
      <c r="W2338"/>
    </row>
    <row r="2339" spans="23:23">
      <c r="W2339"/>
    </row>
    <row r="2340" spans="23:23">
      <c r="W2340"/>
    </row>
    <row r="2341" spans="23:23">
      <c r="W2341"/>
    </row>
    <row r="2342" spans="23:23">
      <c r="W2342"/>
    </row>
    <row r="2343" spans="23:23">
      <c r="W2343"/>
    </row>
    <row r="2344" spans="23:23">
      <c r="W2344"/>
    </row>
    <row r="2345" spans="23:23">
      <c r="W2345"/>
    </row>
    <row r="2346" spans="23:23">
      <c r="W2346"/>
    </row>
    <row r="2347" spans="23:23">
      <c r="W2347"/>
    </row>
    <row r="2348" spans="23:23">
      <c r="W2348"/>
    </row>
    <row r="2349" spans="23:23">
      <c r="W2349"/>
    </row>
    <row r="2350" spans="23:23">
      <c r="W2350"/>
    </row>
    <row r="2351" spans="23:23">
      <c r="W2351"/>
    </row>
    <row r="2352" spans="23:23">
      <c r="W2352"/>
    </row>
    <row r="2353" spans="23:23">
      <c r="W2353"/>
    </row>
    <row r="2354" spans="23:23">
      <c r="W2354"/>
    </row>
    <row r="2355" spans="23:23">
      <c r="W2355"/>
    </row>
    <row r="2356" spans="23:23">
      <c r="W2356"/>
    </row>
    <row r="2357" spans="23:23">
      <c r="W2357"/>
    </row>
    <row r="2358" spans="23:23">
      <c r="W2358"/>
    </row>
    <row r="2359" spans="23:23">
      <c r="W2359"/>
    </row>
    <row r="2360" spans="23:23">
      <c r="W2360"/>
    </row>
    <row r="2361" spans="23:23">
      <c r="W2361"/>
    </row>
    <row r="2362" spans="23:23">
      <c r="W2362"/>
    </row>
    <row r="2363" spans="23:23">
      <c r="W2363"/>
    </row>
    <row r="2364" spans="23:23">
      <c r="W2364"/>
    </row>
    <row r="2365" spans="23:23">
      <c r="W2365"/>
    </row>
    <row r="2366" spans="23:23">
      <c r="W2366"/>
    </row>
    <row r="2367" spans="23:23">
      <c r="W2367"/>
    </row>
    <row r="2368" spans="23:23">
      <c r="W2368"/>
    </row>
    <row r="2369" spans="23:23">
      <c r="W2369"/>
    </row>
    <row r="2370" spans="23:23">
      <c r="W2370"/>
    </row>
    <row r="2371" spans="23:23">
      <c r="W2371"/>
    </row>
    <row r="2372" spans="23:23">
      <c r="W2372"/>
    </row>
    <row r="2373" spans="23:23">
      <c r="W2373"/>
    </row>
    <row r="2374" spans="23:23">
      <c r="W2374"/>
    </row>
    <row r="2375" spans="23:23">
      <c r="W2375"/>
    </row>
    <row r="2376" spans="23:23">
      <c r="W2376"/>
    </row>
    <row r="2377" spans="23:23">
      <c r="W2377"/>
    </row>
    <row r="2378" spans="23:23">
      <c r="W2378"/>
    </row>
    <row r="2379" spans="23:23">
      <c r="W2379"/>
    </row>
    <row r="2380" spans="23:23">
      <c r="W2380"/>
    </row>
    <row r="2381" spans="23:23">
      <c r="W2381"/>
    </row>
    <row r="2382" spans="23:23">
      <c r="W2382"/>
    </row>
    <row r="2383" spans="23:23">
      <c r="W2383"/>
    </row>
    <row r="2384" spans="23:23">
      <c r="W2384"/>
    </row>
    <row r="2385" spans="23:23">
      <c r="W2385"/>
    </row>
    <row r="2386" spans="23:23">
      <c r="W2386"/>
    </row>
    <row r="2387" spans="23:23">
      <c r="W2387"/>
    </row>
    <row r="2388" spans="23:23">
      <c r="W2388"/>
    </row>
    <row r="2389" spans="23:23">
      <c r="W2389"/>
    </row>
    <row r="2390" spans="23:23">
      <c r="W2390"/>
    </row>
    <row r="2391" spans="23:23">
      <c r="W2391"/>
    </row>
    <row r="2392" spans="23:23">
      <c r="W2392"/>
    </row>
    <row r="2393" spans="23:23">
      <c r="W2393"/>
    </row>
    <row r="2394" spans="23:23">
      <c r="W2394"/>
    </row>
    <row r="2395" spans="23:23">
      <c r="W2395"/>
    </row>
    <row r="2396" spans="23:23">
      <c r="W2396"/>
    </row>
    <row r="2397" spans="23:23">
      <c r="W2397"/>
    </row>
    <row r="2398" spans="23:23">
      <c r="W2398"/>
    </row>
    <row r="2399" spans="23:23">
      <c r="W2399"/>
    </row>
    <row r="2400" spans="23:23">
      <c r="W2400"/>
    </row>
    <row r="2401" spans="23:23">
      <c r="W2401"/>
    </row>
    <row r="2402" spans="23:23">
      <c r="W2402"/>
    </row>
    <row r="2403" spans="23:23">
      <c r="W2403"/>
    </row>
    <row r="2404" spans="23:23">
      <c r="W2404"/>
    </row>
    <row r="2405" spans="23:23">
      <c r="W2405"/>
    </row>
    <row r="2406" spans="23:23">
      <c r="W2406"/>
    </row>
    <row r="2407" spans="23:23">
      <c r="W2407"/>
    </row>
    <row r="2408" spans="23:23">
      <c r="W2408"/>
    </row>
    <row r="2409" spans="23:23">
      <c r="W2409"/>
    </row>
    <row r="2410" spans="23:23">
      <c r="W2410"/>
    </row>
    <row r="2411" spans="23:23">
      <c r="W2411"/>
    </row>
    <row r="2412" spans="23:23">
      <c r="W2412"/>
    </row>
    <row r="2413" spans="23:23">
      <c r="W2413"/>
    </row>
    <row r="2414" spans="23:23">
      <c r="W2414"/>
    </row>
    <row r="2415" spans="23:23">
      <c r="W2415"/>
    </row>
    <row r="2416" spans="23:23">
      <c r="W2416"/>
    </row>
    <row r="2417" spans="23:23">
      <c r="W2417"/>
    </row>
    <row r="2418" spans="23:23">
      <c r="W2418"/>
    </row>
    <row r="2419" spans="23:23">
      <c r="W2419"/>
    </row>
    <row r="2420" spans="23:23">
      <c r="W2420"/>
    </row>
    <row r="2421" spans="23:23">
      <c r="W2421"/>
    </row>
    <row r="2422" spans="23:23">
      <c r="W2422"/>
    </row>
    <row r="2423" spans="23:23">
      <c r="W2423"/>
    </row>
    <row r="2424" spans="23:23">
      <c r="W2424"/>
    </row>
    <row r="2425" spans="23:23">
      <c r="W2425"/>
    </row>
    <row r="2426" spans="23:23">
      <c r="W2426"/>
    </row>
    <row r="2427" spans="23:23">
      <c r="W2427"/>
    </row>
    <row r="2428" spans="23:23">
      <c r="W2428"/>
    </row>
    <row r="2429" spans="23:23">
      <c r="W2429"/>
    </row>
    <row r="2430" spans="23:23">
      <c r="W2430"/>
    </row>
    <row r="2431" spans="23:23">
      <c r="W2431"/>
    </row>
    <row r="2432" spans="23:23">
      <c r="W2432"/>
    </row>
    <row r="2433" spans="23:23">
      <c r="W2433"/>
    </row>
    <row r="2434" spans="23:23">
      <c r="W2434"/>
    </row>
    <row r="2435" spans="23:23">
      <c r="W2435"/>
    </row>
    <row r="2436" spans="23:23">
      <c r="W2436"/>
    </row>
    <row r="2437" spans="23:23">
      <c r="W2437"/>
    </row>
    <row r="2438" spans="23:23">
      <c r="W2438"/>
    </row>
    <row r="2439" spans="23:23">
      <c r="W2439"/>
    </row>
    <row r="2440" spans="23:23">
      <c r="W2440"/>
    </row>
    <row r="2441" spans="23:23">
      <c r="W2441"/>
    </row>
    <row r="2442" spans="23:23">
      <c r="W2442"/>
    </row>
    <row r="2443" spans="23:23">
      <c r="W2443"/>
    </row>
    <row r="2444" spans="23:23">
      <c r="W2444"/>
    </row>
    <row r="2445" spans="23:23">
      <c r="W2445"/>
    </row>
    <row r="2446" spans="23:23">
      <c r="W2446"/>
    </row>
    <row r="2447" spans="23:23">
      <c r="W2447"/>
    </row>
    <row r="2448" spans="23:23">
      <c r="W2448"/>
    </row>
    <row r="2449" spans="23:23">
      <c r="W2449"/>
    </row>
    <row r="2450" spans="23:23">
      <c r="W2450"/>
    </row>
    <row r="2451" spans="23:23">
      <c r="W2451"/>
    </row>
    <row r="2452" spans="23:23">
      <c r="W2452"/>
    </row>
    <row r="2453" spans="23:23">
      <c r="W2453"/>
    </row>
    <row r="2454" spans="23:23">
      <c r="W2454"/>
    </row>
    <row r="2455" spans="23:23">
      <c r="W2455"/>
    </row>
    <row r="2456" spans="23:23">
      <c r="W2456"/>
    </row>
    <row r="2457" spans="23:23">
      <c r="W2457"/>
    </row>
    <row r="2458" spans="23:23">
      <c r="W2458"/>
    </row>
    <row r="2459" spans="23:23">
      <c r="W2459"/>
    </row>
    <row r="2460" spans="23:23">
      <c r="W2460"/>
    </row>
    <row r="2461" spans="23:23">
      <c r="W2461"/>
    </row>
    <row r="2462" spans="23:23">
      <c r="W2462"/>
    </row>
    <row r="2463" spans="23:23">
      <c r="W2463"/>
    </row>
    <row r="2464" spans="23:23">
      <c r="W2464"/>
    </row>
    <row r="2465" spans="23:23">
      <c r="W2465"/>
    </row>
    <row r="2466" spans="23:23">
      <c r="W2466"/>
    </row>
    <row r="2467" spans="23:23">
      <c r="W2467"/>
    </row>
    <row r="2468" spans="23:23">
      <c r="W2468"/>
    </row>
    <row r="2469" spans="23:23">
      <c r="W2469"/>
    </row>
    <row r="2470" spans="23:23">
      <c r="W2470"/>
    </row>
    <row r="2471" spans="23:23">
      <c r="W2471"/>
    </row>
    <row r="2472" spans="23:23">
      <c r="W2472"/>
    </row>
    <row r="2473" spans="23:23">
      <c r="W2473"/>
    </row>
    <row r="2474" spans="23:23">
      <c r="W2474"/>
    </row>
    <row r="2475" spans="23:23">
      <c r="W2475"/>
    </row>
    <row r="2476" spans="23:23">
      <c r="W2476"/>
    </row>
    <row r="2477" spans="23:23">
      <c r="W2477"/>
    </row>
    <row r="2478" spans="23:23">
      <c r="W2478"/>
    </row>
    <row r="2479" spans="23:23">
      <c r="W2479"/>
    </row>
    <row r="2480" spans="23:23">
      <c r="W2480"/>
    </row>
    <row r="2481" spans="23:23">
      <c r="W2481"/>
    </row>
    <row r="2482" spans="23:23">
      <c r="W2482"/>
    </row>
    <row r="2483" spans="23:23">
      <c r="W2483"/>
    </row>
    <row r="2484" spans="23:23">
      <c r="W2484"/>
    </row>
    <row r="2485" spans="23:23">
      <c r="W2485"/>
    </row>
    <row r="2486" spans="23:23">
      <c r="W2486"/>
    </row>
    <row r="2487" spans="23:23">
      <c r="W2487"/>
    </row>
    <row r="2488" spans="23:23">
      <c r="W2488"/>
    </row>
    <row r="2489" spans="23:23">
      <c r="W2489"/>
    </row>
    <row r="2490" spans="23:23">
      <c r="W2490"/>
    </row>
    <row r="2491" spans="23:23">
      <c r="W2491"/>
    </row>
    <row r="2492" spans="23:23">
      <c r="W2492"/>
    </row>
    <row r="2493" spans="23:23">
      <c r="W2493"/>
    </row>
    <row r="2494" spans="23:23">
      <c r="W2494"/>
    </row>
    <row r="2495" spans="23:23">
      <c r="W2495"/>
    </row>
    <row r="2496" spans="23:23">
      <c r="W2496"/>
    </row>
    <row r="2497" spans="23:23">
      <c r="W2497"/>
    </row>
    <row r="2498" spans="23:23">
      <c r="W2498"/>
    </row>
    <row r="2499" spans="23:23">
      <c r="W2499"/>
    </row>
    <row r="2500" spans="23:23">
      <c r="W2500"/>
    </row>
    <row r="2501" spans="23:23">
      <c r="W2501"/>
    </row>
    <row r="2502" spans="23:23">
      <c r="W2502"/>
    </row>
    <row r="2503" spans="23:23">
      <c r="W2503"/>
    </row>
    <row r="2504" spans="23:23">
      <c r="W2504"/>
    </row>
    <row r="2505" spans="23:23">
      <c r="W2505"/>
    </row>
    <row r="2506" spans="23:23">
      <c r="W2506"/>
    </row>
    <row r="2507" spans="23:23">
      <c r="W2507"/>
    </row>
    <row r="2508" spans="23:23">
      <c r="W2508"/>
    </row>
    <row r="2509" spans="23:23">
      <c r="W2509"/>
    </row>
    <row r="2510" spans="23:23">
      <c r="W2510"/>
    </row>
    <row r="2511" spans="23:23">
      <c r="W2511"/>
    </row>
    <row r="2512" spans="23:23">
      <c r="W2512"/>
    </row>
    <row r="2513" spans="23:23">
      <c r="W2513"/>
    </row>
    <row r="2514" spans="23:23">
      <c r="W2514"/>
    </row>
    <row r="2515" spans="23:23">
      <c r="W2515"/>
    </row>
    <row r="2516" spans="23:23">
      <c r="W2516"/>
    </row>
    <row r="2517" spans="23:23">
      <c r="W2517"/>
    </row>
    <row r="2518" spans="23:23">
      <c r="W2518"/>
    </row>
    <row r="2519" spans="23:23">
      <c r="W2519"/>
    </row>
    <row r="2520" spans="23:23">
      <c r="W2520"/>
    </row>
    <row r="2521" spans="23:23">
      <c r="W2521"/>
    </row>
    <row r="2522" spans="23:23">
      <c r="W2522"/>
    </row>
    <row r="2523" spans="23:23">
      <c r="W2523"/>
    </row>
    <row r="2524" spans="23:23">
      <c r="W2524"/>
    </row>
    <row r="2525" spans="23:23">
      <c r="W2525"/>
    </row>
    <row r="2526" spans="23:23">
      <c r="W2526"/>
    </row>
    <row r="2527" spans="23:23">
      <c r="W2527"/>
    </row>
    <row r="2528" spans="23:23">
      <c r="W2528"/>
    </row>
    <row r="2529" spans="23:23">
      <c r="W2529"/>
    </row>
    <row r="2530" spans="23:23">
      <c r="W2530"/>
    </row>
    <row r="2531" spans="23:23">
      <c r="W2531"/>
    </row>
    <row r="2532" spans="23:23">
      <c r="W2532"/>
    </row>
    <row r="2533" spans="23:23">
      <c r="W2533"/>
    </row>
    <row r="2534" spans="23:23">
      <c r="W2534"/>
    </row>
    <row r="2535" spans="23:23">
      <c r="W2535"/>
    </row>
    <row r="2536" spans="23:23">
      <c r="W2536"/>
    </row>
    <row r="2537" spans="23:23">
      <c r="W2537"/>
    </row>
    <row r="2538" spans="23:23">
      <c r="W2538"/>
    </row>
    <row r="2539" spans="23:23">
      <c r="W2539"/>
    </row>
    <row r="2540" spans="23:23">
      <c r="W2540"/>
    </row>
    <row r="2541" spans="23:23">
      <c r="W2541"/>
    </row>
    <row r="2542" spans="23:23">
      <c r="W2542"/>
    </row>
    <row r="2543" spans="23:23">
      <c r="W2543"/>
    </row>
    <row r="2544" spans="23:23">
      <c r="W2544"/>
    </row>
    <row r="2545" spans="23:23">
      <c r="W2545"/>
    </row>
    <row r="2546" spans="23:23">
      <c r="W2546"/>
    </row>
    <row r="2547" spans="23:23">
      <c r="W2547"/>
    </row>
    <row r="2548" spans="23:23">
      <c r="W2548"/>
    </row>
    <row r="2549" spans="23:23">
      <c r="W2549"/>
    </row>
    <row r="2550" spans="23:23">
      <c r="W2550"/>
    </row>
    <row r="2551" spans="23:23">
      <c r="W2551"/>
    </row>
    <row r="2552" spans="23:23">
      <c r="W2552"/>
    </row>
    <row r="2553" spans="23:23">
      <c r="W2553"/>
    </row>
    <row r="2554" spans="23:23">
      <c r="W2554"/>
    </row>
    <row r="2555" spans="23:23">
      <c r="W2555"/>
    </row>
    <row r="2556" spans="23:23">
      <c r="W2556"/>
    </row>
    <row r="2557" spans="23:23">
      <c r="W2557"/>
    </row>
    <row r="2558" spans="23:23">
      <c r="W2558"/>
    </row>
    <row r="2559" spans="23:23">
      <c r="W2559"/>
    </row>
    <row r="2560" spans="23:23">
      <c r="W2560"/>
    </row>
    <row r="2561" spans="23:23">
      <c r="W2561"/>
    </row>
    <row r="2562" spans="23:23">
      <c r="W2562"/>
    </row>
    <row r="2563" spans="23:23">
      <c r="W2563"/>
    </row>
    <row r="2564" spans="23:23">
      <c r="W2564"/>
    </row>
    <row r="2565" spans="23:23">
      <c r="W2565"/>
    </row>
    <row r="2566" spans="23:23">
      <c r="W2566"/>
    </row>
    <row r="2567" spans="23:23">
      <c r="W2567"/>
    </row>
    <row r="2568" spans="23:23">
      <c r="W2568"/>
    </row>
    <row r="2569" spans="23:23">
      <c r="W2569"/>
    </row>
    <row r="2570" spans="23:23">
      <c r="W2570"/>
    </row>
    <row r="2571" spans="23:23">
      <c r="W2571"/>
    </row>
    <row r="2572" spans="23:23">
      <c r="W2572"/>
    </row>
    <row r="2573" spans="23:23">
      <c r="W2573"/>
    </row>
    <row r="2574" spans="23:23">
      <c r="W2574"/>
    </row>
    <row r="2575" spans="23:23">
      <c r="W2575"/>
    </row>
    <row r="2576" spans="23:23">
      <c r="W2576"/>
    </row>
    <row r="2577" spans="23:23">
      <c r="W2577"/>
    </row>
    <row r="2578" spans="23:23">
      <c r="W2578"/>
    </row>
    <row r="2579" spans="23:23">
      <c r="W2579"/>
    </row>
    <row r="2580" spans="23:23">
      <c r="W2580"/>
    </row>
    <row r="2581" spans="23:23">
      <c r="W2581"/>
    </row>
    <row r="2582" spans="23:23">
      <c r="W2582"/>
    </row>
    <row r="2583" spans="23:23">
      <c r="W2583"/>
    </row>
    <row r="2584" spans="23:23">
      <c r="W2584"/>
    </row>
    <row r="2585" spans="23:23">
      <c r="W2585"/>
    </row>
    <row r="2586" spans="23:23">
      <c r="W2586"/>
    </row>
    <row r="2587" spans="23:23">
      <c r="W2587"/>
    </row>
    <row r="2588" spans="23:23">
      <c r="W2588"/>
    </row>
    <row r="2589" spans="23:23">
      <c r="W2589"/>
    </row>
    <row r="2590" spans="23:23">
      <c r="W2590"/>
    </row>
    <row r="2591" spans="23:23">
      <c r="W2591"/>
    </row>
    <row r="2592" spans="23:23">
      <c r="W2592"/>
    </row>
    <row r="2593" spans="23:23">
      <c r="W2593"/>
    </row>
    <row r="2594" spans="23:23">
      <c r="W2594"/>
    </row>
    <row r="2595" spans="23:23">
      <c r="W2595"/>
    </row>
    <row r="2596" spans="23:23">
      <c r="W2596"/>
    </row>
    <row r="2597" spans="23:23">
      <c r="W2597"/>
    </row>
    <row r="2598" spans="23:23">
      <c r="W2598"/>
    </row>
    <row r="2599" spans="23:23">
      <c r="W2599"/>
    </row>
    <row r="2600" spans="23:23">
      <c r="W2600"/>
    </row>
    <row r="2601" spans="23:23">
      <c r="W2601"/>
    </row>
    <row r="2602" spans="23:23">
      <c r="W2602"/>
    </row>
    <row r="2603" spans="23:23">
      <c r="W2603"/>
    </row>
    <row r="2604" spans="23:23">
      <c r="W2604"/>
    </row>
    <row r="2605" spans="23:23">
      <c r="W2605"/>
    </row>
    <row r="2606" spans="23:23">
      <c r="W2606"/>
    </row>
    <row r="2607" spans="23:23">
      <c r="W2607"/>
    </row>
    <row r="2608" spans="23:23">
      <c r="W2608"/>
    </row>
    <row r="2609" spans="23:23">
      <c r="W2609"/>
    </row>
    <row r="2610" spans="23:23">
      <c r="W2610"/>
    </row>
    <row r="2611" spans="23:23">
      <c r="W2611"/>
    </row>
    <row r="2612" spans="23:23">
      <c r="W2612"/>
    </row>
    <row r="2613" spans="23:23">
      <c r="W2613"/>
    </row>
    <row r="2614" spans="23:23">
      <c r="W2614"/>
    </row>
    <row r="2615" spans="23:23">
      <c r="W2615"/>
    </row>
    <row r="2616" spans="23:23">
      <c r="W2616"/>
    </row>
    <row r="2617" spans="23:23">
      <c r="W2617"/>
    </row>
    <row r="2618" spans="23:23">
      <c r="W2618"/>
    </row>
    <row r="2619" spans="23:23">
      <c r="W2619"/>
    </row>
    <row r="2620" spans="23:23">
      <c r="W2620"/>
    </row>
    <row r="2621" spans="23:23">
      <c r="W2621"/>
    </row>
    <row r="2622" spans="23:23">
      <c r="W2622"/>
    </row>
    <row r="2623" spans="23:23">
      <c r="W2623"/>
    </row>
    <row r="2624" spans="23:23">
      <c r="W2624"/>
    </row>
    <row r="2625" spans="23:23">
      <c r="W2625"/>
    </row>
    <row r="2626" spans="23:23">
      <c r="W2626"/>
    </row>
    <row r="2627" spans="23:23">
      <c r="W2627"/>
    </row>
    <row r="2628" spans="23:23">
      <c r="W2628"/>
    </row>
    <row r="2629" spans="23:23">
      <c r="W2629"/>
    </row>
    <row r="2630" spans="23:23">
      <c r="W2630"/>
    </row>
    <row r="2631" spans="23:23">
      <c r="W2631"/>
    </row>
    <row r="2632" spans="23:23">
      <c r="W2632"/>
    </row>
    <row r="2633" spans="23:23">
      <c r="W2633"/>
    </row>
    <row r="2634" spans="23:23">
      <c r="W2634"/>
    </row>
    <row r="2635" spans="23:23">
      <c r="W2635"/>
    </row>
    <row r="2636" spans="23:23">
      <c r="W2636"/>
    </row>
    <row r="2637" spans="23:23">
      <c r="W2637"/>
    </row>
    <row r="2638" spans="23:23">
      <c r="W2638"/>
    </row>
    <row r="2639" spans="23:23">
      <c r="W2639"/>
    </row>
    <row r="2640" spans="23:23">
      <c r="W2640"/>
    </row>
    <row r="2641" spans="23:23">
      <c r="W2641"/>
    </row>
    <row r="2642" spans="23:23">
      <c r="W2642"/>
    </row>
    <row r="2643" spans="23:23">
      <c r="W2643"/>
    </row>
    <row r="2644" spans="23:23">
      <c r="W2644"/>
    </row>
    <row r="2645" spans="23:23">
      <c r="W2645"/>
    </row>
    <row r="2646" spans="23:23">
      <c r="W2646"/>
    </row>
    <row r="2647" spans="23:23">
      <c r="W2647"/>
    </row>
    <row r="2648" spans="23:23">
      <c r="W2648"/>
    </row>
    <row r="2649" spans="23:23">
      <c r="W2649"/>
    </row>
    <row r="2650" spans="23:23">
      <c r="W2650"/>
    </row>
    <row r="2651" spans="23:23">
      <c r="W2651"/>
    </row>
    <row r="2652" spans="23:23">
      <c r="W2652"/>
    </row>
    <row r="2653" spans="23:23">
      <c r="W2653"/>
    </row>
    <row r="2654" spans="23:23">
      <c r="W2654"/>
    </row>
    <row r="2655" spans="23:23">
      <c r="W2655"/>
    </row>
    <row r="2656" spans="23:23">
      <c r="W2656"/>
    </row>
    <row r="2657" spans="23:23">
      <c r="W2657"/>
    </row>
    <row r="2658" spans="23:23">
      <c r="W2658"/>
    </row>
    <row r="2659" spans="23:23">
      <c r="W2659"/>
    </row>
    <row r="2660" spans="23:23">
      <c r="W2660"/>
    </row>
    <row r="2661" spans="23:23">
      <c r="W2661"/>
    </row>
    <row r="2662" spans="23:23">
      <c r="W2662"/>
    </row>
    <row r="2663" spans="23:23">
      <c r="W2663"/>
    </row>
    <row r="2664" spans="23:23">
      <c r="W2664"/>
    </row>
    <row r="2665" spans="23:23">
      <c r="W2665"/>
    </row>
    <row r="2666" spans="23:23">
      <c r="W2666"/>
    </row>
    <row r="2667" spans="23:23">
      <c r="W2667"/>
    </row>
    <row r="2668" spans="23:23">
      <c r="W2668"/>
    </row>
    <row r="2669" spans="23:23">
      <c r="W2669"/>
    </row>
    <row r="2670" spans="23:23">
      <c r="W2670"/>
    </row>
    <row r="2671" spans="23:23">
      <c r="W2671"/>
    </row>
    <row r="2672" spans="23:23">
      <c r="W2672"/>
    </row>
    <row r="2673" spans="23:23">
      <c r="W2673"/>
    </row>
    <row r="2674" spans="23:23">
      <c r="W2674"/>
    </row>
    <row r="2675" spans="23:23">
      <c r="W2675"/>
    </row>
    <row r="2676" spans="23:23">
      <c r="W2676"/>
    </row>
    <row r="2677" spans="23:23">
      <c r="W2677"/>
    </row>
    <row r="2678" spans="23:23">
      <c r="W2678"/>
    </row>
    <row r="2679" spans="23:23">
      <c r="W2679"/>
    </row>
    <row r="2680" spans="23:23">
      <c r="W2680"/>
    </row>
    <row r="2681" spans="23:23">
      <c r="W2681"/>
    </row>
    <row r="2682" spans="23:23">
      <c r="W2682"/>
    </row>
    <row r="2683" spans="23:23">
      <c r="W2683"/>
    </row>
    <row r="2684" spans="23:23">
      <c r="W2684"/>
    </row>
    <row r="2685" spans="23:23">
      <c r="W2685"/>
    </row>
    <row r="2686" spans="23:23">
      <c r="W2686"/>
    </row>
    <row r="2687" spans="23:23">
      <c r="W2687"/>
    </row>
    <row r="2688" spans="23:23">
      <c r="W2688"/>
    </row>
    <row r="2689" spans="23:23">
      <c r="W2689"/>
    </row>
    <row r="2690" spans="23:23">
      <c r="W2690"/>
    </row>
    <row r="2691" spans="23:23">
      <c r="W2691"/>
    </row>
    <row r="2692" spans="23:23">
      <c r="W2692"/>
    </row>
    <row r="2693" spans="23:23">
      <c r="W2693"/>
    </row>
    <row r="2694" spans="23:23">
      <c r="W2694"/>
    </row>
    <row r="2695" spans="23:23">
      <c r="W2695"/>
    </row>
    <row r="2696" spans="23:23">
      <c r="W2696"/>
    </row>
    <row r="2697" spans="23:23">
      <c r="W2697"/>
    </row>
    <row r="2698" spans="23:23">
      <c r="W2698"/>
    </row>
    <row r="2699" spans="23:23">
      <c r="W2699"/>
    </row>
    <row r="2700" spans="23:23">
      <c r="W2700"/>
    </row>
    <row r="2701" spans="23:23">
      <c r="W2701"/>
    </row>
    <row r="2702" spans="23:23">
      <c r="W2702"/>
    </row>
    <row r="2703" spans="23:23">
      <c r="W2703"/>
    </row>
    <row r="2704" spans="23:23">
      <c r="W2704"/>
    </row>
    <row r="2705" spans="23:23">
      <c r="W2705"/>
    </row>
    <row r="2706" spans="23:23">
      <c r="W2706"/>
    </row>
    <row r="2707" spans="23:23">
      <c r="W2707"/>
    </row>
    <row r="2708" spans="23:23">
      <c r="W2708"/>
    </row>
    <row r="2709" spans="23:23">
      <c r="W2709"/>
    </row>
    <row r="2710" spans="23:23">
      <c r="W2710"/>
    </row>
    <row r="2711" spans="23:23">
      <c r="W2711"/>
    </row>
    <row r="2712" spans="23:23">
      <c r="W2712"/>
    </row>
    <row r="2713" spans="23:23">
      <c r="W2713"/>
    </row>
    <row r="2714" spans="23:23">
      <c r="W2714"/>
    </row>
    <row r="2715" spans="23:23">
      <c r="W2715"/>
    </row>
    <row r="2716" spans="23:23">
      <c r="W2716"/>
    </row>
    <row r="2717" spans="23:23">
      <c r="W2717"/>
    </row>
    <row r="2718" spans="23:23">
      <c r="W2718"/>
    </row>
    <row r="2719" spans="23:23">
      <c r="W2719"/>
    </row>
    <row r="2720" spans="23:23">
      <c r="W2720"/>
    </row>
    <row r="2721" spans="23:23">
      <c r="W2721"/>
    </row>
    <row r="2722" spans="23:23">
      <c r="W2722"/>
    </row>
    <row r="2723" spans="23:23">
      <c r="W2723"/>
    </row>
    <row r="2724" spans="23:23">
      <c r="W2724"/>
    </row>
    <row r="2725" spans="23:23">
      <c r="W2725"/>
    </row>
    <row r="2726" spans="23:23">
      <c r="W2726"/>
    </row>
    <row r="2727" spans="23:23">
      <c r="W2727"/>
    </row>
    <row r="2728" spans="23:23">
      <c r="W2728"/>
    </row>
    <row r="2729" spans="23:23">
      <c r="W2729"/>
    </row>
    <row r="2730" spans="23:23">
      <c r="W2730"/>
    </row>
    <row r="2731" spans="23:23">
      <c r="W2731"/>
    </row>
    <row r="2732" spans="23:23">
      <c r="W2732"/>
    </row>
    <row r="2733" spans="23:23">
      <c r="W2733"/>
    </row>
    <row r="2734" spans="23:23">
      <c r="W2734"/>
    </row>
    <row r="2735" spans="23:23">
      <c r="W2735"/>
    </row>
    <row r="2736" spans="23:23">
      <c r="W2736"/>
    </row>
    <row r="2737" spans="23:23">
      <c r="W2737"/>
    </row>
    <row r="2738" spans="23:23">
      <c r="W2738"/>
    </row>
    <row r="2739" spans="23:23">
      <c r="W2739"/>
    </row>
    <row r="2740" spans="23:23">
      <c r="W2740"/>
    </row>
    <row r="2741" spans="23:23">
      <c r="W2741"/>
    </row>
    <row r="2742" spans="23:23">
      <c r="W2742"/>
    </row>
    <row r="2743" spans="23:23">
      <c r="W2743"/>
    </row>
    <row r="2744" spans="23:23">
      <c r="W2744"/>
    </row>
    <row r="2745" spans="23:23">
      <c r="W2745"/>
    </row>
    <row r="2746" spans="23:23">
      <c r="W2746"/>
    </row>
    <row r="2747" spans="23:23">
      <c r="W2747"/>
    </row>
    <row r="2748" spans="23:23">
      <c r="W2748"/>
    </row>
    <row r="2749" spans="23:23">
      <c r="W2749"/>
    </row>
    <row r="2750" spans="23:23">
      <c r="W2750"/>
    </row>
    <row r="2751" spans="23:23">
      <c r="W2751"/>
    </row>
    <row r="2752" spans="23:23">
      <c r="W2752"/>
    </row>
    <row r="2753" spans="23:23">
      <c r="W2753"/>
    </row>
    <row r="2754" spans="23:23">
      <c r="W2754"/>
    </row>
    <row r="2755" spans="23:23">
      <c r="W2755"/>
    </row>
    <row r="2756" spans="23:23">
      <c r="W2756"/>
    </row>
    <row r="2757" spans="23:23">
      <c r="W2757"/>
    </row>
    <row r="2758" spans="23:23">
      <c r="W2758"/>
    </row>
    <row r="2759" spans="23:23">
      <c r="W2759"/>
    </row>
    <row r="2760" spans="23:23">
      <c r="W2760"/>
    </row>
    <row r="2761" spans="23:23">
      <c r="W2761"/>
    </row>
    <row r="2762" spans="23:23">
      <c r="W2762"/>
    </row>
    <row r="2763" spans="23:23">
      <c r="W2763"/>
    </row>
    <row r="2764" spans="23:23">
      <c r="W2764"/>
    </row>
    <row r="2765" spans="23:23">
      <c r="W2765"/>
    </row>
    <row r="2766" spans="23:23">
      <c r="W2766"/>
    </row>
    <row r="2767" spans="23:23">
      <c r="W2767"/>
    </row>
    <row r="2768" spans="23:23">
      <c r="W2768"/>
    </row>
    <row r="2769" spans="23:23">
      <c r="W2769"/>
    </row>
    <row r="2770" spans="23:23">
      <c r="W2770"/>
    </row>
    <row r="2771" spans="23:23">
      <c r="W2771"/>
    </row>
    <row r="2772" spans="23:23">
      <c r="W2772"/>
    </row>
    <row r="2773" spans="23:23">
      <c r="W2773"/>
    </row>
    <row r="2774" spans="23:23">
      <c r="W2774"/>
    </row>
    <row r="2775" spans="23:23">
      <c r="W2775"/>
    </row>
    <row r="2776" spans="23:23">
      <c r="W2776"/>
    </row>
    <row r="2777" spans="23:23">
      <c r="W2777"/>
    </row>
    <row r="2778" spans="23:23">
      <c r="W2778"/>
    </row>
    <row r="2779" spans="23:23">
      <c r="W2779"/>
    </row>
    <row r="2780" spans="23:23">
      <c r="W2780"/>
    </row>
    <row r="2781" spans="23:23">
      <c r="W2781"/>
    </row>
    <row r="2782" spans="23:23">
      <c r="W2782"/>
    </row>
    <row r="2783" spans="23:23">
      <c r="W2783"/>
    </row>
    <row r="2784" spans="23:23">
      <c r="W2784"/>
    </row>
    <row r="2785" spans="23:23">
      <c r="W2785"/>
    </row>
    <row r="2786" spans="23:23">
      <c r="W2786"/>
    </row>
    <row r="2787" spans="23:23">
      <c r="W2787"/>
    </row>
    <row r="2788" spans="23:23">
      <c r="W2788"/>
    </row>
    <row r="2789" spans="23:23">
      <c r="W2789"/>
    </row>
    <row r="2790" spans="23:23">
      <c r="W2790"/>
    </row>
    <row r="2791" spans="23:23">
      <c r="W2791"/>
    </row>
    <row r="2792" spans="23:23">
      <c r="W2792"/>
    </row>
    <row r="2793" spans="23:23">
      <c r="W2793"/>
    </row>
    <row r="2794" spans="23:23">
      <c r="W2794"/>
    </row>
    <row r="2795" spans="23:23">
      <c r="W2795"/>
    </row>
    <row r="2796" spans="23:23">
      <c r="W2796"/>
    </row>
    <row r="2797" spans="23:23">
      <c r="W2797"/>
    </row>
    <row r="2798" spans="23:23">
      <c r="W2798"/>
    </row>
    <row r="2799" spans="23:23">
      <c r="W2799"/>
    </row>
    <row r="2800" spans="23:23">
      <c r="W2800"/>
    </row>
    <row r="2801" spans="23:23">
      <c r="W2801"/>
    </row>
    <row r="2802" spans="23:23">
      <c r="W2802"/>
    </row>
    <row r="2803" spans="23:23">
      <c r="W2803"/>
    </row>
    <row r="2804" spans="23:23">
      <c r="W2804"/>
    </row>
    <row r="2805" spans="23:23">
      <c r="W2805"/>
    </row>
    <row r="2806" spans="23:23">
      <c r="W2806"/>
    </row>
    <row r="2807" spans="23:23">
      <c r="W2807"/>
    </row>
    <row r="2808" spans="23:23">
      <c r="W2808"/>
    </row>
    <row r="2809" spans="23:23">
      <c r="W2809"/>
    </row>
    <row r="2810" spans="23:23">
      <c r="W2810"/>
    </row>
    <row r="2811" spans="23:23">
      <c r="W2811"/>
    </row>
    <row r="2812" spans="23:23">
      <c r="W2812"/>
    </row>
    <row r="2813" spans="23:23">
      <c r="W2813"/>
    </row>
    <row r="2814" spans="23:23">
      <c r="W2814"/>
    </row>
    <row r="2815" spans="23:23">
      <c r="W2815"/>
    </row>
    <row r="2816" spans="23:23">
      <c r="W2816"/>
    </row>
    <row r="2817" spans="23:23">
      <c r="W2817"/>
    </row>
    <row r="2818" spans="23:23">
      <c r="W2818"/>
    </row>
    <row r="2819" spans="23:23">
      <c r="W2819"/>
    </row>
    <row r="2820" spans="23:23">
      <c r="W2820"/>
    </row>
    <row r="2821" spans="23:23">
      <c r="W2821"/>
    </row>
    <row r="2822" spans="23:23">
      <c r="W2822"/>
    </row>
    <row r="2823" spans="23:23">
      <c r="W2823"/>
    </row>
    <row r="2824" spans="23:23">
      <c r="W2824"/>
    </row>
    <row r="2825" spans="23:23">
      <c r="W2825"/>
    </row>
    <row r="2826" spans="23:23">
      <c r="W2826"/>
    </row>
    <row r="2827" spans="23:23">
      <c r="W2827"/>
    </row>
    <row r="2828" spans="23:23">
      <c r="W2828"/>
    </row>
    <row r="2829" spans="23:23">
      <c r="W2829"/>
    </row>
    <row r="2830" spans="23:23">
      <c r="W2830"/>
    </row>
    <row r="2831" spans="23:23">
      <c r="W2831"/>
    </row>
    <row r="2832" spans="23:23">
      <c r="W2832"/>
    </row>
    <row r="2833" spans="23:23">
      <c r="W2833"/>
    </row>
    <row r="2834" spans="23:23">
      <c r="W2834"/>
    </row>
    <row r="2835" spans="23:23">
      <c r="W2835"/>
    </row>
    <row r="2836" spans="23:23">
      <c r="W2836"/>
    </row>
    <row r="2837" spans="23:23">
      <c r="W2837"/>
    </row>
    <row r="2838" spans="23:23">
      <c r="W2838"/>
    </row>
    <row r="2839" spans="23:23">
      <c r="W2839"/>
    </row>
    <row r="2840" spans="23:23">
      <c r="W2840"/>
    </row>
    <row r="2841" spans="23:23">
      <c r="W2841"/>
    </row>
    <row r="2842" spans="23:23">
      <c r="W2842"/>
    </row>
    <row r="2843" spans="23:23">
      <c r="W2843"/>
    </row>
    <row r="2844" spans="23:23">
      <c r="W2844"/>
    </row>
    <row r="2845" spans="23:23">
      <c r="W2845"/>
    </row>
    <row r="2846" spans="23:23">
      <c r="W2846"/>
    </row>
    <row r="2847" spans="23:23">
      <c r="W2847"/>
    </row>
    <row r="2848" spans="23:23">
      <c r="W2848"/>
    </row>
    <row r="2849" spans="23:23">
      <c r="W2849"/>
    </row>
    <row r="2850" spans="23:23">
      <c r="W2850"/>
    </row>
    <row r="2851" spans="23:23">
      <c r="W2851"/>
    </row>
    <row r="2852" spans="23:23">
      <c r="W2852"/>
    </row>
    <row r="2853" spans="23:23">
      <c r="W2853"/>
    </row>
    <row r="2854" spans="23:23">
      <c r="W2854"/>
    </row>
    <row r="2855" spans="23:23">
      <c r="W2855"/>
    </row>
    <row r="2856" spans="23:23">
      <c r="W2856"/>
    </row>
    <row r="2857" spans="23:23">
      <c r="W2857"/>
    </row>
    <row r="2858" spans="23:23">
      <c r="W2858"/>
    </row>
    <row r="2859" spans="23:23">
      <c r="W2859"/>
    </row>
    <row r="2860" spans="23:23">
      <c r="W2860"/>
    </row>
    <row r="2861" spans="23:23">
      <c r="W2861"/>
    </row>
    <row r="2862" spans="23:23">
      <c r="W2862"/>
    </row>
    <row r="2863" spans="23:23">
      <c r="W2863"/>
    </row>
    <row r="2864" spans="23:23">
      <c r="W2864"/>
    </row>
    <row r="2865" spans="23:23">
      <c r="W2865"/>
    </row>
    <row r="2866" spans="23:23">
      <c r="W2866"/>
    </row>
    <row r="2867" spans="23:23">
      <c r="W2867"/>
    </row>
    <row r="2868" spans="23:23">
      <c r="W2868"/>
    </row>
    <row r="2869" spans="23:23">
      <c r="W2869"/>
    </row>
    <row r="2870" spans="23:23">
      <c r="W2870"/>
    </row>
    <row r="2871" spans="23:23">
      <c r="W2871"/>
    </row>
    <row r="2872" spans="23:23">
      <c r="W2872"/>
    </row>
    <row r="2873" spans="23:23">
      <c r="W2873"/>
    </row>
    <row r="2874" spans="23:23">
      <c r="W2874"/>
    </row>
    <row r="2875" spans="23:23">
      <c r="W2875"/>
    </row>
    <row r="2876" spans="23:23">
      <c r="W2876"/>
    </row>
    <row r="2877" spans="23:23">
      <c r="W2877"/>
    </row>
    <row r="2878" spans="23:23">
      <c r="W2878"/>
    </row>
    <row r="2879" spans="23:23">
      <c r="W2879"/>
    </row>
    <row r="2880" spans="23:23">
      <c r="W2880"/>
    </row>
    <row r="2881" spans="23:23">
      <c r="W2881"/>
    </row>
    <row r="2882" spans="23:23">
      <c r="W2882"/>
    </row>
    <row r="2883" spans="23:23">
      <c r="W2883"/>
    </row>
    <row r="2884" spans="23:23">
      <c r="W2884"/>
    </row>
    <row r="2885" spans="23:23">
      <c r="W2885"/>
    </row>
    <row r="2886" spans="23:23">
      <c r="W2886"/>
    </row>
    <row r="2887" spans="23:23">
      <c r="W2887"/>
    </row>
    <row r="2888" spans="23:23">
      <c r="W2888"/>
    </row>
    <row r="2889" spans="23:23">
      <c r="W2889"/>
    </row>
    <row r="2890" spans="23:23">
      <c r="W2890"/>
    </row>
    <row r="2891" spans="23:23">
      <c r="W2891"/>
    </row>
    <row r="2892" spans="23:23">
      <c r="W2892"/>
    </row>
    <row r="2893" spans="23:23">
      <c r="W2893"/>
    </row>
    <row r="2894" spans="23:23">
      <c r="W2894"/>
    </row>
    <row r="2895" spans="23:23">
      <c r="W2895"/>
    </row>
    <row r="2896" spans="23:23">
      <c r="W2896"/>
    </row>
    <row r="2897" spans="23:23">
      <c r="W2897"/>
    </row>
    <row r="2898" spans="23:23">
      <c r="W2898"/>
    </row>
    <row r="2899" spans="23:23">
      <c r="W2899"/>
    </row>
    <row r="2900" spans="23:23">
      <c r="W2900"/>
    </row>
    <row r="2901" spans="23:23">
      <c r="W2901"/>
    </row>
    <row r="2902" spans="23:23">
      <c r="W2902"/>
    </row>
    <row r="2903" spans="23:23">
      <c r="W2903"/>
    </row>
    <row r="2904" spans="23:23">
      <c r="W2904"/>
    </row>
    <row r="2905" spans="23:23">
      <c r="W2905"/>
    </row>
    <row r="2906" spans="23:23">
      <c r="W2906"/>
    </row>
    <row r="2907" spans="23:23">
      <c r="W2907"/>
    </row>
    <row r="2908" spans="23:23">
      <c r="W2908"/>
    </row>
    <row r="2909" spans="23:23">
      <c r="W2909"/>
    </row>
    <row r="2910" spans="23:23">
      <c r="W2910"/>
    </row>
    <row r="2911" spans="23:23">
      <c r="W2911"/>
    </row>
    <row r="2912" spans="23:23">
      <c r="W2912"/>
    </row>
    <row r="2913" spans="23:23">
      <c r="W2913"/>
    </row>
    <row r="2914" spans="23:23">
      <c r="W2914"/>
    </row>
    <row r="2915" spans="23:23">
      <c r="W2915"/>
    </row>
    <row r="2916" spans="23:23">
      <c r="W2916"/>
    </row>
    <row r="2917" spans="23:23">
      <c r="W2917"/>
    </row>
    <row r="2918" spans="23:23">
      <c r="W2918"/>
    </row>
    <row r="2919" spans="23:23">
      <c r="W2919"/>
    </row>
    <row r="2920" spans="23:23">
      <c r="W2920"/>
    </row>
    <row r="2921" spans="23:23">
      <c r="W2921"/>
    </row>
    <row r="2922" spans="23:23">
      <c r="W2922"/>
    </row>
    <row r="2923" spans="23:23">
      <c r="W2923"/>
    </row>
    <row r="2924" spans="23:23">
      <c r="W2924"/>
    </row>
    <row r="2925" spans="23:23">
      <c r="W2925"/>
    </row>
    <row r="2926" spans="23:23">
      <c r="W2926"/>
    </row>
    <row r="2927" spans="23:23">
      <c r="W2927"/>
    </row>
    <row r="2928" spans="23:23">
      <c r="W2928"/>
    </row>
    <row r="2929" spans="23:23">
      <c r="W2929"/>
    </row>
    <row r="2930" spans="23:23">
      <c r="W2930"/>
    </row>
    <row r="2931" spans="23:23">
      <c r="W2931"/>
    </row>
    <row r="2932" spans="23:23">
      <c r="W2932"/>
    </row>
    <row r="2933" spans="23:23">
      <c r="W2933"/>
    </row>
    <row r="2934" spans="23:23">
      <c r="W2934"/>
    </row>
    <row r="2935" spans="23:23">
      <c r="W2935"/>
    </row>
    <row r="2936" spans="23:23">
      <c r="W2936"/>
    </row>
    <row r="2937" spans="23:23">
      <c r="W2937"/>
    </row>
    <row r="2938" spans="23:23">
      <c r="W2938"/>
    </row>
    <row r="2939" spans="23:23">
      <c r="W2939"/>
    </row>
    <row r="2940" spans="23:23">
      <c r="W2940"/>
    </row>
    <row r="2941" spans="23:23">
      <c r="W2941"/>
    </row>
    <row r="2942" spans="23:23">
      <c r="W2942"/>
    </row>
    <row r="2943" spans="23:23">
      <c r="W2943"/>
    </row>
    <row r="2944" spans="23:23">
      <c r="W2944"/>
    </row>
    <row r="2945" spans="23:23">
      <c r="W2945"/>
    </row>
    <row r="2946" spans="23:23">
      <c r="W2946"/>
    </row>
    <row r="2947" spans="23:23">
      <c r="W2947"/>
    </row>
    <row r="2948" spans="23:23">
      <c r="W2948"/>
    </row>
    <row r="2949" spans="23:23">
      <c r="W2949"/>
    </row>
    <row r="2950" spans="23:23">
      <c r="W2950"/>
    </row>
    <row r="2951" spans="23:23">
      <c r="W2951"/>
    </row>
    <row r="2952" spans="23:23">
      <c r="W2952"/>
    </row>
    <row r="2953" spans="23:23">
      <c r="W2953"/>
    </row>
    <row r="2954" spans="23:23">
      <c r="W2954"/>
    </row>
    <row r="2955" spans="23:23">
      <c r="W2955"/>
    </row>
    <row r="2956" spans="23:23">
      <c r="W2956"/>
    </row>
    <row r="2957" spans="23:23">
      <c r="W2957"/>
    </row>
    <row r="2958" spans="23:23">
      <c r="W2958"/>
    </row>
    <row r="2959" spans="23:23">
      <c r="W2959"/>
    </row>
    <row r="2960" spans="23:23">
      <c r="W2960"/>
    </row>
    <row r="2961" spans="23:23">
      <c r="W2961"/>
    </row>
    <row r="2962" spans="23:23">
      <c r="W2962"/>
    </row>
    <row r="2963" spans="23:23">
      <c r="W2963"/>
    </row>
    <row r="2964" spans="23:23">
      <c r="W2964"/>
    </row>
    <row r="2965" spans="23:23">
      <c r="W2965"/>
    </row>
    <row r="2966" spans="23:23">
      <c r="W2966"/>
    </row>
    <row r="2967" spans="23:23">
      <c r="W2967"/>
    </row>
    <row r="2968" spans="23:23">
      <c r="W2968"/>
    </row>
    <row r="2969" spans="23:23">
      <c r="W2969"/>
    </row>
    <row r="2970" spans="23:23">
      <c r="W2970"/>
    </row>
    <row r="2971" spans="23:23">
      <c r="W2971"/>
    </row>
    <row r="2972" spans="23:23">
      <c r="W2972"/>
    </row>
    <row r="2973" spans="23:23">
      <c r="W2973"/>
    </row>
    <row r="2974" spans="23:23">
      <c r="W2974"/>
    </row>
    <row r="2975" spans="23:23">
      <c r="W2975"/>
    </row>
    <row r="2976" spans="23:23">
      <c r="W2976"/>
    </row>
    <row r="2977" spans="23:23">
      <c r="W2977"/>
    </row>
    <row r="2978" spans="23:23">
      <c r="W2978"/>
    </row>
    <row r="2979" spans="23:23">
      <c r="W2979"/>
    </row>
    <row r="2980" spans="23:23">
      <c r="W2980"/>
    </row>
    <row r="2981" spans="23:23">
      <c r="W2981"/>
    </row>
    <row r="2982" spans="23:23">
      <c r="W2982"/>
    </row>
    <row r="2983" spans="23:23">
      <c r="W2983"/>
    </row>
    <row r="2984" spans="23:23">
      <c r="W2984"/>
    </row>
    <row r="2985" spans="23:23">
      <c r="W2985"/>
    </row>
    <row r="2986" spans="23:23">
      <c r="W2986"/>
    </row>
    <row r="2987" spans="23:23">
      <c r="W2987"/>
    </row>
    <row r="2988" spans="23:23">
      <c r="W2988"/>
    </row>
    <row r="2989" spans="23:23">
      <c r="W2989"/>
    </row>
    <row r="2990" spans="23:23">
      <c r="W2990"/>
    </row>
    <row r="2991" spans="23:23">
      <c r="W2991"/>
    </row>
    <row r="2992" spans="23:23">
      <c r="W2992"/>
    </row>
    <row r="2993" spans="23:23">
      <c r="W2993"/>
    </row>
    <row r="2994" spans="23:23">
      <c r="W2994"/>
    </row>
    <row r="2995" spans="23:23">
      <c r="W2995"/>
    </row>
    <row r="2996" spans="23:23">
      <c r="W2996"/>
    </row>
    <row r="2997" spans="23:23">
      <c r="W2997"/>
    </row>
    <row r="2998" spans="23:23">
      <c r="W2998"/>
    </row>
    <row r="2999" spans="23:23">
      <c r="W2999"/>
    </row>
    <row r="3000" spans="23:23">
      <c r="W3000"/>
    </row>
    <row r="3001" spans="23:23">
      <c r="W3001"/>
    </row>
    <row r="3002" spans="23:23">
      <c r="W3002"/>
    </row>
    <row r="3003" spans="23:23">
      <c r="W3003"/>
    </row>
    <row r="3004" spans="23:23">
      <c r="W3004"/>
    </row>
    <row r="3005" spans="23:23">
      <c r="W3005"/>
    </row>
    <row r="3006" spans="23:23">
      <c r="W3006"/>
    </row>
    <row r="3007" spans="23:23">
      <c r="W3007"/>
    </row>
    <row r="3008" spans="23:23">
      <c r="W3008"/>
    </row>
    <row r="3009" spans="23:23">
      <c r="W3009"/>
    </row>
    <row r="3010" spans="23:23">
      <c r="W3010"/>
    </row>
    <row r="3011" spans="23:23">
      <c r="W3011"/>
    </row>
    <row r="3012" spans="23:23">
      <c r="W3012"/>
    </row>
    <row r="3013" spans="23:23">
      <c r="W3013"/>
    </row>
    <row r="3014" spans="23:23">
      <c r="W3014"/>
    </row>
    <row r="3015" spans="23:23">
      <c r="W3015"/>
    </row>
    <row r="3016" spans="23:23">
      <c r="W3016"/>
    </row>
    <row r="3017" spans="23:23">
      <c r="W3017"/>
    </row>
    <row r="3018" spans="23:23">
      <c r="W3018"/>
    </row>
    <row r="3019" spans="23:23">
      <c r="W3019"/>
    </row>
    <row r="3020" spans="23:23">
      <c r="W3020"/>
    </row>
    <row r="3021" spans="23:23">
      <c r="W3021"/>
    </row>
    <row r="3022" spans="23:23">
      <c r="W3022"/>
    </row>
    <row r="3023" spans="23:23">
      <c r="W3023"/>
    </row>
    <row r="3024" spans="23:23">
      <c r="W3024"/>
    </row>
    <row r="3025" spans="23:23">
      <c r="W3025"/>
    </row>
    <row r="3026" spans="23:23">
      <c r="W3026"/>
    </row>
    <row r="3027" spans="23:23">
      <c r="W3027"/>
    </row>
    <row r="3028" spans="23:23">
      <c r="W3028"/>
    </row>
    <row r="3029" spans="23:23">
      <c r="W3029"/>
    </row>
    <row r="3030" spans="23:23">
      <c r="W3030"/>
    </row>
    <row r="3031" spans="23:23">
      <c r="W3031"/>
    </row>
    <row r="3032" spans="23:23">
      <c r="W3032"/>
    </row>
    <row r="3033" spans="23:23">
      <c r="W3033"/>
    </row>
    <row r="3034" spans="23:23">
      <c r="W3034"/>
    </row>
    <row r="3035" spans="23:23">
      <c r="W3035"/>
    </row>
    <row r="3036" spans="23:23">
      <c r="W3036"/>
    </row>
    <row r="3037" spans="23:23">
      <c r="W3037"/>
    </row>
    <row r="3038" spans="23:23">
      <c r="W3038"/>
    </row>
    <row r="3039" spans="23:23">
      <c r="W3039"/>
    </row>
    <row r="3040" spans="23:23">
      <c r="W3040"/>
    </row>
    <row r="3041" spans="23:23">
      <c r="W3041"/>
    </row>
    <row r="3042" spans="23:23">
      <c r="W3042"/>
    </row>
    <row r="3043" spans="23:23">
      <c r="W3043"/>
    </row>
    <row r="3044" spans="23:23">
      <c r="W3044"/>
    </row>
    <row r="3045" spans="23:23">
      <c r="W3045"/>
    </row>
    <row r="3046" spans="23:23">
      <c r="W3046"/>
    </row>
    <row r="3047" spans="23:23">
      <c r="W3047"/>
    </row>
    <row r="3048" spans="23:23">
      <c r="W3048"/>
    </row>
    <row r="3049" spans="23:23">
      <c r="W3049"/>
    </row>
    <row r="3050" spans="23:23">
      <c r="W3050"/>
    </row>
    <row r="3051" spans="23:23">
      <c r="W3051"/>
    </row>
    <row r="3052" spans="23:23">
      <c r="W3052"/>
    </row>
    <row r="3053" spans="23:23">
      <c r="W3053"/>
    </row>
    <row r="3054" spans="23:23">
      <c r="W3054"/>
    </row>
    <row r="3055" spans="23:23">
      <c r="W3055"/>
    </row>
    <row r="3056" spans="23:23">
      <c r="W3056"/>
    </row>
    <row r="3057" spans="23:23">
      <c r="W3057"/>
    </row>
    <row r="3058" spans="23:23">
      <c r="W3058"/>
    </row>
    <row r="3059" spans="23:23">
      <c r="W3059"/>
    </row>
    <row r="3060" spans="23:23">
      <c r="W3060"/>
    </row>
    <row r="3061" spans="23:23">
      <c r="W3061"/>
    </row>
    <row r="3062" spans="23:23">
      <c r="W3062"/>
    </row>
    <row r="3063" spans="23:23">
      <c r="W3063"/>
    </row>
    <row r="3064" spans="23:23">
      <c r="W3064"/>
    </row>
    <row r="3065" spans="23:23">
      <c r="W3065"/>
    </row>
    <row r="3066" spans="23:23">
      <c r="W3066"/>
    </row>
    <row r="3067" spans="23:23">
      <c r="W3067"/>
    </row>
    <row r="3068" spans="23:23">
      <c r="W3068"/>
    </row>
    <row r="3069" spans="23:23">
      <c r="W3069"/>
    </row>
    <row r="3070" spans="23:23">
      <c r="W3070"/>
    </row>
    <row r="3071" spans="23:23">
      <c r="W3071"/>
    </row>
    <row r="3072" spans="23:23">
      <c r="W3072"/>
    </row>
    <row r="3073" spans="23:23">
      <c r="W3073"/>
    </row>
    <row r="3074" spans="23:23">
      <c r="W3074"/>
    </row>
    <row r="3075" spans="23:23">
      <c r="W3075"/>
    </row>
    <row r="3076" spans="23:23">
      <c r="W3076"/>
    </row>
    <row r="3077" spans="23:23">
      <c r="W3077"/>
    </row>
    <row r="3078" spans="23:23">
      <c r="W3078"/>
    </row>
    <row r="3079" spans="23:23">
      <c r="W3079"/>
    </row>
    <row r="3080" spans="23:23">
      <c r="W3080"/>
    </row>
    <row r="3081" spans="23:23">
      <c r="W3081"/>
    </row>
    <row r="3082" spans="23:23">
      <c r="W3082"/>
    </row>
    <row r="3083" spans="23:23">
      <c r="W3083"/>
    </row>
    <row r="3084" spans="23:23">
      <c r="W3084"/>
    </row>
    <row r="3085" spans="23:23">
      <c r="W3085"/>
    </row>
    <row r="3086" spans="23:23">
      <c r="W3086"/>
    </row>
    <row r="3087" spans="23:23">
      <c r="W3087"/>
    </row>
    <row r="3088" spans="23:23">
      <c r="W3088"/>
    </row>
    <row r="3089" spans="23:23">
      <c r="W3089"/>
    </row>
    <row r="3090" spans="23:23">
      <c r="W3090"/>
    </row>
    <row r="3091" spans="23:23">
      <c r="W3091"/>
    </row>
    <row r="3092" spans="23:23">
      <c r="W3092"/>
    </row>
    <row r="3093" spans="23:23">
      <c r="W3093"/>
    </row>
    <row r="3094" spans="23:23">
      <c r="W3094"/>
    </row>
    <row r="3095" spans="23:23">
      <c r="W3095"/>
    </row>
    <row r="3096" spans="23:23">
      <c r="W3096"/>
    </row>
    <row r="3097" spans="23:23">
      <c r="W3097"/>
    </row>
    <row r="3098" spans="23:23">
      <c r="W3098"/>
    </row>
    <row r="3099" spans="23:23">
      <c r="W3099"/>
    </row>
    <row r="3100" spans="23:23">
      <c r="W3100"/>
    </row>
    <row r="3101" spans="23:23">
      <c r="W3101"/>
    </row>
    <row r="3102" spans="23:23">
      <c r="W3102"/>
    </row>
    <row r="3103" spans="23:23">
      <c r="W3103"/>
    </row>
    <row r="3104" spans="23:23">
      <c r="W3104"/>
    </row>
    <row r="3105" spans="23:23">
      <c r="W3105"/>
    </row>
    <row r="3106" spans="23:23">
      <c r="W3106"/>
    </row>
    <row r="3107" spans="23:23">
      <c r="W3107"/>
    </row>
    <row r="3108" spans="23:23">
      <c r="W3108"/>
    </row>
    <row r="3109" spans="23:23">
      <c r="W3109"/>
    </row>
    <row r="3110" spans="23:23">
      <c r="W3110"/>
    </row>
    <row r="3111" spans="23:23">
      <c r="W3111"/>
    </row>
    <row r="3112" spans="23:23">
      <c r="W3112"/>
    </row>
    <row r="3113" spans="23:23">
      <c r="W3113"/>
    </row>
    <row r="3114" spans="23:23">
      <c r="W3114"/>
    </row>
    <row r="3115" spans="23:23">
      <c r="W3115"/>
    </row>
    <row r="3116" spans="23:23">
      <c r="W3116"/>
    </row>
    <row r="3117" spans="23:23">
      <c r="W3117"/>
    </row>
    <row r="3118" spans="23:23">
      <c r="W3118"/>
    </row>
    <row r="3119" spans="23:23">
      <c r="W3119"/>
    </row>
    <row r="3120" spans="23:23">
      <c r="W3120"/>
    </row>
    <row r="3121" spans="23:23">
      <c r="W3121"/>
    </row>
    <row r="3122" spans="23:23">
      <c r="W3122"/>
    </row>
    <row r="3123" spans="23:23">
      <c r="W3123"/>
    </row>
    <row r="3124" spans="23:23">
      <c r="W3124"/>
    </row>
    <row r="3125" spans="23:23">
      <c r="W3125"/>
    </row>
    <row r="3126" spans="23:23">
      <c r="W3126"/>
    </row>
    <row r="3127" spans="23:23">
      <c r="W3127"/>
    </row>
    <row r="3128" spans="23:23">
      <c r="W3128"/>
    </row>
    <row r="3129" spans="23:23">
      <c r="W3129"/>
    </row>
    <row r="3130" spans="23:23">
      <c r="W3130"/>
    </row>
    <row r="3131" spans="23:23">
      <c r="W3131"/>
    </row>
    <row r="3132" spans="23:23">
      <c r="W3132"/>
    </row>
    <row r="3133" spans="23:23">
      <c r="W3133"/>
    </row>
    <row r="3134" spans="23:23">
      <c r="W3134"/>
    </row>
    <row r="3135" spans="23:23">
      <c r="W3135"/>
    </row>
    <row r="3136" spans="23:23">
      <c r="W3136"/>
    </row>
    <row r="3137" spans="23:23">
      <c r="W3137"/>
    </row>
    <row r="3138" spans="23:23">
      <c r="W3138"/>
    </row>
    <row r="3139" spans="23:23">
      <c r="W3139"/>
    </row>
    <row r="3140" spans="23:23">
      <c r="W3140"/>
    </row>
    <row r="3141" spans="23:23">
      <c r="W3141"/>
    </row>
    <row r="3142" spans="23:23">
      <c r="W3142"/>
    </row>
    <row r="3143" spans="23:23">
      <c r="W3143"/>
    </row>
    <row r="3144" spans="23:23">
      <c r="W3144"/>
    </row>
    <row r="3145" spans="23:23">
      <c r="W3145"/>
    </row>
    <row r="3146" spans="23:23">
      <c r="W3146"/>
    </row>
    <row r="3147" spans="23:23">
      <c r="W3147"/>
    </row>
    <row r="3148" spans="23:23">
      <c r="W3148"/>
    </row>
    <row r="3149" spans="23:23">
      <c r="W3149"/>
    </row>
    <row r="3150" spans="23:23">
      <c r="W3150"/>
    </row>
    <row r="3151" spans="23:23">
      <c r="W3151"/>
    </row>
    <row r="3152" spans="23:23">
      <c r="W3152"/>
    </row>
    <row r="3153" spans="23:23">
      <c r="W3153"/>
    </row>
    <row r="3154" spans="23:23">
      <c r="W3154"/>
    </row>
    <row r="3155" spans="23:23">
      <c r="W3155"/>
    </row>
    <row r="3156" spans="23:23">
      <c r="W3156"/>
    </row>
    <row r="3157" spans="23:23">
      <c r="W3157"/>
    </row>
    <row r="3158" spans="23:23">
      <c r="W3158"/>
    </row>
    <row r="3159" spans="23:23">
      <c r="W3159"/>
    </row>
    <row r="3160" spans="23:23">
      <c r="W3160"/>
    </row>
    <row r="3161" spans="23:23">
      <c r="W3161"/>
    </row>
    <row r="3162" spans="23:23">
      <c r="W3162"/>
    </row>
    <row r="3163" spans="23:23">
      <c r="W3163"/>
    </row>
    <row r="3164" spans="23:23">
      <c r="W3164"/>
    </row>
    <row r="3165" spans="23:23">
      <c r="W3165"/>
    </row>
    <row r="3166" spans="23:23">
      <c r="W3166"/>
    </row>
    <row r="3167" spans="23:23">
      <c r="W3167"/>
    </row>
    <row r="3168" spans="23:23">
      <c r="W3168"/>
    </row>
    <row r="3169" spans="23:23">
      <c r="W3169"/>
    </row>
    <row r="3170" spans="23:23">
      <c r="W3170"/>
    </row>
    <row r="3171" spans="23:23">
      <c r="W3171"/>
    </row>
    <row r="3172" spans="23:23">
      <c r="W3172"/>
    </row>
    <row r="3173" spans="23:23">
      <c r="W3173"/>
    </row>
    <row r="3174" spans="23:23">
      <c r="W3174"/>
    </row>
    <row r="3175" spans="23:23">
      <c r="W3175"/>
    </row>
    <row r="3176" spans="23:23">
      <c r="W3176"/>
    </row>
    <row r="3177" spans="23:23">
      <c r="W3177"/>
    </row>
    <row r="3178" spans="23:23">
      <c r="W3178"/>
    </row>
    <row r="3179" spans="23:23">
      <c r="W3179"/>
    </row>
    <row r="3180" spans="23:23">
      <c r="W3180"/>
    </row>
    <row r="3181" spans="23:23">
      <c r="W3181"/>
    </row>
    <row r="3182" spans="23:23">
      <c r="W3182"/>
    </row>
    <row r="3183" spans="23:23">
      <c r="W3183"/>
    </row>
    <row r="3184" spans="23:23">
      <c r="W3184"/>
    </row>
    <row r="3185" spans="23:23">
      <c r="W3185"/>
    </row>
    <row r="3186" spans="23:23">
      <c r="W3186"/>
    </row>
    <row r="3187" spans="23:23">
      <c r="W3187"/>
    </row>
    <row r="3188" spans="23:23">
      <c r="W3188"/>
    </row>
    <row r="3189" spans="23:23">
      <c r="W3189"/>
    </row>
    <row r="3190" spans="23:23">
      <c r="W3190"/>
    </row>
    <row r="3191" spans="23:23">
      <c r="W3191"/>
    </row>
    <row r="3192" spans="23:23">
      <c r="W3192"/>
    </row>
    <row r="3193" spans="23:23">
      <c r="W3193"/>
    </row>
    <row r="3194" spans="23:23">
      <c r="W3194"/>
    </row>
    <row r="3195" spans="23:23">
      <c r="W3195"/>
    </row>
    <row r="3196" spans="23:23">
      <c r="W3196"/>
    </row>
    <row r="3197" spans="23:23">
      <c r="W3197"/>
    </row>
    <row r="3198" spans="23:23">
      <c r="W3198"/>
    </row>
    <row r="3199" spans="23:23">
      <c r="W3199"/>
    </row>
    <row r="3200" spans="23:23">
      <c r="W3200"/>
    </row>
    <row r="3201" spans="23:23">
      <c r="W3201"/>
    </row>
    <row r="3202" spans="23:23">
      <c r="W3202"/>
    </row>
    <row r="3203" spans="23:23">
      <c r="W3203"/>
    </row>
    <row r="3204" spans="23:23">
      <c r="W3204"/>
    </row>
    <row r="3205" spans="23:23">
      <c r="W3205"/>
    </row>
    <row r="3206" spans="23:23">
      <c r="W3206"/>
    </row>
    <row r="3207" spans="23:23">
      <c r="W3207"/>
    </row>
    <row r="3208" spans="23:23">
      <c r="W3208"/>
    </row>
    <row r="3209" spans="23:23">
      <c r="W3209"/>
    </row>
    <row r="3210" spans="23:23">
      <c r="W3210"/>
    </row>
    <row r="3211" spans="23:23">
      <c r="W3211"/>
    </row>
    <row r="3212" spans="23:23">
      <c r="W3212"/>
    </row>
    <row r="3213" spans="23:23">
      <c r="W3213"/>
    </row>
    <row r="3214" spans="23:23">
      <c r="W3214"/>
    </row>
    <row r="3215" spans="23:23">
      <c r="W3215"/>
    </row>
    <row r="3216" spans="23:23">
      <c r="W3216"/>
    </row>
    <row r="3217" spans="23:23">
      <c r="W3217"/>
    </row>
    <row r="3218" spans="23:23">
      <c r="W3218"/>
    </row>
    <row r="3219" spans="23:23">
      <c r="W3219"/>
    </row>
    <row r="3220" spans="23:23">
      <c r="W3220"/>
    </row>
    <row r="3221" spans="23:23">
      <c r="W3221"/>
    </row>
    <row r="3222" spans="23:23">
      <c r="W3222"/>
    </row>
    <row r="3223" spans="23:23">
      <c r="W3223"/>
    </row>
    <row r="3224" spans="23:23">
      <c r="W3224"/>
    </row>
    <row r="3225" spans="23:23">
      <c r="W3225"/>
    </row>
    <row r="3226" spans="23:23">
      <c r="W3226"/>
    </row>
    <row r="3227" spans="23:23">
      <c r="W3227"/>
    </row>
    <row r="3228" spans="23:23">
      <c r="W3228"/>
    </row>
    <row r="3229" spans="23:23">
      <c r="W3229"/>
    </row>
    <row r="3230" spans="23:23">
      <c r="W3230"/>
    </row>
    <row r="3231" spans="23:23">
      <c r="W3231"/>
    </row>
    <row r="3232" spans="23:23">
      <c r="W3232"/>
    </row>
    <row r="3233" spans="23:23">
      <c r="W3233"/>
    </row>
    <row r="3234" spans="23:23">
      <c r="W3234"/>
    </row>
    <row r="3235" spans="23:23">
      <c r="W3235"/>
    </row>
    <row r="3236" spans="23:23">
      <c r="W3236"/>
    </row>
    <row r="3237" spans="23:23">
      <c r="W3237"/>
    </row>
    <row r="3238" spans="23:23">
      <c r="W3238"/>
    </row>
    <row r="3239" spans="23:23">
      <c r="W3239"/>
    </row>
    <row r="3240" spans="23:23">
      <c r="W3240"/>
    </row>
    <row r="3241" spans="23:23">
      <c r="W3241"/>
    </row>
    <row r="3242" spans="23:23">
      <c r="W3242"/>
    </row>
    <row r="3243" spans="23:23">
      <c r="W3243"/>
    </row>
    <row r="3244" spans="23:23">
      <c r="W3244"/>
    </row>
    <row r="3245" spans="23:23">
      <c r="W3245"/>
    </row>
    <row r="3246" spans="23:23">
      <c r="W3246"/>
    </row>
    <row r="3247" spans="23:23">
      <c r="W3247"/>
    </row>
    <row r="3248" spans="23:23">
      <c r="W3248"/>
    </row>
    <row r="3249" spans="23:23">
      <c r="W3249"/>
    </row>
    <row r="3250" spans="23:23">
      <c r="W3250"/>
    </row>
    <row r="3251" spans="23:23">
      <c r="W3251"/>
    </row>
    <row r="3252" spans="23:23">
      <c r="W3252"/>
    </row>
    <row r="3253" spans="23:23">
      <c r="W3253"/>
    </row>
    <row r="3254" spans="23:23">
      <c r="W3254"/>
    </row>
    <row r="3255" spans="23:23">
      <c r="W3255"/>
    </row>
    <row r="3256" spans="23:23">
      <c r="W3256"/>
    </row>
    <row r="3257" spans="23:23">
      <c r="W3257"/>
    </row>
    <row r="3258" spans="23:23">
      <c r="W3258"/>
    </row>
    <row r="3259" spans="23:23">
      <c r="W3259"/>
    </row>
    <row r="3260" spans="23:23">
      <c r="W3260"/>
    </row>
    <row r="3261" spans="23:23">
      <c r="W3261"/>
    </row>
    <row r="3262" spans="23:23">
      <c r="W3262"/>
    </row>
    <row r="3263" spans="23:23">
      <c r="W3263"/>
    </row>
    <row r="3264" spans="23:23">
      <c r="W3264"/>
    </row>
    <row r="3265" spans="23:23">
      <c r="W3265"/>
    </row>
    <row r="3266" spans="23:23">
      <c r="W3266"/>
    </row>
    <row r="3267" spans="23:23">
      <c r="W3267"/>
    </row>
    <row r="3268" spans="23:23">
      <c r="W3268"/>
    </row>
    <row r="3269" spans="23:23">
      <c r="W3269"/>
    </row>
    <row r="3270" spans="23:23">
      <c r="W3270"/>
    </row>
    <row r="3271" spans="23:23">
      <c r="W3271"/>
    </row>
    <row r="3272" spans="23:23">
      <c r="W3272"/>
    </row>
    <row r="3273" spans="23:23">
      <c r="W3273"/>
    </row>
    <row r="3274" spans="23:23">
      <c r="W3274"/>
    </row>
    <row r="3275" spans="23:23">
      <c r="W3275"/>
    </row>
    <row r="3276" spans="23:23">
      <c r="W3276"/>
    </row>
    <row r="3277" spans="23:23">
      <c r="W3277"/>
    </row>
    <row r="3278" spans="23:23">
      <c r="W3278"/>
    </row>
    <row r="3279" spans="23:23">
      <c r="W3279"/>
    </row>
    <row r="3280" spans="23:23">
      <c r="W3280"/>
    </row>
    <row r="3281" spans="23:23">
      <c r="W3281"/>
    </row>
    <row r="3282" spans="23:23">
      <c r="W3282"/>
    </row>
    <row r="3283" spans="23:23">
      <c r="W3283"/>
    </row>
    <row r="3284" spans="23:23">
      <c r="W3284"/>
    </row>
    <row r="3285" spans="23:23">
      <c r="W3285"/>
    </row>
    <row r="3286" spans="23:23">
      <c r="W3286"/>
    </row>
    <row r="3287" spans="23:23">
      <c r="W3287"/>
    </row>
    <row r="3288" spans="23:23">
      <c r="W3288"/>
    </row>
    <row r="3289" spans="23:23">
      <c r="W3289"/>
    </row>
    <row r="3290" spans="23:23">
      <c r="W3290"/>
    </row>
    <row r="3291" spans="23:23">
      <c r="W3291"/>
    </row>
    <row r="3292" spans="23:23">
      <c r="W3292"/>
    </row>
    <row r="3293" spans="23:23">
      <c r="W3293"/>
    </row>
    <row r="3294" spans="23:23">
      <c r="W3294"/>
    </row>
    <row r="3295" spans="23:23">
      <c r="W3295"/>
    </row>
    <row r="3296" spans="23:23">
      <c r="W3296"/>
    </row>
    <row r="3297" spans="23:23">
      <c r="W3297"/>
    </row>
    <row r="3298" spans="23:23">
      <c r="W3298"/>
    </row>
    <row r="3299" spans="23:23">
      <c r="W3299"/>
    </row>
    <row r="3300" spans="23:23">
      <c r="W3300"/>
    </row>
    <row r="3301" spans="23:23">
      <c r="W3301"/>
    </row>
    <row r="3302" spans="23:23">
      <c r="W3302"/>
    </row>
    <row r="3303" spans="23:23">
      <c r="W3303"/>
    </row>
    <row r="3304" spans="23:23">
      <c r="W3304"/>
    </row>
    <row r="3305" spans="23:23">
      <c r="W3305"/>
    </row>
    <row r="3306" spans="23:23">
      <c r="W3306"/>
    </row>
    <row r="3307" spans="23:23">
      <c r="W3307"/>
    </row>
    <row r="3308" spans="23:23">
      <c r="W3308"/>
    </row>
    <row r="3309" spans="23:23">
      <c r="W3309"/>
    </row>
    <row r="3310" spans="23:23">
      <c r="W3310"/>
    </row>
    <row r="3311" spans="23:23">
      <c r="W3311"/>
    </row>
    <row r="3312" spans="23:23">
      <c r="W3312"/>
    </row>
    <row r="3313" spans="23:23">
      <c r="W3313"/>
    </row>
    <row r="3314" spans="23:23">
      <c r="W3314"/>
    </row>
    <row r="3315" spans="23:23">
      <c r="W3315"/>
    </row>
    <row r="3316" spans="23:23">
      <c r="W3316"/>
    </row>
    <row r="3317" spans="23:23">
      <c r="W3317"/>
    </row>
    <row r="3318" spans="23:23">
      <c r="W3318"/>
    </row>
    <row r="3319" spans="23:23">
      <c r="W3319"/>
    </row>
    <row r="3320" spans="23:23">
      <c r="W3320"/>
    </row>
    <row r="3321" spans="23:23">
      <c r="W3321"/>
    </row>
    <row r="3322" spans="23:23">
      <c r="W3322"/>
    </row>
    <row r="3323" spans="23:23">
      <c r="W3323"/>
    </row>
    <row r="3324" spans="23:23">
      <c r="W3324"/>
    </row>
    <row r="3325" spans="23:23">
      <c r="W3325"/>
    </row>
    <row r="3326" spans="23:23">
      <c r="W3326"/>
    </row>
    <row r="3327" spans="23:23">
      <c r="W3327"/>
    </row>
    <row r="3328" spans="23:23">
      <c r="W3328"/>
    </row>
    <row r="3329" spans="23:23">
      <c r="W3329"/>
    </row>
    <row r="3330" spans="23:23">
      <c r="W3330"/>
    </row>
    <row r="3331" spans="23:23">
      <c r="W3331"/>
    </row>
    <row r="3332" spans="23:23">
      <c r="W3332"/>
    </row>
    <row r="3333" spans="23:23">
      <c r="W3333"/>
    </row>
    <row r="3334" spans="23:23">
      <c r="W3334"/>
    </row>
    <row r="3335" spans="23:23">
      <c r="W3335"/>
    </row>
    <row r="3336" spans="23:23">
      <c r="W3336"/>
    </row>
    <row r="3337" spans="23:23">
      <c r="W3337"/>
    </row>
    <row r="3338" spans="23:23">
      <c r="W3338"/>
    </row>
    <row r="3339" spans="23:23">
      <c r="W3339"/>
    </row>
    <row r="3340" spans="23:23">
      <c r="W3340"/>
    </row>
    <row r="3341" spans="23:23">
      <c r="W3341"/>
    </row>
    <row r="3342" spans="23:23">
      <c r="W3342"/>
    </row>
    <row r="3343" spans="23:23">
      <c r="W3343"/>
    </row>
    <row r="3344" spans="23:23">
      <c r="W3344"/>
    </row>
    <row r="3345" spans="23:23">
      <c r="W3345"/>
    </row>
    <row r="3346" spans="23:23">
      <c r="W3346"/>
    </row>
    <row r="3347" spans="23:23">
      <c r="W3347"/>
    </row>
    <row r="3348" spans="23:23">
      <c r="W3348"/>
    </row>
    <row r="3349" spans="23:23">
      <c r="W3349"/>
    </row>
    <row r="3350" spans="23:23">
      <c r="W3350"/>
    </row>
    <row r="3351" spans="23:23">
      <c r="W3351"/>
    </row>
    <row r="3352" spans="23:23">
      <c r="W3352"/>
    </row>
    <row r="3353" spans="23:23">
      <c r="W3353"/>
    </row>
    <row r="3354" spans="23:23">
      <c r="W3354"/>
    </row>
    <row r="3355" spans="23:23">
      <c r="W3355"/>
    </row>
    <row r="3356" spans="23:23">
      <c r="W3356"/>
    </row>
    <row r="3357" spans="23:23">
      <c r="W3357"/>
    </row>
    <row r="3358" spans="23:23">
      <c r="W3358"/>
    </row>
    <row r="3359" spans="23:23">
      <c r="W3359"/>
    </row>
    <row r="3360" spans="23:23">
      <c r="W3360"/>
    </row>
    <row r="3361" spans="23:23">
      <c r="W3361"/>
    </row>
    <row r="3362" spans="23:23">
      <c r="W3362"/>
    </row>
    <row r="3363" spans="23:23">
      <c r="W3363"/>
    </row>
    <row r="3364" spans="23:23">
      <c r="W3364"/>
    </row>
    <row r="3365" spans="23:23">
      <c r="W3365"/>
    </row>
    <row r="3366" spans="23:23">
      <c r="W3366"/>
    </row>
    <row r="3367" spans="23:23">
      <c r="W3367"/>
    </row>
    <row r="3368" spans="23:23">
      <c r="W3368"/>
    </row>
    <row r="3369" spans="23:23">
      <c r="W3369"/>
    </row>
    <row r="3370" spans="23:23">
      <c r="W3370"/>
    </row>
    <row r="3371" spans="23:23">
      <c r="W3371"/>
    </row>
    <row r="3372" spans="23:23">
      <c r="W3372"/>
    </row>
    <row r="3373" spans="23:23">
      <c r="W3373"/>
    </row>
    <row r="3374" spans="23:23">
      <c r="W3374"/>
    </row>
    <row r="3375" spans="23:23">
      <c r="W3375"/>
    </row>
    <row r="3376" spans="23:23">
      <c r="W3376"/>
    </row>
    <row r="3377" spans="23:23">
      <c r="W3377"/>
    </row>
    <row r="3378" spans="23:23">
      <c r="W3378"/>
    </row>
    <row r="3379" spans="23:23">
      <c r="W3379"/>
    </row>
    <row r="3380" spans="23:23">
      <c r="W3380"/>
    </row>
    <row r="3381" spans="23:23">
      <c r="W3381"/>
    </row>
    <row r="3382" spans="23:23">
      <c r="W3382"/>
    </row>
    <row r="3383" spans="23:23">
      <c r="W3383"/>
    </row>
    <row r="3384" spans="23:23">
      <c r="W3384"/>
    </row>
    <row r="3385" spans="23:23">
      <c r="W3385"/>
    </row>
    <row r="3386" spans="23:23">
      <c r="W3386"/>
    </row>
    <row r="3387" spans="23:23">
      <c r="W3387"/>
    </row>
    <row r="3388" spans="23:23">
      <c r="W3388"/>
    </row>
    <row r="3389" spans="23:23">
      <c r="W3389"/>
    </row>
    <row r="3390" spans="23:23">
      <c r="W3390"/>
    </row>
    <row r="3391" spans="23:23">
      <c r="W3391"/>
    </row>
    <row r="3392" spans="23:23">
      <c r="W3392"/>
    </row>
    <row r="3393" spans="23:23">
      <c r="W3393"/>
    </row>
    <row r="3394" spans="23:23">
      <c r="W3394"/>
    </row>
    <row r="3395" spans="23:23">
      <c r="W3395"/>
    </row>
    <row r="3396" spans="23:23">
      <c r="W3396"/>
    </row>
    <row r="3397" spans="23:23">
      <c r="W3397"/>
    </row>
    <row r="3398" spans="23:23">
      <c r="W3398"/>
    </row>
    <row r="3399" spans="23:23">
      <c r="W3399"/>
    </row>
    <row r="3400" spans="23:23">
      <c r="W3400"/>
    </row>
    <row r="3401" spans="23:23">
      <c r="W3401"/>
    </row>
    <row r="3402" spans="23:23">
      <c r="W3402"/>
    </row>
    <row r="3403" spans="23:23">
      <c r="W3403"/>
    </row>
    <row r="3404" spans="23:23">
      <c r="W3404"/>
    </row>
    <row r="3405" spans="23:23">
      <c r="W3405"/>
    </row>
    <row r="3406" spans="23:23">
      <c r="W3406"/>
    </row>
    <row r="3407" spans="23:23">
      <c r="W3407"/>
    </row>
    <row r="3408" spans="23:23">
      <c r="W3408"/>
    </row>
    <row r="3409" spans="23:23">
      <c r="W3409"/>
    </row>
    <row r="3410" spans="23:23">
      <c r="W3410"/>
    </row>
    <row r="3411" spans="23:23">
      <c r="W3411"/>
    </row>
    <row r="3412" spans="23:23">
      <c r="W3412"/>
    </row>
    <row r="3413" spans="23:23">
      <c r="W3413"/>
    </row>
    <row r="3414" spans="23:23">
      <c r="W3414"/>
    </row>
    <row r="3415" spans="23:23">
      <c r="W3415"/>
    </row>
    <row r="3416" spans="23:23">
      <c r="W3416"/>
    </row>
    <row r="3417" spans="23:23">
      <c r="W3417"/>
    </row>
    <row r="3418" spans="23:23">
      <c r="W3418"/>
    </row>
    <row r="3419" spans="23:23">
      <c r="W3419"/>
    </row>
    <row r="3420" spans="23:23">
      <c r="W3420"/>
    </row>
    <row r="3421" spans="23:23">
      <c r="W3421"/>
    </row>
    <row r="3422" spans="23:23">
      <c r="W3422"/>
    </row>
    <row r="3423" spans="23:23">
      <c r="W3423"/>
    </row>
    <row r="3424" spans="23:23">
      <c r="W3424"/>
    </row>
    <row r="3425" spans="23:23">
      <c r="W3425"/>
    </row>
    <row r="3426" spans="23:23">
      <c r="W3426"/>
    </row>
    <row r="3427" spans="23:23">
      <c r="W3427"/>
    </row>
    <row r="3428" spans="23:23">
      <c r="W3428"/>
    </row>
    <row r="3429" spans="23:23">
      <c r="W3429"/>
    </row>
    <row r="3430" spans="23:23">
      <c r="W3430"/>
    </row>
    <row r="3431" spans="23:23">
      <c r="W3431"/>
    </row>
    <row r="3432" spans="23:23">
      <c r="W3432"/>
    </row>
    <row r="3433" spans="23:23">
      <c r="W3433"/>
    </row>
    <row r="3434" spans="23:23">
      <c r="W3434"/>
    </row>
    <row r="3435" spans="23:23">
      <c r="W3435"/>
    </row>
    <row r="3436" spans="23:23">
      <c r="W3436"/>
    </row>
    <row r="3437" spans="23:23">
      <c r="W3437"/>
    </row>
    <row r="3438" spans="23:23">
      <c r="W3438"/>
    </row>
    <row r="3439" spans="23:23">
      <c r="W3439"/>
    </row>
    <row r="3440" spans="23:23">
      <c r="W3440"/>
    </row>
    <row r="3441" spans="23:23">
      <c r="W3441"/>
    </row>
    <row r="3442" spans="23:23">
      <c r="W3442"/>
    </row>
    <row r="3443" spans="23:23">
      <c r="W3443"/>
    </row>
    <row r="3444" spans="23:23">
      <c r="W3444"/>
    </row>
    <row r="3445" spans="23:23">
      <c r="W3445"/>
    </row>
    <row r="3446" spans="23:23">
      <c r="W3446"/>
    </row>
    <row r="3447" spans="23:23">
      <c r="W3447"/>
    </row>
    <row r="3448" spans="23:23">
      <c r="W3448"/>
    </row>
    <row r="3449" spans="23:23">
      <c r="W3449"/>
    </row>
    <row r="3450" spans="23:23">
      <c r="W3450"/>
    </row>
    <row r="3451" spans="23:23">
      <c r="W3451"/>
    </row>
    <row r="3452" spans="23:23">
      <c r="W3452"/>
    </row>
    <row r="3453" spans="23:23">
      <c r="W3453"/>
    </row>
    <row r="3454" spans="23:23">
      <c r="W3454"/>
    </row>
    <row r="3455" spans="23:23">
      <c r="W3455"/>
    </row>
    <row r="3456" spans="23:23">
      <c r="W3456"/>
    </row>
    <row r="3457" spans="23:23">
      <c r="W3457"/>
    </row>
    <row r="3458" spans="23:23">
      <c r="W3458"/>
    </row>
    <row r="3459" spans="23:23">
      <c r="W3459"/>
    </row>
    <row r="3460" spans="23:23">
      <c r="W3460"/>
    </row>
    <row r="3461" spans="23:23">
      <c r="W3461"/>
    </row>
    <row r="3462" spans="23:23">
      <c r="W3462"/>
    </row>
    <row r="3463" spans="23:23">
      <c r="W3463"/>
    </row>
    <row r="3464" spans="23:23">
      <c r="W3464"/>
    </row>
    <row r="3465" spans="23:23">
      <c r="W3465"/>
    </row>
    <row r="3466" spans="23:23">
      <c r="W3466"/>
    </row>
    <row r="3467" spans="23:23">
      <c r="W3467"/>
    </row>
    <row r="3468" spans="23:23">
      <c r="W3468"/>
    </row>
    <row r="3469" spans="23:23">
      <c r="W3469"/>
    </row>
    <row r="3470" spans="23:23">
      <c r="W3470"/>
    </row>
    <row r="3471" spans="23:23">
      <c r="W3471"/>
    </row>
    <row r="3472" spans="23:23">
      <c r="W3472"/>
    </row>
    <row r="3473" spans="23:23">
      <c r="W3473"/>
    </row>
    <row r="3474" spans="23:23">
      <c r="W3474"/>
    </row>
    <row r="3475" spans="23:23">
      <c r="W3475"/>
    </row>
    <row r="3476" spans="23:23">
      <c r="W3476"/>
    </row>
    <row r="3477" spans="23:23">
      <c r="W3477"/>
    </row>
    <row r="3478" spans="23:23">
      <c r="W3478"/>
    </row>
    <row r="3479" spans="23:23">
      <c r="W3479"/>
    </row>
    <row r="3480" spans="23:23">
      <c r="W3480"/>
    </row>
    <row r="3481" spans="23:23">
      <c r="W3481"/>
    </row>
    <row r="3482" spans="23:23">
      <c r="W3482"/>
    </row>
    <row r="3483" spans="23:23">
      <c r="W3483"/>
    </row>
    <row r="3484" spans="23:23">
      <c r="W3484"/>
    </row>
    <row r="3485" spans="23:23">
      <c r="W3485"/>
    </row>
    <row r="3486" spans="23:23">
      <c r="W3486"/>
    </row>
    <row r="3487" spans="23:23">
      <c r="W3487"/>
    </row>
    <row r="3488" spans="23:23">
      <c r="W3488"/>
    </row>
    <row r="3489" spans="23:23">
      <c r="W3489"/>
    </row>
    <row r="3490" spans="23:23">
      <c r="W3490"/>
    </row>
    <row r="3491" spans="23:23">
      <c r="W3491"/>
    </row>
    <row r="3492" spans="23:23">
      <c r="W3492"/>
    </row>
    <row r="3493" spans="23:23">
      <c r="W3493"/>
    </row>
    <row r="3494" spans="23:23">
      <c r="W3494"/>
    </row>
    <row r="3495" spans="23:23">
      <c r="W3495"/>
    </row>
    <row r="3496" spans="23:23">
      <c r="W3496"/>
    </row>
    <row r="3497" spans="23:23">
      <c r="W3497"/>
    </row>
    <row r="3498" spans="23:23">
      <c r="W3498"/>
    </row>
    <row r="3499" spans="23:23">
      <c r="W3499"/>
    </row>
    <row r="3500" spans="23:23">
      <c r="W3500"/>
    </row>
    <row r="3501" spans="23:23">
      <c r="W3501"/>
    </row>
    <row r="3502" spans="23:23">
      <c r="W3502"/>
    </row>
    <row r="3503" spans="23:23">
      <c r="W3503"/>
    </row>
    <row r="3504" spans="23:23">
      <c r="W3504"/>
    </row>
    <row r="3505" spans="23:23">
      <c r="W3505"/>
    </row>
    <row r="3506" spans="23:23">
      <c r="W3506"/>
    </row>
    <row r="3507" spans="23:23">
      <c r="W3507"/>
    </row>
    <row r="3508" spans="23:23">
      <c r="W3508"/>
    </row>
    <row r="3509" spans="23:23">
      <c r="W3509"/>
    </row>
    <row r="3510" spans="23:23">
      <c r="W3510"/>
    </row>
    <row r="3511" spans="23:23">
      <c r="W3511"/>
    </row>
    <row r="3512" spans="23:23">
      <c r="W3512"/>
    </row>
    <row r="3513" spans="23:23">
      <c r="W3513"/>
    </row>
    <row r="3514" spans="23:23">
      <c r="W3514"/>
    </row>
    <row r="3515" spans="23:23">
      <c r="W3515"/>
    </row>
    <row r="3516" spans="23:23">
      <c r="W3516"/>
    </row>
    <row r="3517" spans="23:23">
      <c r="W3517"/>
    </row>
    <row r="3518" spans="23:23">
      <c r="W3518"/>
    </row>
    <row r="3519" spans="23:23">
      <c r="W3519"/>
    </row>
    <row r="3520" spans="23:23">
      <c r="W3520"/>
    </row>
    <row r="3521" spans="23:23">
      <c r="W3521"/>
    </row>
    <row r="3522" spans="23:23">
      <c r="W3522"/>
    </row>
    <row r="3523" spans="23:23">
      <c r="W3523"/>
    </row>
    <row r="3524" spans="23:23">
      <c r="W3524"/>
    </row>
    <row r="3525" spans="23:23">
      <c r="W3525"/>
    </row>
    <row r="3526" spans="23:23">
      <c r="W3526"/>
    </row>
    <row r="3527" spans="23:23">
      <c r="W3527"/>
    </row>
    <row r="3528" spans="23:23">
      <c r="W3528"/>
    </row>
    <row r="3529" spans="23:23">
      <c r="W3529"/>
    </row>
    <row r="3530" spans="23:23">
      <c r="W3530"/>
    </row>
    <row r="3531" spans="23:23">
      <c r="W3531"/>
    </row>
    <row r="3532" spans="23:23">
      <c r="W3532"/>
    </row>
    <row r="3533" spans="23:23">
      <c r="W3533"/>
    </row>
    <row r="3534" spans="23:23">
      <c r="W3534"/>
    </row>
    <row r="3535" spans="23:23">
      <c r="W3535"/>
    </row>
    <row r="3536" spans="23:23">
      <c r="W3536"/>
    </row>
    <row r="3537" spans="23:23">
      <c r="W3537"/>
    </row>
    <row r="3538" spans="23:23">
      <c r="W3538"/>
    </row>
    <row r="3539" spans="23:23">
      <c r="W3539"/>
    </row>
    <row r="3540" spans="23:23">
      <c r="W3540"/>
    </row>
    <row r="3541" spans="23:23">
      <c r="W3541"/>
    </row>
    <row r="3542" spans="23:23">
      <c r="W3542"/>
    </row>
    <row r="3543" spans="23:23">
      <c r="W3543"/>
    </row>
    <row r="3544" spans="23:23">
      <c r="W3544"/>
    </row>
    <row r="3545" spans="23:23">
      <c r="W3545"/>
    </row>
    <row r="3546" spans="23:23">
      <c r="W3546"/>
    </row>
    <row r="3547" spans="23:23">
      <c r="W3547"/>
    </row>
    <row r="3548" spans="23:23">
      <c r="W3548"/>
    </row>
    <row r="3549" spans="23:23">
      <c r="W3549"/>
    </row>
    <row r="3550" spans="23:23">
      <c r="W3550"/>
    </row>
    <row r="3551" spans="23:23">
      <c r="W3551"/>
    </row>
    <row r="3552" spans="23:23">
      <c r="W3552"/>
    </row>
    <row r="3553" spans="23:23">
      <c r="W3553"/>
    </row>
    <row r="3554" spans="23:23">
      <c r="W3554"/>
    </row>
    <row r="3555" spans="23:23">
      <c r="W3555"/>
    </row>
    <row r="3556" spans="23:23">
      <c r="W3556"/>
    </row>
    <row r="3557" spans="23:23">
      <c r="W3557"/>
    </row>
    <row r="3558" spans="23:23">
      <c r="W3558"/>
    </row>
    <row r="3559" spans="23:23">
      <c r="W3559"/>
    </row>
    <row r="3560" spans="23:23">
      <c r="W3560"/>
    </row>
    <row r="3561" spans="23:23">
      <c r="W3561"/>
    </row>
    <row r="3562" spans="23:23">
      <c r="W3562"/>
    </row>
    <row r="3563" spans="23:23">
      <c r="W3563"/>
    </row>
    <row r="3564" spans="23:23">
      <c r="W3564"/>
    </row>
    <row r="3565" spans="23:23">
      <c r="W3565"/>
    </row>
    <row r="3566" spans="23:23">
      <c r="W3566"/>
    </row>
    <row r="3567" spans="23:23">
      <c r="W3567"/>
    </row>
    <row r="3568" spans="23:23">
      <c r="W3568"/>
    </row>
    <row r="3569" spans="23:23">
      <c r="W3569"/>
    </row>
    <row r="3570" spans="23:23">
      <c r="W3570"/>
    </row>
    <row r="3571" spans="23:23">
      <c r="W3571"/>
    </row>
    <row r="3572" spans="23:23">
      <c r="W3572"/>
    </row>
    <row r="3573" spans="23:23">
      <c r="W3573"/>
    </row>
    <row r="3574" spans="23:23">
      <c r="W3574"/>
    </row>
    <row r="3575" spans="23:23">
      <c r="W3575"/>
    </row>
    <row r="3576" spans="23:23">
      <c r="W3576"/>
    </row>
    <row r="3577" spans="23:23">
      <c r="W3577"/>
    </row>
    <row r="3578" spans="23:23">
      <c r="W3578"/>
    </row>
    <row r="3579" spans="23:23">
      <c r="W3579"/>
    </row>
    <row r="3580" spans="23:23">
      <c r="W3580"/>
    </row>
    <row r="3581" spans="23:23">
      <c r="W3581"/>
    </row>
    <row r="3582" spans="23:23">
      <c r="W3582"/>
    </row>
    <row r="3583" spans="23:23">
      <c r="W3583"/>
    </row>
    <row r="3584" spans="23:23">
      <c r="W3584"/>
    </row>
    <row r="3585" spans="23:23">
      <c r="W3585"/>
    </row>
    <row r="3586" spans="23:23">
      <c r="W3586"/>
    </row>
    <row r="3587" spans="23:23">
      <c r="W3587"/>
    </row>
    <row r="3588" spans="23:23">
      <c r="W3588"/>
    </row>
    <row r="3589" spans="23:23">
      <c r="W3589"/>
    </row>
    <row r="3590" spans="23:23">
      <c r="W3590"/>
    </row>
    <row r="3591" spans="23:23">
      <c r="W3591"/>
    </row>
    <row r="3592" spans="23:23">
      <c r="W3592"/>
    </row>
    <row r="3593" spans="23:23">
      <c r="W3593"/>
    </row>
    <row r="3594" spans="23:23">
      <c r="W3594"/>
    </row>
    <row r="3595" spans="23:23">
      <c r="W3595"/>
    </row>
    <row r="3596" spans="23:23">
      <c r="W3596"/>
    </row>
    <row r="3597" spans="23:23">
      <c r="W3597"/>
    </row>
    <row r="3598" spans="23:23">
      <c r="W3598"/>
    </row>
    <row r="3599" spans="23:23">
      <c r="W3599"/>
    </row>
    <row r="3600" spans="23:23">
      <c r="W3600"/>
    </row>
    <row r="3601" spans="23:23">
      <c r="W3601"/>
    </row>
    <row r="3602" spans="23:23">
      <c r="W3602"/>
    </row>
    <row r="3603" spans="23:23">
      <c r="W3603"/>
    </row>
    <row r="3604" spans="23:23">
      <c r="W3604"/>
    </row>
    <row r="3605" spans="23:23">
      <c r="W3605"/>
    </row>
    <row r="3606" spans="23:23">
      <c r="W3606"/>
    </row>
    <row r="3607" spans="23:23">
      <c r="W3607"/>
    </row>
    <row r="3608" spans="23:23">
      <c r="W3608"/>
    </row>
    <row r="3609" spans="23:23">
      <c r="W3609"/>
    </row>
    <row r="3610" spans="23:23">
      <c r="W3610"/>
    </row>
    <row r="3611" spans="23:23">
      <c r="W3611"/>
    </row>
    <row r="3612" spans="23:23">
      <c r="W3612"/>
    </row>
    <row r="3613" spans="23:23">
      <c r="W3613"/>
    </row>
    <row r="3614" spans="23:23">
      <c r="W3614"/>
    </row>
    <row r="3615" spans="23:23">
      <c r="W3615"/>
    </row>
    <row r="3616" spans="23:23">
      <c r="W3616"/>
    </row>
    <row r="3617" spans="23:23">
      <c r="W3617"/>
    </row>
    <row r="3618" spans="23:23">
      <c r="W3618"/>
    </row>
    <row r="3619" spans="23:23">
      <c r="W3619"/>
    </row>
    <row r="3620" spans="23:23">
      <c r="W3620"/>
    </row>
    <row r="3621" spans="23:23">
      <c r="W3621"/>
    </row>
    <row r="3622" spans="23:23">
      <c r="W3622"/>
    </row>
    <row r="3623" spans="23:23">
      <c r="W3623"/>
    </row>
    <row r="3624" spans="23:23">
      <c r="W3624"/>
    </row>
    <row r="3625" spans="23:23">
      <c r="W3625"/>
    </row>
    <row r="3626" spans="23:23">
      <c r="W3626"/>
    </row>
    <row r="3627" spans="23:23">
      <c r="W3627"/>
    </row>
    <row r="3628" spans="23:23">
      <c r="W3628"/>
    </row>
    <row r="3629" spans="23:23">
      <c r="W3629"/>
    </row>
    <row r="3630" spans="23:23">
      <c r="W3630"/>
    </row>
    <row r="3631" spans="23:23">
      <c r="W3631"/>
    </row>
    <row r="3632" spans="23:23">
      <c r="W3632"/>
    </row>
    <row r="3633" spans="23:23">
      <c r="W3633"/>
    </row>
    <row r="3634" spans="23:23">
      <c r="W3634"/>
    </row>
    <row r="3635" spans="23:23">
      <c r="W3635"/>
    </row>
    <row r="3636" spans="23:23">
      <c r="W3636"/>
    </row>
    <row r="3637" spans="23:23">
      <c r="W3637"/>
    </row>
    <row r="3638" spans="23:23">
      <c r="W3638"/>
    </row>
    <row r="3639" spans="23:23">
      <c r="W3639"/>
    </row>
    <row r="3640" spans="23:23">
      <c r="W3640"/>
    </row>
    <row r="3641" spans="23:23">
      <c r="W3641"/>
    </row>
    <row r="3642" spans="23:23">
      <c r="W3642"/>
    </row>
    <row r="3643" spans="23:23">
      <c r="W3643"/>
    </row>
    <row r="3644" spans="23:23">
      <c r="W3644"/>
    </row>
    <row r="3645" spans="23:23">
      <c r="W3645"/>
    </row>
    <row r="3646" spans="23:23">
      <c r="W3646"/>
    </row>
    <row r="3647" spans="23:23">
      <c r="W3647"/>
    </row>
    <row r="3648" spans="23:23">
      <c r="W3648"/>
    </row>
    <row r="3649" spans="23:23">
      <c r="W3649"/>
    </row>
    <row r="3650" spans="23:23">
      <c r="W3650"/>
    </row>
    <row r="3651" spans="23:23">
      <c r="W3651"/>
    </row>
    <row r="3652" spans="23:23">
      <c r="W3652"/>
    </row>
    <row r="3653" spans="23:23">
      <c r="W3653"/>
    </row>
    <row r="3654" spans="23:23">
      <c r="W3654"/>
    </row>
    <row r="3655" spans="23:23">
      <c r="W3655"/>
    </row>
    <row r="3656" spans="23:23">
      <c r="W3656"/>
    </row>
    <row r="3657" spans="23:23">
      <c r="W3657"/>
    </row>
    <row r="3658" spans="23:23">
      <c r="W3658"/>
    </row>
    <row r="3659" spans="23:23">
      <c r="W3659"/>
    </row>
    <row r="3660" spans="23:23">
      <c r="W3660"/>
    </row>
    <row r="3661" spans="23:23">
      <c r="W3661"/>
    </row>
    <row r="3662" spans="23:23">
      <c r="W3662"/>
    </row>
    <row r="3663" spans="23:23">
      <c r="W3663"/>
    </row>
    <row r="3664" spans="23:23">
      <c r="W3664"/>
    </row>
    <row r="3665" spans="23:23">
      <c r="W3665"/>
    </row>
    <row r="3666" spans="23:23">
      <c r="W3666"/>
    </row>
    <row r="3667" spans="23:23">
      <c r="W3667"/>
    </row>
    <row r="3668" spans="23:23">
      <c r="W3668"/>
    </row>
    <row r="3669" spans="23:23">
      <c r="W3669"/>
    </row>
    <row r="3670" spans="23:23">
      <c r="W3670"/>
    </row>
    <row r="3671" spans="23:23">
      <c r="W3671"/>
    </row>
    <row r="3672" spans="23:23">
      <c r="W3672"/>
    </row>
    <row r="3673" spans="23:23">
      <c r="W3673"/>
    </row>
    <row r="3674" spans="23:23">
      <c r="W3674"/>
    </row>
    <row r="3675" spans="23:23">
      <c r="W3675"/>
    </row>
    <row r="3676" spans="23:23">
      <c r="W3676"/>
    </row>
    <row r="3677" spans="23:23">
      <c r="W3677"/>
    </row>
    <row r="3678" spans="23:23">
      <c r="W3678"/>
    </row>
    <row r="3679" spans="23:23">
      <c r="W3679"/>
    </row>
    <row r="3680" spans="23:23">
      <c r="W3680"/>
    </row>
    <row r="3681" spans="23:23">
      <c r="W3681"/>
    </row>
    <row r="3682" spans="23:23">
      <c r="W3682"/>
    </row>
    <row r="3683" spans="23:23">
      <c r="W3683"/>
    </row>
    <row r="3684" spans="23:23">
      <c r="W3684"/>
    </row>
    <row r="3685" spans="23:23">
      <c r="W3685"/>
    </row>
    <row r="3686" spans="23:23">
      <c r="W3686"/>
    </row>
    <row r="3687" spans="23:23">
      <c r="W3687"/>
    </row>
    <row r="3688" spans="23:23">
      <c r="W3688"/>
    </row>
    <row r="3689" spans="23:23">
      <c r="W3689"/>
    </row>
    <row r="3690" spans="23:23">
      <c r="W3690"/>
    </row>
    <row r="3691" spans="23:23">
      <c r="W3691"/>
    </row>
    <row r="3692" spans="23:23">
      <c r="W3692"/>
    </row>
    <row r="3693" spans="23:23">
      <c r="W3693"/>
    </row>
    <row r="3694" spans="23:23">
      <c r="W3694"/>
    </row>
    <row r="3695" spans="23:23">
      <c r="W3695"/>
    </row>
    <row r="3696" spans="23:23">
      <c r="W3696"/>
    </row>
    <row r="3697" spans="23:23">
      <c r="W3697"/>
    </row>
    <row r="3698" spans="23:23">
      <c r="W3698"/>
    </row>
    <row r="3699" spans="23:23">
      <c r="W3699"/>
    </row>
    <row r="3700" spans="23:23">
      <c r="W3700"/>
    </row>
    <row r="3701" spans="23:23">
      <c r="W3701"/>
    </row>
    <row r="3702" spans="23:23">
      <c r="W3702"/>
    </row>
    <row r="3703" spans="23:23">
      <c r="W3703"/>
    </row>
    <row r="3704" spans="23:23">
      <c r="W3704"/>
    </row>
    <row r="3705" spans="23:23">
      <c r="W3705"/>
    </row>
    <row r="3706" spans="23:23">
      <c r="W3706"/>
    </row>
    <row r="3707" spans="23:23">
      <c r="W3707"/>
    </row>
    <row r="3708" spans="23:23">
      <c r="W3708"/>
    </row>
    <row r="3709" spans="23:23">
      <c r="W3709"/>
    </row>
    <row r="3710" spans="23:23">
      <c r="W3710"/>
    </row>
    <row r="3711" spans="23:23">
      <c r="W3711"/>
    </row>
    <row r="3712" spans="23:23">
      <c r="W3712"/>
    </row>
    <row r="3713" spans="23:23">
      <c r="W3713"/>
    </row>
    <row r="3714" spans="23:23">
      <c r="W3714"/>
    </row>
    <row r="3715" spans="23:23">
      <c r="W3715"/>
    </row>
    <row r="3716" spans="23:23">
      <c r="W3716"/>
    </row>
    <row r="3717" spans="23:23">
      <c r="W3717"/>
    </row>
    <row r="3718" spans="23:23">
      <c r="W3718"/>
    </row>
    <row r="3719" spans="23:23">
      <c r="W3719"/>
    </row>
    <row r="3720" spans="23:23">
      <c r="W3720"/>
    </row>
    <row r="3721" spans="23:23">
      <c r="W3721"/>
    </row>
    <row r="3722" spans="23:23">
      <c r="W3722"/>
    </row>
    <row r="3723" spans="23:23">
      <c r="W3723"/>
    </row>
    <row r="3724" spans="23:23">
      <c r="W3724"/>
    </row>
    <row r="3725" spans="23:23">
      <c r="W3725"/>
    </row>
    <row r="3726" spans="23:23">
      <c r="W3726"/>
    </row>
    <row r="3727" spans="23:23">
      <c r="W3727"/>
    </row>
    <row r="3728" spans="23:23">
      <c r="W3728"/>
    </row>
    <row r="3729" spans="23:23">
      <c r="W3729"/>
    </row>
    <row r="3730" spans="23:23">
      <c r="W3730"/>
    </row>
    <row r="3731" spans="23:23">
      <c r="W3731"/>
    </row>
    <row r="3732" spans="23:23">
      <c r="W3732"/>
    </row>
    <row r="3733" spans="23:23">
      <c r="W3733"/>
    </row>
    <row r="3734" spans="23:23">
      <c r="W3734"/>
    </row>
    <row r="3735" spans="23:23">
      <c r="W3735"/>
    </row>
    <row r="3736" spans="23:23">
      <c r="W3736"/>
    </row>
    <row r="3737" spans="23:23">
      <c r="W3737"/>
    </row>
    <row r="3738" spans="23:23">
      <c r="W3738"/>
    </row>
    <row r="3739" spans="23:23">
      <c r="W3739"/>
    </row>
    <row r="3740" spans="23:23">
      <c r="W3740"/>
    </row>
    <row r="3741" spans="23:23">
      <c r="W3741"/>
    </row>
    <row r="3742" spans="23:23">
      <c r="W3742"/>
    </row>
    <row r="3743" spans="23:23">
      <c r="W3743"/>
    </row>
    <row r="3744" spans="23:23">
      <c r="W3744"/>
    </row>
    <row r="3745" spans="23:23">
      <c r="W3745"/>
    </row>
    <row r="3746" spans="23:23">
      <c r="W3746"/>
    </row>
    <row r="3747" spans="23:23">
      <c r="W3747"/>
    </row>
    <row r="3748" spans="23:23">
      <c r="W3748"/>
    </row>
    <row r="3749" spans="23:23">
      <c r="W3749"/>
    </row>
    <row r="3750" spans="23:23">
      <c r="W3750"/>
    </row>
    <row r="3751" spans="23:23">
      <c r="W3751"/>
    </row>
    <row r="3752" spans="23:23">
      <c r="W3752"/>
    </row>
    <row r="3753" spans="23:23">
      <c r="W3753"/>
    </row>
    <row r="3754" spans="23:23">
      <c r="W3754"/>
    </row>
    <row r="3755" spans="23:23">
      <c r="W3755"/>
    </row>
    <row r="3756" spans="23:23">
      <c r="W3756"/>
    </row>
    <row r="3757" spans="23:23">
      <c r="W3757"/>
    </row>
    <row r="3758" spans="23:23">
      <c r="W3758"/>
    </row>
    <row r="3759" spans="23:23">
      <c r="W3759"/>
    </row>
    <row r="3760" spans="23:23">
      <c r="W3760"/>
    </row>
    <row r="3761" spans="23:23">
      <c r="W3761"/>
    </row>
    <row r="3762" spans="23:23">
      <c r="W3762"/>
    </row>
    <row r="3763" spans="23:23">
      <c r="W3763"/>
    </row>
    <row r="3764" spans="23:23">
      <c r="W3764"/>
    </row>
    <row r="3765" spans="23:23">
      <c r="W3765"/>
    </row>
    <row r="3766" spans="23:23">
      <c r="W3766"/>
    </row>
    <row r="3767" spans="23:23">
      <c r="W3767"/>
    </row>
    <row r="3768" spans="23:23">
      <c r="W3768"/>
    </row>
    <row r="3769" spans="23:23">
      <c r="W3769"/>
    </row>
    <row r="3770" spans="23:23">
      <c r="W3770"/>
    </row>
    <row r="3771" spans="23:23">
      <c r="W3771"/>
    </row>
    <row r="3772" spans="23:23">
      <c r="W3772"/>
    </row>
    <row r="3773" spans="23:23">
      <c r="W3773"/>
    </row>
    <row r="3774" spans="23:23">
      <c r="W3774"/>
    </row>
    <row r="3775" spans="23:23">
      <c r="W3775"/>
    </row>
    <row r="3776" spans="23:23">
      <c r="W3776"/>
    </row>
    <row r="3777" spans="23:23">
      <c r="W3777"/>
    </row>
    <row r="3778" spans="23:23">
      <c r="W3778"/>
    </row>
    <row r="3779" spans="23:23">
      <c r="W3779"/>
    </row>
    <row r="3780" spans="23:23">
      <c r="W3780"/>
    </row>
    <row r="3781" spans="23:23">
      <c r="W3781"/>
    </row>
    <row r="3782" spans="23:23">
      <c r="W3782"/>
    </row>
    <row r="3783" spans="23:23">
      <c r="W3783"/>
    </row>
    <row r="3784" spans="23:23">
      <c r="W3784"/>
    </row>
    <row r="3785" spans="23:23">
      <c r="W3785"/>
    </row>
    <row r="3786" spans="23:23">
      <c r="W3786"/>
    </row>
    <row r="3787" spans="23:23">
      <c r="W3787"/>
    </row>
    <row r="3788" spans="23:23">
      <c r="W3788"/>
    </row>
    <row r="3789" spans="23:23">
      <c r="W3789"/>
    </row>
    <row r="3790" spans="23:23">
      <c r="W3790"/>
    </row>
    <row r="3791" spans="23:23">
      <c r="W3791"/>
    </row>
    <row r="3792" spans="23:23">
      <c r="W3792"/>
    </row>
    <row r="3793" spans="23:23">
      <c r="W3793"/>
    </row>
    <row r="3794" spans="23:23">
      <c r="W3794"/>
    </row>
    <row r="3795" spans="23:23">
      <c r="W3795"/>
    </row>
    <row r="3796" spans="23:23">
      <c r="W3796"/>
    </row>
    <row r="3797" spans="23:23">
      <c r="W3797"/>
    </row>
    <row r="3798" spans="23:23">
      <c r="W3798"/>
    </row>
    <row r="3799" spans="23:23">
      <c r="W3799"/>
    </row>
    <row r="3800" spans="23:23">
      <c r="W3800"/>
    </row>
    <row r="3801" spans="23:23">
      <c r="W3801"/>
    </row>
    <row r="3802" spans="23:23">
      <c r="W3802"/>
    </row>
    <row r="3803" spans="23:23">
      <c r="W3803"/>
    </row>
    <row r="3804" spans="23:23">
      <c r="W3804"/>
    </row>
    <row r="3805" spans="23:23">
      <c r="W3805"/>
    </row>
    <row r="3806" spans="23:23">
      <c r="W3806"/>
    </row>
    <row r="3807" spans="23:23">
      <c r="W3807"/>
    </row>
    <row r="3808" spans="23:23">
      <c r="W3808"/>
    </row>
    <row r="3809" spans="23:23">
      <c r="W3809"/>
    </row>
    <row r="3810" spans="23:23">
      <c r="W3810"/>
    </row>
    <row r="3811" spans="23:23">
      <c r="W3811"/>
    </row>
    <row r="3812" spans="23:23">
      <c r="W3812"/>
    </row>
    <row r="3813" spans="23:23">
      <c r="W3813"/>
    </row>
    <row r="3814" spans="23:23">
      <c r="W3814"/>
    </row>
    <row r="3815" spans="23:23">
      <c r="W3815"/>
    </row>
    <row r="3816" spans="23:23">
      <c r="W3816"/>
    </row>
    <row r="3817" spans="23:23">
      <c r="W3817"/>
    </row>
    <row r="3818" spans="23:23">
      <c r="W3818"/>
    </row>
    <row r="3819" spans="23:23">
      <c r="W3819"/>
    </row>
    <row r="3820" spans="23:23">
      <c r="W3820"/>
    </row>
    <row r="3821" spans="23:23">
      <c r="W3821"/>
    </row>
    <row r="3822" spans="23:23">
      <c r="W3822"/>
    </row>
    <row r="3823" spans="23:23">
      <c r="W3823"/>
    </row>
    <row r="3824" spans="23:23">
      <c r="W3824"/>
    </row>
    <row r="3825" spans="23:23">
      <c r="W3825"/>
    </row>
    <row r="3826" spans="23:23">
      <c r="W3826"/>
    </row>
    <row r="3827" spans="23:23">
      <c r="W3827"/>
    </row>
    <row r="3828" spans="23:23">
      <c r="W3828"/>
    </row>
    <row r="3829" spans="23:23">
      <c r="W3829"/>
    </row>
    <row r="3830" spans="23:23">
      <c r="W3830"/>
    </row>
    <row r="3831" spans="23:23">
      <c r="W3831"/>
    </row>
    <row r="3832" spans="23:23">
      <c r="W3832"/>
    </row>
    <row r="3833" spans="23:23">
      <c r="W3833"/>
    </row>
    <row r="3834" spans="23:23">
      <c r="W3834"/>
    </row>
    <row r="3835" spans="23:23">
      <c r="W3835"/>
    </row>
    <row r="3836" spans="23:23">
      <c r="W3836"/>
    </row>
    <row r="3837" spans="23:23">
      <c r="W3837"/>
    </row>
    <row r="3838" spans="23:23">
      <c r="W3838"/>
    </row>
    <row r="3839" spans="23:23">
      <c r="W3839"/>
    </row>
    <row r="3840" spans="23:23">
      <c r="W3840"/>
    </row>
    <row r="3841" spans="23:23">
      <c r="W3841"/>
    </row>
    <row r="3842" spans="23:23">
      <c r="W3842"/>
    </row>
    <row r="3843" spans="23:23">
      <c r="W3843"/>
    </row>
    <row r="3844" spans="23:23">
      <c r="W3844"/>
    </row>
    <row r="3845" spans="23:23">
      <c r="W3845"/>
    </row>
    <row r="3846" spans="23:23">
      <c r="W3846"/>
    </row>
    <row r="3847" spans="23:23">
      <c r="W3847"/>
    </row>
    <row r="3848" spans="23:23">
      <c r="W3848"/>
    </row>
    <row r="3849" spans="23:23">
      <c r="W3849"/>
    </row>
    <row r="3850" spans="23:23">
      <c r="W3850"/>
    </row>
    <row r="3851" spans="23:23">
      <c r="W3851"/>
    </row>
    <row r="3852" spans="23:23">
      <c r="W3852"/>
    </row>
    <row r="3853" spans="23:23">
      <c r="W3853"/>
    </row>
    <row r="3854" spans="23:23">
      <c r="W3854"/>
    </row>
    <row r="3855" spans="23:23">
      <c r="W3855"/>
    </row>
    <row r="3856" spans="23:23">
      <c r="W3856"/>
    </row>
    <row r="3857" spans="23:23">
      <c r="W3857"/>
    </row>
    <row r="3858" spans="23:23">
      <c r="W3858"/>
    </row>
    <row r="3859" spans="23:23">
      <c r="W3859"/>
    </row>
    <row r="3860" spans="23:23">
      <c r="W3860"/>
    </row>
    <row r="3861" spans="23:23">
      <c r="W3861"/>
    </row>
    <row r="3862" spans="23:23">
      <c r="W3862"/>
    </row>
    <row r="3863" spans="23:23">
      <c r="W3863"/>
    </row>
    <row r="3864" spans="23:23">
      <c r="W3864"/>
    </row>
    <row r="3865" spans="23:23">
      <c r="W3865"/>
    </row>
    <row r="3866" spans="23:23">
      <c r="W3866"/>
    </row>
    <row r="3867" spans="23:23">
      <c r="W3867"/>
    </row>
    <row r="3868" spans="23:23">
      <c r="W3868"/>
    </row>
    <row r="3869" spans="23:23">
      <c r="W3869"/>
    </row>
    <row r="3870" spans="23:23">
      <c r="W3870"/>
    </row>
    <row r="3871" spans="23:23">
      <c r="W3871"/>
    </row>
    <row r="3872" spans="23:23">
      <c r="W3872"/>
    </row>
    <row r="3873" spans="23:23">
      <c r="W3873"/>
    </row>
    <row r="3874" spans="23:23">
      <c r="W3874"/>
    </row>
    <row r="3875" spans="23:23">
      <c r="W3875"/>
    </row>
    <row r="3876" spans="23:23">
      <c r="W3876"/>
    </row>
    <row r="3877" spans="23:23">
      <c r="W3877"/>
    </row>
    <row r="3878" spans="23:23">
      <c r="W3878"/>
    </row>
    <row r="3879" spans="23:23">
      <c r="W3879"/>
    </row>
    <row r="3880" spans="23:23">
      <c r="W3880"/>
    </row>
    <row r="3881" spans="23:23">
      <c r="W3881"/>
    </row>
    <row r="3882" spans="23:23">
      <c r="W3882"/>
    </row>
    <row r="3883" spans="23:23">
      <c r="W3883"/>
    </row>
    <row r="3884" spans="23:23">
      <c r="W3884"/>
    </row>
    <row r="3885" spans="23:23">
      <c r="W3885"/>
    </row>
    <row r="3886" spans="23:23">
      <c r="W3886"/>
    </row>
    <row r="3887" spans="23:23">
      <c r="W3887"/>
    </row>
    <row r="3888" spans="23:23">
      <c r="W3888"/>
    </row>
    <row r="3889" spans="23:23">
      <c r="W3889"/>
    </row>
    <row r="3890" spans="23:23">
      <c r="W3890"/>
    </row>
    <row r="3891" spans="23:23">
      <c r="W3891"/>
    </row>
    <row r="3892" spans="23:23">
      <c r="W3892"/>
    </row>
    <row r="3893" spans="23:23">
      <c r="W3893"/>
    </row>
    <row r="3894" spans="23:23">
      <c r="W3894"/>
    </row>
    <row r="3895" spans="23:23">
      <c r="W3895"/>
    </row>
    <row r="3896" spans="23:23">
      <c r="W3896"/>
    </row>
    <row r="3897" spans="23:23">
      <c r="W3897"/>
    </row>
    <row r="3898" spans="23:23">
      <c r="W3898"/>
    </row>
    <row r="3899" spans="23:23">
      <c r="W3899"/>
    </row>
    <row r="3900" spans="23:23">
      <c r="W3900"/>
    </row>
    <row r="3901" spans="23:23">
      <c r="W3901"/>
    </row>
    <row r="3902" spans="23:23">
      <c r="W3902"/>
    </row>
    <row r="3903" spans="23:23">
      <c r="W3903"/>
    </row>
    <row r="3904" spans="23:23">
      <c r="W3904"/>
    </row>
    <row r="3905" spans="23:23">
      <c r="W3905"/>
    </row>
    <row r="3906" spans="23:23">
      <c r="W3906"/>
    </row>
    <row r="3907" spans="23:23">
      <c r="W3907"/>
    </row>
    <row r="3908" spans="23:23">
      <c r="W3908"/>
    </row>
    <row r="3909" spans="23:23">
      <c r="W3909"/>
    </row>
    <row r="3910" spans="23:23">
      <c r="W3910"/>
    </row>
    <row r="3911" spans="23:23">
      <c r="W3911"/>
    </row>
    <row r="3912" spans="23:23">
      <c r="W3912"/>
    </row>
    <row r="3913" spans="23:23">
      <c r="W3913"/>
    </row>
    <row r="3914" spans="23:23">
      <c r="W3914"/>
    </row>
    <row r="3915" spans="23:23">
      <c r="W3915"/>
    </row>
    <row r="3916" spans="23:23">
      <c r="W3916"/>
    </row>
    <row r="3917" spans="23:23">
      <c r="W3917"/>
    </row>
    <row r="3918" spans="23:23">
      <c r="W3918"/>
    </row>
    <row r="3919" spans="23:23">
      <c r="W3919"/>
    </row>
    <row r="3920" spans="23:23">
      <c r="W3920"/>
    </row>
    <row r="3921" spans="23:23">
      <c r="W3921"/>
    </row>
    <row r="3922" spans="23:23">
      <c r="W3922"/>
    </row>
    <row r="3923" spans="23:23">
      <c r="W3923"/>
    </row>
    <row r="3924" spans="23:23">
      <c r="W3924"/>
    </row>
    <row r="3925" spans="23:23">
      <c r="W3925"/>
    </row>
    <row r="3926" spans="23:23">
      <c r="W3926"/>
    </row>
    <row r="3927" spans="23:23">
      <c r="W3927"/>
    </row>
    <row r="3928" spans="23:23">
      <c r="W3928"/>
    </row>
    <row r="3929" spans="23:23">
      <c r="W3929"/>
    </row>
    <row r="3930" spans="23:23">
      <c r="W3930"/>
    </row>
    <row r="3931" spans="23:23">
      <c r="W3931"/>
    </row>
    <row r="3932" spans="23:23">
      <c r="W3932"/>
    </row>
    <row r="3933" spans="23:23">
      <c r="W3933"/>
    </row>
    <row r="3934" spans="23:23">
      <c r="W3934"/>
    </row>
    <row r="3935" spans="23:23">
      <c r="W3935"/>
    </row>
    <row r="3936" spans="23:23">
      <c r="W3936"/>
    </row>
    <row r="3937" spans="23:23">
      <c r="W3937"/>
    </row>
    <row r="3938" spans="23:23">
      <c r="W3938"/>
    </row>
    <row r="3939" spans="23:23">
      <c r="W3939"/>
    </row>
    <row r="3940" spans="23:23">
      <c r="W3940"/>
    </row>
    <row r="3941" spans="23:23">
      <c r="W3941"/>
    </row>
    <row r="3942" spans="23:23">
      <c r="W3942"/>
    </row>
    <row r="3943" spans="23:23">
      <c r="W3943"/>
    </row>
    <row r="3944" spans="23:23">
      <c r="W3944"/>
    </row>
    <row r="3945" spans="23:23">
      <c r="W3945"/>
    </row>
    <row r="3946" spans="23:23">
      <c r="W3946"/>
    </row>
    <row r="3947" spans="23:23">
      <c r="W3947"/>
    </row>
    <row r="3948" spans="23:23">
      <c r="W3948"/>
    </row>
    <row r="3949" spans="23:23">
      <c r="W3949"/>
    </row>
    <row r="3950" spans="23:23">
      <c r="W3950"/>
    </row>
    <row r="3951" spans="23:23">
      <c r="W3951"/>
    </row>
    <row r="3952" spans="23:23">
      <c r="W3952"/>
    </row>
    <row r="3953" spans="23:23">
      <c r="W3953"/>
    </row>
    <row r="3954" spans="23:23">
      <c r="W3954"/>
    </row>
    <row r="3955" spans="23:23">
      <c r="W3955"/>
    </row>
    <row r="3956" spans="23:23">
      <c r="W3956"/>
    </row>
    <row r="3957" spans="23:23">
      <c r="W3957"/>
    </row>
    <row r="3958" spans="23:23">
      <c r="W3958"/>
    </row>
    <row r="3959" spans="23:23">
      <c r="W3959"/>
    </row>
    <row r="3960" spans="23:23">
      <c r="W3960"/>
    </row>
    <row r="3961" spans="23:23">
      <c r="W3961"/>
    </row>
    <row r="3962" spans="23:23">
      <c r="W3962"/>
    </row>
    <row r="3963" spans="23:23">
      <c r="W3963"/>
    </row>
    <row r="3964" spans="23:23">
      <c r="W3964"/>
    </row>
    <row r="3965" spans="23:23">
      <c r="W3965"/>
    </row>
    <row r="3966" spans="23:23">
      <c r="W3966"/>
    </row>
    <row r="3967" spans="23:23">
      <c r="W3967"/>
    </row>
    <row r="3968" spans="23:23">
      <c r="W3968"/>
    </row>
    <row r="3969" spans="23:23">
      <c r="W3969"/>
    </row>
    <row r="3970" spans="23:23">
      <c r="W3970"/>
    </row>
    <row r="3971" spans="23:23">
      <c r="W3971"/>
    </row>
    <row r="3972" spans="23:23">
      <c r="W3972"/>
    </row>
    <row r="3973" spans="23:23">
      <c r="W3973"/>
    </row>
    <row r="3974" spans="23:23">
      <c r="W3974"/>
    </row>
    <row r="3975" spans="23:23">
      <c r="W3975"/>
    </row>
    <row r="3976" spans="23:23">
      <c r="W3976"/>
    </row>
    <row r="3977" spans="23:23">
      <c r="W3977"/>
    </row>
    <row r="3978" spans="23:23">
      <c r="W3978"/>
    </row>
    <row r="3979" spans="23:23">
      <c r="W3979"/>
    </row>
    <row r="3980" spans="23:23">
      <c r="W3980"/>
    </row>
    <row r="3981" spans="23:23">
      <c r="W3981"/>
    </row>
    <row r="3982" spans="23:23">
      <c r="W3982"/>
    </row>
    <row r="3983" spans="23:23">
      <c r="W3983"/>
    </row>
    <row r="3984" spans="23:23">
      <c r="W3984"/>
    </row>
    <row r="3985" spans="23:23">
      <c r="W3985"/>
    </row>
    <row r="3986" spans="23:23">
      <c r="W3986"/>
    </row>
    <row r="3987" spans="23:23">
      <c r="W3987"/>
    </row>
    <row r="3988" spans="23:23">
      <c r="W3988"/>
    </row>
    <row r="3989" spans="23:23">
      <c r="W3989"/>
    </row>
    <row r="3990" spans="23:23">
      <c r="W3990"/>
    </row>
    <row r="3991" spans="23:23">
      <c r="W3991"/>
    </row>
    <row r="3992" spans="23:23">
      <c r="W3992"/>
    </row>
    <row r="3993" spans="23:23">
      <c r="W3993"/>
    </row>
    <row r="3994" spans="23:23">
      <c r="W3994"/>
    </row>
    <row r="3995" spans="23:23">
      <c r="W3995"/>
    </row>
    <row r="3996" spans="23:23">
      <c r="W3996"/>
    </row>
    <row r="3997" spans="23:23">
      <c r="W3997"/>
    </row>
    <row r="3998" spans="23:23">
      <c r="W3998"/>
    </row>
    <row r="3999" spans="23:23">
      <c r="W3999"/>
    </row>
    <row r="4000" spans="23:23">
      <c r="W4000"/>
    </row>
    <row r="4001" spans="23:23">
      <c r="W4001"/>
    </row>
    <row r="4002" spans="23:23">
      <c r="W4002"/>
    </row>
    <row r="4003" spans="23:23">
      <c r="W4003"/>
    </row>
    <row r="4004" spans="23:23">
      <c r="W4004"/>
    </row>
    <row r="4005" spans="23:23">
      <c r="W4005"/>
    </row>
    <row r="4006" spans="23:23">
      <c r="W4006"/>
    </row>
    <row r="4007" spans="23:23">
      <c r="W4007"/>
    </row>
    <row r="4008" spans="23:23">
      <c r="W4008"/>
    </row>
    <row r="4009" spans="23:23">
      <c r="W4009"/>
    </row>
    <row r="4010" spans="23:23">
      <c r="W4010"/>
    </row>
    <row r="4011" spans="23:23">
      <c r="W4011"/>
    </row>
    <row r="4012" spans="23:23">
      <c r="W4012"/>
    </row>
    <row r="4013" spans="23:23">
      <c r="W4013"/>
    </row>
    <row r="4014" spans="23:23">
      <c r="W4014"/>
    </row>
    <row r="4015" spans="23:23">
      <c r="W4015"/>
    </row>
    <row r="4016" spans="23:23">
      <c r="W4016"/>
    </row>
    <row r="4017" spans="23:23">
      <c r="W4017"/>
    </row>
    <row r="4018" spans="23:23">
      <c r="W4018"/>
    </row>
    <row r="4019" spans="23:23">
      <c r="W4019"/>
    </row>
    <row r="4020" spans="23:23">
      <c r="W4020"/>
    </row>
    <row r="4021" spans="23:23">
      <c r="W4021"/>
    </row>
    <row r="4022" spans="23:23">
      <c r="W4022"/>
    </row>
    <row r="4023" spans="23:23">
      <c r="W4023"/>
    </row>
    <row r="4024" spans="23:23">
      <c r="W4024"/>
    </row>
    <row r="4025" spans="23:23">
      <c r="W4025"/>
    </row>
    <row r="4026" spans="23:23">
      <c r="W4026"/>
    </row>
    <row r="4027" spans="23:23">
      <c r="W4027"/>
    </row>
    <row r="4028" spans="23:23">
      <c r="W4028"/>
    </row>
    <row r="4029" spans="23:23">
      <c r="W4029"/>
    </row>
    <row r="4030" spans="23:23">
      <c r="W4030"/>
    </row>
    <row r="4031" spans="23:23">
      <c r="W4031"/>
    </row>
    <row r="4032" spans="23:23">
      <c r="W4032"/>
    </row>
    <row r="4033" spans="23:23">
      <c r="W4033"/>
    </row>
    <row r="4034" spans="23:23">
      <c r="W4034"/>
    </row>
    <row r="4035" spans="23:23">
      <c r="W4035"/>
    </row>
    <row r="4036" spans="23:23">
      <c r="W4036"/>
    </row>
    <row r="4037" spans="23:23">
      <c r="W4037"/>
    </row>
    <row r="4038" spans="23:23">
      <c r="W4038"/>
    </row>
    <row r="4039" spans="23:23">
      <c r="W4039"/>
    </row>
    <row r="4040" spans="23:23">
      <c r="W4040"/>
    </row>
    <row r="4041" spans="23:23">
      <c r="W4041"/>
    </row>
    <row r="4042" spans="23:23">
      <c r="W4042"/>
    </row>
    <row r="4043" spans="23:23">
      <c r="W4043"/>
    </row>
    <row r="4044" spans="23:23">
      <c r="W4044"/>
    </row>
    <row r="4045" spans="23:23">
      <c r="W4045"/>
    </row>
    <row r="4046" spans="23:23">
      <c r="W4046"/>
    </row>
    <row r="4047" spans="23:23">
      <c r="W4047"/>
    </row>
    <row r="4048" spans="23:23">
      <c r="W4048"/>
    </row>
    <row r="4049" spans="23:23">
      <c r="W4049"/>
    </row>
    <row r="4050" spans="23:23">
      <c r="W4050"/>
    </row>
    <row r="4051" spans="23:23">
      <c r="W4051"/>
    </row>
    <row r="4052" spans="23:23">
      <c r="W4052"/>
    </row>
    <row r="4053" spans="23:23">
      <c r="W4053"/>
    </row>
    <row r="4054" spans="23:23">
      <c r="W4054"/>
    </row>
    <row r="4055" spans="23:23">
      <c r="W4055"/>
    </row>
    <row r="4056" spans="23:23">
      <c r="W4056"/>
    </row>
    <row r="4057" spans="23:23">
      <c r="W4057"/>
    </row>
    <row r="4058" spans="23:23">
      <c r="W4058"/>
    </row>
    <row r="4059" spans="23:23">
      <c r="W4059"/>
    </row>
    <row r="4060" spans="23:23">
      <c r="W4060"/>
    </row>
    <row r="4061" spans="23:23">
      <c r="W4061"/>
    </row>
    <row r="4062" spans="23:23">
      <c r="W4062"/>
    </row>
    <row r="4063" spans="23:23">
      <c r="W4063"/>
    </row>
    <row r="4064" spans="23:23">
      <c r="W4064"/>
    </row>
    <row r="4065" spans="23:23">
      <c r="W4065"/>
    </row>
    <row r="4066" spans="23:23">
      <c r="W4066"/>
    </row>
    <row r="4067" spans="23:23">
      <c r="W4067"/>
    </row>
    <row r="4068" spans="23:23">
      <c r="W4068"/>
    </row>
    <row r="4069" spans="23:23">
      <c r="W4069"/>
    </row>
    <row r="4070" spans="23:23">
      <c r="W4070"/>
    </row>
    <row r="4071" spans="23:23">
      <c r="W4071"/>
    </row>
    <row r="4072" spans="23:23">
      <c r="W4072"/>
    </row>
    <row r="4073" spans="23:23">
      <c r="W4073"/>
    </row>
    <row r="4074" spans="23:23">
      <c r="W4074"/>
    </row>
    <row r="4075" spans="23:23">
      <c r="W4075"/>
    </row>
    <row r="4076" spans="23:23">
      <c r="W4076"/>
    </row>
    <row r="4077" spans="23:23">
      <c r="W4077"/>
    </row>
    <row r="4078" spans="23:23">
      <c r="W4078"/>
    </row>
    <row r="4079" spans="23:23">
      <c r="W4079"/>
    </row>
    <row r="4080" spans="23:23">
      <c r="W4080"/>
    </row>
    <row r="4081" spans="23:23">
      <c r="W4081"/>
    </row>
    <row r="4082" spans="23:23">
      <c r="W4082"/>
    </row>
    <row r="4083" spans="23:23">
      <c r="W4083"/>
    </row>
    <row r="4084" spans="23:23">
      <c r="W4084"/>
    </row>
    <row r="4085" spans="23:23">
      <c r="W4085"/>
    </row>
    <row r="4086" spans="23:23">
      <c r="W4086"/>
    </row>
    <row r="4087" spans="23:23">
      <c r="W4087"/>
    </row>
    <row r="4088" spans="23:23">
      <c r="W4088"/>
    </row>
    <row r="4089" spans="23:23">
      <c r="W4089"/>
    </row>
    <row r="4090" spans="23:23">
      <c r="W4090"/>
    </row>
    <row r="4091" spans="23:23">
      <c r="W4091"/>
    </row>
    <row r="4092" spans="23:23">
      <c r="W4092"/>
    </row>
    <row r="4093" spans="23:23">
      <c r="W4093"/>
    </row>
    <row r="4094" spans="23:23">
      <c r="W4094"/>
    </row>
    <row r="4095" spans="23:23">
      <c r="W4095"/>
    </row>
    <row r="4096" spans="23:23">
      <c r="W4096"/>
    </row>
    <row r="4097" spans="23:23">
      <c r="W4097"/>
    </row>
    <row r="4098" spans="23:23">
      <c r="W4098"/>
    </row>
    <row r="4099" spans="23:23">
      <c r="W4099"/>
    </row>
    <row r="4100" spans="23:23">
      <c r="W4100"/>
    </row>
    <row r="4101" spans="23:23">
      <c r="W4101"/>
    </row>
    <row r="4102" spans="23:23">
      <c r="W4102"/>
    </row>
    <row r="4103" spans="23:23">
      <c r="W4103"/>
    </row>
    <row r="4104" spans="23:23">
      <c r="W4104"/>
    </row>
    <row r="4105" spans="23:23">
      <c r="W4105"/>
    </row>
    <row r="4106" spans="23:23">
      <c r="W4106"/>
    </row>
    <row r="4107" spans="23:23">
      <c r="W4107"/>
    </row>
    <row r="4108" spans="23:23">
      <c r="W4108"/>
    </row>
    <row r="4109" spans="23:23">
      <c r="W4109"/>
    </row>
    <row r="4110" spans="23:23">
      <c r="W4110"/>
    </row>
    <row r="4111" spans="23:23">
      <c r="W4111"/>
    </row>
    <row r="4112" spans="23:23">
      <c r="W4112"/>
    </row>
    <row r="4113" spans="23:23">
      <c r="W4113"/>
    </row>
    <row r="4114" spans="23:23">
      <c r="W4114"/>
    </row>
    <row r="4115" spans="23:23">
      <c r="W4115"/>
    </row>
    <row r="4116" spans="23:23">
      <c r="W4116"/>
    </row>
    <row r="4117" spans="23:23">
      <c r="W4117"/>
    </row>
    <row r="4118" spans="23:23">
      <c r="W4118"/>
    </row>
    <row r="4119" spans="23:23">
      <c r="W4119"/>
    </row>
    <row r="4120" spans="23:23">
      <c r="W4120"/>
    </row>
    <row r="4121" spans="23:23">
      <c r="W4121"/>
    </row>
    <row r="4122" spans="23:23">
      <c r="W4122"/>
    </row>
    <row r="4123" spans="23:23">
      <c r="W4123"/>
    </row>
    <row r="4124" spans="23:23">
      <c r="W4124"/>
    </row>
    <row r="4125" spans="23:23">
      <c r="W4125"/>
    </row>
    <row r="4126" spans="23:23">
      <c r="W4126"/>
    </row>
    <row r="4127" spans="23:23">
      <c r="W4127"/>
    </row>
    <row r="4128" spans="23:23">
      <c r="W4128"/>
    </row>
    <row r="4129" spans="23:23">
      <c r="W4129"/>
    </row>
    <row r="4130" spans="23:23">
      <c r="W4130"/>
    </row>
    <row r="4131" spans="23:23">
      <c r="W4131"/>
    </row>
    <row r="4132" spans="23:23">
      <c r="W4132"/>
    </row>
    <row r="4133" spans="23:23">
      <c r="W4133"/>
    </row>
    <row r="4134" spans="23:23">
      <c r="W4134"/>
    </row>
    <row r="4135" spans="23:23">
      <c r="W4135"/>
    </row>
    <row r="4136" spans="23:23">
      <c r="W4136"/>
    </row>
    <row r="4137" spans="23:23">
      <c r="W4137"/>
    </row>
    <row r="4138" spans="23:23">
      <c r="W4138"/>
    </row>
    <row r="4139" spans="23:23">
      <c r="W4139"/>
    </row>
    <row r="4140" spans="23:23">
      <c r="W4140"/>
    </row>
    <row r="4141" spans="23:23">
      <c r="W4141"/>
    </row>
    <row r="4142" spans="23:23">
      <c r="W4142"/>
    </row>
    <row r="4143" spans="23:23">
      <c r="W4143"/>
    </row>
    <row r="4144" spans="23:23">
      <c r="W4144"/>
    </row>
    <row r="4145" spans="23:23">
      <c r="W4145"/>
    </row>
    <row r="4146" spans="23:23">
      <c r="W4146"/>
    </row>
    <row r="4147" spans="23:23">
      <c r="W4147"/>
    </row>
    <row r="4148" spans="23:23">
      <c r="W4148"/>
    </row>
    <row r="4149" spans="23:23">
      <c r="W4149"/>
    </row>
    <row r="4150" spans="23:23">
      <c r="W4150"/>
    </row>
    <row r="4151" spans="23:23">
      <c r="W4151"/>
    </row>
    <row r="4152" spans="23:23">
      <c r="W4152"/>
    </row>
    <row r="4153" spans="23:23">
      <c r="W4153"/>
    </row>
    <row r="4154" spans="23:23">
      <c r="W4154"/>
    </row>
    <row r="4155" spans="23:23">
      <c r="W4155"/>
    </row>
    <row r="4156" spans="23:23">
      <c r="W4156"/>
    </row>
    <row r="4157" spans="23:23">
      <c r="W4157"/>
    </row>
    <row r="4158" spans="23:23">
      <c r="W4158"/>
    </row>
    <row r="4159" spans="23:23">
      <c r="W4159"/>
    </row>
    <row r="4160" spans="23:23">
      <c r="W4160"/>
    </row>
    <row r="4161" spans="23:23">
      <c r="W4161"/>
    </row>
    <row r="4162" spans="23:23">
      <c r="W4162"/>
    </row>
    <row r="4163" spans="23:23">
      <c r="W4163"/>
    </row>
    <row r="4164" spans="23:23">
      <c r="W4164"/>
    </row>
    <row r="4165" spans="23:23">
      <c r="W4165"/>
    </row>
    <row r="4166" spans="23:23">
      <c r="W4166"/>
    </row>
    <row r="4167" spans="23:23">
      <c r="W4167"/>
    </row>
    <row r="4168" spans="23:23">
      <c r="W4168"/>
    </row>
    <row r="4169" spans="23:23">
      <c r="W4169"/>
    </row>
    <row r="4170" spans="23:23">
      <c r="W4170"/>
    </row>
    <row r="4171" spans="23:23">
      <c r="W4171"/>
    </row>
    <row r="4172" spans="23:23">
      <c r="W4172"/>
    </row>
    <row r="4173" spans="23:23">
      <c r="W4173"/>
    </row>
    <row r="4174" spans="23:23">
      <c r="W4174"/>
    </row>
    <row r="4175" spans="23:23">
      <c r="W4175"/>
    </row>
    <row r="4176" spans="23:23">
      <c r="W4176"/>
    </row>
    <row r="4177" spans="23:23">
      <c r="W4177"/>
    </row>
    <row r="4178" spans="23:23">
      <c r="W4178"/>
    </row>
    <row r="4179" spans="23:23">
      <c r="W4179"/>
    </row>
    <row r="4180" spans="23:23">
      <c r="W4180"/>
    </row>
    <row r="4181" spans="23:23">
      <c r="W4181"/>
    </row>
    <row r="4182" spans="23:23">
      <c r="W4182"/>
    </row>
    <row r="4183" spans="23:23">
      <c r="W4183"/>
    </row>
    <row r="4184" spans="23:23">
      <c r="W4184"/>
    </row>
    <row r="4185" spans="23:23">
      <c r="W4185"/>
    </row>
    <row r="4186" spans="23:23">
      <c r="W4186"/>
    </row>
    <row r="4187" spans="23:23">
      <c r="W4187"/>
    </row>
    <row r="4188" spans="23:23">
      <c r="W4188"/>
    </row>
    <row r="4189" spans="23:23">
      <c r="W4189"/>
    </row>
    <row r="4190" spans="23:23">
      <c r="W4190"/>
    </row>
    <row r="4191" spans="23:23">
      <c r="W4191"/>
    </row>
    <row r="4192" spans="23:23">
      <c r="W4192"/>
    </row>
    <row r="4193" spans="23:23">
      <c r="W4193"/>
    </row>
    <row r="4194" spans="23:23">
      <c r="W4194"/>
    </row>
    <row r="4195" spans="23:23">
      <c r="W4195"/>
    </row>
    <row r="4196" spans="23:23">
      <c r="W4196"/>
    </row>
    <row r="4197" spans="23:23">
      <c r="W4197"/>
    </row>
    <row r="4198" spans="23:23">
      <c r="W4198"/>
    </row>
    <row r="4199" spans="23:23">
      <c r="W4199"/>
    </row>
    <row r="4200" spans="23:23">
      <c r="W4200"/>
    </row>
    <row r="4201" spans="23:23">
      <c r="W4201"/>
    </row>
    <row r="4202" spans="23:23">
      <c r="W4202"/>
    </row>
    <row r="4203" spans="23:23">
      <c r="W4203"/>
    </row>
    <row r="4204" spans="23:23">
      <c r="W4204"/>
    </row>
    <row r="4205" spans="23:23">
      <c r="W4205"/>
    </row>
    <row r="4206" spans="23:23">
      <c r="W4206"/>
    </row>
    <row r="4207" spans="23:23">
      <c r="W4207"/>
    </row>
    <row r="4208" spans="23:23">
      <c r="W4208"/>
    </row>
    <row r="4209" spans="23:23">
      <c r="W4209"/>
    </row>
    <row r="4210" spans="23:23">
      <c r="W4210"/>
    </row>
    <row r="4211" spans="23:23">
      <c r="W4211"/>
    </row>
    <row r="4212" spans="23:23">
      <c r="W4212"/>
    </row>
    <row r="4213" spans="23:23">
      <c r="W4213"/>
    </row>
    <row r="4214" spans="23:23">
      <c r="W4214"/>
    </row>
    <row r="4215" spans="23:23">
      <c r="W4215"/>
    </row>
    <row r="4216" spans="23:23">
      <c r="W4216"/>
    </row>
    <row r="4217" spans="23:23">
      <c r="W4217"/>
    </row>
    <row r="4218" spans="23:23">
      <c r="W4218"/>
    </row>
    <row r="4219" spans="23:23">
      <c r="W4219"/>
    </row>
    <row r="4220" spans="23:23">
      <c r="W4220"/>
    </row>
    <row r="4221" spans="23:23">
      <c r="W4221"/>
    </row>
    <row r="4222" spans="23:23">
      <c r="W4222"/>
    </row>
    <row r="4223" spans="23:23">
      <c r="W4223"/>
    </row>
    <row r="4224" spans="23:23">
      <c r="W4224"/>
    </row>
    <row r="4225" spans="23:23">
      <c r="W4225"/>
    </row>
    <row r="4226" spans="23:23">
      <c r="W4226"/>
    </row>
    <row r="4227" spans="23:23">
      <c r="W4227"/>
    </row>
    <row r="4228" spans="23:23">
      <c r="W4228"/>
    </row>
    <row r="4229" spans="23:23">
      <c r="W4229"/>
    </row>
    <row r="4230" spans="23:23">
      <c r="W4230"/>
    </row>
    <row r="4231" spans="23:23">
      <c r="W4231"/>
    </row>
    <row r="4232" spans="23:23">
      <c r="W4232"/>
    </row>
    <row r="4233" spans="23:23">
      <c r="W4233"/>
    </row>
    <row r="4234" spans="23:23">
      <c r="W4234"/>
    </row>
    <row r="4235" spans="23:23">
      <c r="W4235"/>
    </row>
    <row r="4236" spans="23:23">
      <c r="W4236"/>
    </row>
    <row r="4237" spans="23:23">
      <c r="W4237"/>
    </row>
    <row r="4238" spans="23:23">
      <c r="W4238"/>
    </row>
    <row r="4239" spans="23:23">
      <c r="W4239"/>
    </row>
    <row r="4240" spans="23:23">
      <c r="W4240"/>
    </row>
    <row r="4241" spans="23:23">
      <c r="W4241"/>
    </row>
    <row r="4242" spans="23:23">
      <c r="W4242"/>
    </row>
    <row r="4243" spans="23:23">
      <c r="W4243"/>
    </row>
    <row r="4244" spans="23:23">
      <c r="W4244"/>
    </row>
    <row r="4245" spans="23:23">
      <c r="W4245"/>
    </row>
    <row r="4246" spans="23:23">
      <c r="W4246"/>
    </row>
    <row r="4247" spans="23:23">
      <c r="W4247"/>
    </row>
    <row r="4248" spans="23:23">
      <c r="W4248"/>
    </row>
    <row r="4249" spans="23:23">
      <c r="W4249"/>
    </row>
    <row r="4250" spans="23:23">
      <c r="W4250"/>
    </row>
    <row r="4251" spans="23:23">
      <c r="W4251"/>
    </row>
    <row r="4252" spans="23:23">
      <c r="W4252"/>
    </row>
    <row r="4253" spans="23:23">
      <c r="W4253"/>
    </row>
    <row r="4254" spans="23:23">
      <c r="W4254"/>
    </row>
    <row r="4255" spans="23:23">
      <c r="W4255"/>
    </row>
    <row r="4256" spans="23:23">
      <c r="W4256"/>
    </row>
    <row r="4257" spans="23:23">
      <c r="W4257"/>
    </row>
    <row r="4258" spans="23:23">
      <c r="W4258"/>
    </row>
    <row r="4259" spans="23:23">
      <c r="W4259"/>
    </row>
    <row r="4260" spans="23:23">
      <c r="W4260"/>
    </row>
    <row r="4261" spans="23:23">
      <c r="W4261"/>
    </row>
    <row r="4262" spans="23:23">
      <c r="W4262"/>
    </row>
    <row r="4263" spans="23:23">
      <c r="W4263"/>
    </row>
    <row r="4264" spans="23:23">
      <c r="W4264"/>
    </row>
    <row r="4265" spans="23:23">
      <c r="W4265"/>
    </row>
    <row r="4266" spans="23:23">
      <c r="W4266"/>
    </row>
    <row r="4267" spans="23:23">
      <c r="W4267"/>
    </row>
    <row r="4268" spans="23:23">
      <c r="W4268"/>
    </row>
    <row r="4269" spans="23:23">
      <c r="W4269"/>
    </row>
    <row r="4270" spans="23:23">
      <c r="W4270"/>
    </row>
    <row r="4271" spans="23:23">
      <c r="W4271"/>
    </row>
    <row r="4272" spans="23:23">
      <c r="W4272"/>
    </row>
    <row r="4273" spans="23:23">
      <c r="W4273"/>
    </row>
    <row r="4274" spans="23:23">
      <c r="W4274"/>
    </row>
    <row r="4275" spans="23:23">
      <c r="W4275"/>
    </row>
    <row r="4276" spans="23:23">
      <c r="W4276"/>
    </row>
    <row r="4277" spans="23:23">
      <c r="W4277"/>
    </row>
    <row r="4278" spans="23:23">
      <c r="W4278"/>
    </row>
    <row r="4279" spans="23:23">
      <c r="W4279"/>
    </row>
    <row r="4280" spans="23:23">
      <c r="W4280"/>
    </row>
    <row r="4281" spans="23:23">
      <c r="W4281"/>
    </row>
    <row r="4282" spans="23:23">
      <c r="W4282"/>
    </row>
    <row r="4283" spans="23:23">
      <c r="W4283"/>
    </row>
    <row r="4284" spans="23:23">
      <c r="W4284"/>
    </row>
    <row r="4285" spans="23:23">
      <c r="W4285"/>
    </row>
    <row r="4286" spans="23:23">
      <c r="W4286"/>
    </row>
    <row r="4287" spans="23:23">
      <c r="W4287"/>
    </row>
    <row r="4288" spans="23:23">
      <c r="W4288"/>
    </row>
    <row r="4289" spans="23:23">
      <c r="W4289"/>
    </row>
    <row r="4290" spans="23:23">
      <c r="W4290"/>
    </row>
    <row r="4291" spans="23:23">
      <c r="W4291"/>
    </row>
    <row r="4292" spans="23:23">
      <c r="W4292"/>
    </row>
    <row r="4293" spans="23:23">
      <c r="W4293"/>
    </row>
    <row r="4294" spans="23:23">
      <c r="W4294"/>
    </row>
    <row r="4295" spans="23:23">
      <c r="W4295"/>
    </row>
    <row r="4296" spans="23:23">
      <c r="W4296"/>
    </row>
    <row r="4297" spans="23:23">
      <c r="W4297"/>
    </row>
    <row r="4298" spans="23:23">
      <c r="W4298"/>
    </row>
    <row r="4299" spans="23:23">
      <c r="W4299"/>
    </row>
    <row r="4300" spans="23:23">
      <c r="W4300"/>
    </row>
    <row r="4301" spans="23:23">
      <c r="W4301"/>
    </row>
    <row r="4302" spans="23:23">
      <c r="W4302"/>
    </row>
    <row r="4303" spans="23:23">
      <c r="W4303"/>
    </row>
    <row r="4304" spans="23:23">
      <c r="W4304"/>
    </row>
    <row r="4305" spans="23:23">
      <c r="W4305"/>
    </row>
    <row r="4306" spans="23:23">
      <c r="W4306"/>
    </row>
    <row r="4307" spans="23:23">
      <c r="W4307"/>
    </row>
    <row r="4308" spans="23:23">
      <c r="W4308"/>
    </row>
    <row r="4309" spans="23:23">
      <c r="W4309"/>
    </row>
    <row r="4310" spans="23:23">
      <c r="W4310"/>
    </row>
    <row r="4311" spans="23:23">
      <c r="W4311"/>
    </row>
    <row r="4312" spans="23:23">
      <c r="W4312"/>
    </row>
    <row r="4313" spans="23:23">
      <c r="W4313"/>
    </row>
    <row r="4314" spans="23:23">
      <c r="W4314"/>
    </row>
    <row r="4315" spans="23:23">
      <c r="W4315"/>
    </row>
    <row r="4316" spans="23:23">
      <c r="W4316"/>
    </row>
    <row r="4317" spans="23:23">
      <c r="W4317"/>
    </row>
    <row r="4318" spans="23:23">
      <c r="W4318"/>
    </row>
    <row r="4319" spans="23:23">
      <c r="W4319"/>
    </row>
    <row r="4320" spans="23:23">
      <c r="W4320"/>
    </row>
    <row r="4321" spans="23:23">
      <c r="W4321"/>
    </row>
    <row r="4322" spans="23:23">
      <c r="W4322"/>
    </row>
    <row r="4323" spans="23:23">
      <c r="W4323"/>
    </row>
    <row r="4324" spans="23:23">
      <c r="W4324"/>
    </row>
    <row r="4325" spans="23:23">
      <c r="W4325"/>
    </row>
    <row r="4326" spans="23:23">
      <c r="W4326"/>
    </row>
    <row r="4327" spans="23:23">
      <c r="W4327"/>
    </row>
    <row r="4328" spans="23:23">
      <c r="W4328"/>
    </row>
    <row r="4329" spans="23:23">
      <c r="W4329"/>
    </row>
    <row r="4330" spans="23:23">
      <c r="W4330"/>
    </row>
    <row r="4331" spans="23:23">
      <c r="W4331"/>
    </row>
    <row r="4332" spans="23:23">
      <c r="W4332"/>
    </row>
    <row r="4333" spans="23:23">
      <c r="W4333"/>
    </row>
    <row r="4334" spans="23:23">
      <c r="W4334"/>
    </row>
    <row r="4335" spans="23:23">
      <c r="W4335"/>
    </row>
    <row r="4336" spans="23:23">
      <c r="W4336"/>
    </row>
    <row r="4337" spans="23:23">
      <c r="W4337"/>
    </row>
    <row r="4338" spans="23:23">
      <c r="W4338"/>
    </row>
    <row r="4339" spans="23:23">
      <c r="W4339"/>
    </row>
    <row r="4340" spans="23:23">
      <c r="W4340"/>
    </row>
    <row r="4341" spans="23:23">
      <c r="W4341"/>
    </row>
    <row r="4342" spans="23:23">
      <c r="W4342"/>
    </row>
    <row r="4343" spans="23:23">
      <c r="W4343"/>
    </row>
    <row r="4344" spans="23:23">
      <c r="W4344"/>
    </row>
    <row r="4345" spans="23:23">
      <c r="W4345"/>
    </row>
    <row r="4346" spans="23:23">
      <c r="W4346"/>
    </row>
    <row r="4347" spans="23:23">
      <c r="W4347"/>
    </row>
    <row r="4348" spans="23:23">
      <c r="W4348"/>
    </row>
    <row r="4349" spans="23:23">
      <c r="W4349"/>
    </row>
    <row r="4350" spans="23:23">
      <c r="W4350"/>
    </row>
    <row r="4351" spans="23:23">
      <c r="W4351"/>
    </row>
    <row r="4352" spans="23:23">
      <c r="W4352"/>
    </row>
    <row r="4353" spans="23:23">
      <c r="W4353"/>
    </row>
    <row r="4354" spans="23:23">
      <c r="W4354"/>
    </row>
    <row r="4355" spans="23:23">
      <c r="W4355"/>
    </row>
    <row r="4356" spans="23:23">
      <c r="W4356"/>
    </row>
    <row r="4357" spans="23:23">
      <c r="W4357"/>
    </row>
    <row r="4358" spans="23:23">
      <c r="W4358"/>
    </row>
    <row r="4359" spans="23:23">
      <c r="W4359"/>
    </row>
    <row r="4360" spans="23:23">
      <c r="W4360"/>
    </row>
    <row r="4361" spans="23:23">
      <c r="W4361"/>
    </row>
    <row r="4362" spans="23:23">
      <c r="W4362"/>
    </row>
    <row r="4363" spans="23:23">
      <c r="W4363"/>
    </row>
    <row r="4364" spans="23:23">
      <c r="W4364"/>
    </row>
    <row r="4365" spans="23:23">
      <c r="W4365"/>
    </row>
    <row r="4366" spans="23:23">
      <c r="W4366"/>
    </row>
    <row r="4367" spans="23:23">
      <c r="W4367"/>
    </row>
    <row r="4368" spans="23:23">
      <c r="W4368"/>
    </row>
    <row r="4369" spans="23:23">
      <c r="W4369"/>
    </row>
    <row r="4370" spans="23:23">
      <c r="W4370"/>
    </row>
    <row r="4371" spans="23:23">
      <c r="W4371"/>
    </row>
    <row r="4372" spans="23:23">
      <c r="W4372"/>
    </row>
    <row r="4373" spans="23:23">
      <c r="W4373"/>
    </row>
    <row r="4374" spans="23:23">
      <c r="W4374"/>
    </row>
    <row r="4375" spans="23:23">
      <c r="W4375"/>
    </row>
    <row r="4376" spans="23:23">
      <c r="W4376"/>
    </row>
    <row r="4377" spans="23:23">
      <c r="W4377"/>
    </row>
    <row r="4378" spans="23:23">
      <c r="W4378"/>
    </row>
    <row r="4379" spans="23:23">
      <c r="W4379"/>
    </row>
    <row r="4380" spans="23:23">
      <c r="W4380"/>
    </row>
    <row r="4381" spans="23:23">
      <c r="W4381"/>
    </row>
    <row r="4382" spans="23:23">
      <c r="W4382"/>
    </row>
    <row r="4383" spans="23:23">
      <c r="W4383"/>
    </row>
    <row r="4384" spans="23:23">
      <c r="W4384"/>
    </row>
    <row r="4385" spans="23:23">
      <c r="W4385"/>
    </row>
    <row r="4386" spans="23:23">
      <c r="W4386"/>
    </row>
    <row r="4387" spans="23:23">
      <c r="W4387"/>
    </row>
    <row r="4388" spans="23:23">
      <c r="W4388"/>
    </row>
    <row r="4389" spans="23:23">
      <c r="W4389"/>
    </row>
    <row r="4390" spans="23:23">
      <c r="W4390"/>
    </row>
    <row r="4391" spans="23:23">
      <c r="W4391"/>
    </row>
    <row r="4392" spans="23:23">
      <c r="W4392"/>
    </row>
    <row r="4393" spans="23:23">
      <c r="W4393"/>
    </row>
    <row r="4394" spans="23:23">
      <c r="W4394"/>
    </row>
    <row r="4395" spans="23:23">
      <c r="W4395"/>
    </row>
    <row r="4396" spans="23:23">
      <c r="W4396"/>
    </row>
    <row r="4397" spans="23:23">
      <c r="W4397"/>
    </row>
    <row r="4398" spans="23:23">
      <c r="W4398"/>
    </row>
    <row r="4399" spans="23:23">
      <c r="W4399"/>
    </row>
    <row r="4400" spans="23:23">
      <c r="W4400"/>
    </row>
    <row r="4401" spans="23:23">
      <c r="W4401"/>
    </row>
    <row r="4402" spans="23:23">
      <c r="W4402"/>
    </row>
    <row r="4403" spans="23:23">
      <c r="W4403"/>
    </row>
    <row r="4404" spans="23:23">
      <c r="W4404"/>
    </row>
    <row r="4405" spans="23:23">
      <c r="W4405"/>
    </row>
    <row r="4406" spans="23:23">
      <c r="W4406"/>
    </row>
    <row r="4407" spans="23:23">
      <c r="W4407"/>
    </row>
    <row r="4408" spans="23:23">
      <c r="W4408"/>
    </row>
    <row r="4409" spans="23:23">
      <c r="W4409"/>
    </row>
    <row r="4410" spans="23:23">
      <c r="W4410"/>
    </row>
    <row r="4411" spans="23:23">
      <c r="W4411"/>
    </row>
    <row r="4412" spans="23:23">
      <c r="W4412"/>
    </row>
    <row r="4413" spans="23:23">
      <c r="W4413"/>
    </row>
    <row r="4414" spans="23:23">
      <c r="W4414"/>
    </row>
    <row r="4415" spans="23:23">
      <c r="W4415"/>
    </row>
    <row r="4416" spans="23:23">
      <c r="W4416"/>
    </row>
    <row r="4417" spans="23:23">
      <c r="W4417"/>
    </row>
    <row r="4418" spans="23:23">
      <c r="W4418"/>
    </row>
    <row r="4419" spans="23:23">
      <c r="W4419"/>
    </row>
    <row r="4420" spans="23:23">
      <c r="W4420"/>
    </row>
    <row r="4421" spans="23:23">
      <c r="W4421"/>
    </row>
    <row r="4422" spans="23:23">
      <c r="W4422"/>
    </row>
    <row r="4423" spans="23:23">
      <c r="W4423"/>
    </row>
    <row r="4424" spans="23:23">
      <c r="W4424"/>
    </row>
    <row r="4425" spans="23:23">
      <c r="W4425"/>
    </row>
    <row r="4426" spans="23:23">
      <c r="W4426"/>
    </row>
    <row r="4427" spans="23:23">
      <c r="W4427"/>
    </row>
    <row r="4428" spans="23:23">
      <c r="W4428"/>
    </row>
    <row r="4429" spans="23:23">
      <c r="W4429"/>
    </row>
    <row r="4430" spans="23:23">
      <c r="W4430"/>
    </row>
    <row r="4431" spans="23:23">
      <c r="W4431"/>
    </row>
    <row r="4432" spans="23:23">
      <c r="W4432"/>
    </row>
    <row r="4433" spans="23:23">
      <c r="W4433"/>
    </row>
    <row r="4434" spans="23:23">
      <c r="W4434"/>
    </row>
    <row r="4435" spans="23:23">
      <c r="W4435"/>
    </row>
    <row r="4436" spans="23:23">
      <c r="W4436"/>
    </row>
    <row r="4437" spans="23:23">
      <c r="W4437"/>
    </row>
    <row r="4438" spans="23:23">
      <c r="W4438"/>
    </row>
    <row r="4439" spans="23:23">
      <c r="W4439"/>
    </row>
    <row r="4440" spans="23:23">
      <c r="W4440"/>
    </row>
    <row r="4441" spans="23:23">
      <c r="W4441"/>
    </row>
    <row r="4442" spans="23:23">
      <c r="W4442"/>
    </row>
    <row r="4443" spans="23:23">
      <c r="W4443"/>
    </row>
    <row r="4444" spans="23:23">
      <c r="W4444"/>
    </row>
    <row r="4445" spans="23:23">
      <c r="W4445"/>
    </row>
    <row r="4446" spans="23:23">
      <c r="W4446"/>
    </row>
    <row r="4447" spans="23:23">
      <c r="W4447"/>
    </row>
    <row r="4448" spans="23:23">
      <c r="W4448"/>
    </row>
    <row r="4449" spans="23:23">
      <c r="W4449"/>
    </row>
    <row r="4450" spans="23:23">
      <c r="W4450"/>
    </row>
    <row r="4451" spans="23:23">
      <c r="W4451"/>
    </row>
    <row r="4452" spans="23:23">
      <c r="W4452"/>
    </row>
    <row r="4453" spans="23:23">
      <c r="W4453"/>
    </row>
    <row r="4454" spans="23:23">
      <c r="W4454"/>
    </row>
    <row r="4455" spans="23:23">
      <c r="W4455"/>
    </row>
    <row r="4456" spans="23:23">
      <c r="W4456"/>
    </row>
    <row r="4457" spans="23:23">
      <c r="W4457"/>
    </row>
    <row r="4458" spans="23:23">
      <c r="W4458"/>
    </row>
    <row r="4459" spans="23:23">
      <c r="W4459"/>
    </row>
    <row r="4460" spans="23:23">
      <c r="W4460"/>
    </row>
    <row r="4461" spans="23:23">
      <c r="W4461"/>
    </row>
    <row r="4462" spans="23:23">
      <c r="W4462"/>
    </row>
    <row r="4463" spans="23:23">
      <c r="W4463"/>
    </row>
    <row r="4464" spans="23:23">
      <c r="W4464"/>
    </row>
    <row r="4465" spans="23:23">
      <c r="W4465"/>
    </row>
    <row r="4466" spans="23:23">
      <c r="W4466"/>
    </row>
    <row r="4467" spans="23:23">
      <c r="W4467"/>
    </row>
    <row r="4468" spans="23:23">
      <c r="W4468"/>
    </row>
    <row r="4469" spans="23:23">
      <c r="W4469"/>
    </row>
    <row r="4470" spans="23:23">
      <c r="W4470"/>
    </row>
    <row r="4471" spans="23:23">
      <c r="W4471"/>
    </row>
    <row r="4472" spans="23:23">
      <c r="W4472"/>
    </row>
    <row r="4473" spans="23:23">
      <c r="W4473"/>
    </row>
    <row r="4474" spans="23:23">
      <c r="W4474"/>
    </row>
    <row r="4475" spans="23:23">
      <c r="W4475"/>
    </row>
    <row r="4476" spans="23:23">
      <c r="W4476"/>
    </row>
    <row r="4477" spans="23:23">
      <c r="W4477"/>
    </row>
    <row r="4478" spans="23:23">
      <c r="W4478"/>
    </row>
    <row r="4479" spans="23:23">
      <c r="W4479"/>
    </row>
    <row r="4480" spans="23:23">
      <c r="W4480"/>
    </row>
    <row r="4481" spans="23:23">
      <c r="W4481"/>
    </row>
    <row r="4482" spans="23:23">
      <c r="W4482"/>
    </row>
    <row r="4483" spans="23:23">
      <c r="W4483"/>
    </row>
    <row r="4484" spans="23:23">
      <c r="W4484"/>
    </row>
    <row r="4485" spans="23:23">
      <c r="W4485"/>
    </row>
    <row r="4486" spans="23:23">
      <c r="W4486"/>
    </row>
    <row r="4487" spans="23:23">
      <c r="W4487"/>
    </row>
    <row r="4488" spans="23:23">
      <c r="W4488"/>
    </row>
    <row r="4489" spans="23:23">
      <c r="W4489"/>
    </row>
    <row r="4490" spans="23:23">
      <c r="W4490"/>
    </row>
    <row r="4491" spans="23:23">
      <c r="W4491"/>
    </row>
    <row r="4492" spans="23:23">
      <c r="W4492"/>
    </row>
    <row r="4493" spans="23:23">
      <c r="W4493"/>
    </row>
    <row r="4494" spans="23:23">
      <c r="W4494"/>
    </row>
    <row r="4495" spans="23:23">
      <c r="W4495"/>
    </row>
    <row r="4496" spans="23:23">
      <c r="W4496"/>
    </row>
    <row r="4497" spans="23:23">
      <c r="W4497"/>
    </row>
    <row r="4498" spans="23:23">
      <c r="W4498"/>
    </row>
    <row r="4499" spans="23:23">
      <c r="W4499"/>
    </row>
    <row r="4500" spans="23:23">
      <c r="W4500"/>
    </row>
    <row r="4501" spans="23:23">
      <c r="W4501"/>
    </row>
    <row r="4502" spans="23:23">
      <c r="W4502"/>
    </row>
    <row r="4503" spans="23:23">
      <c r="W4503"/>
    </row>
    <row r="4504" spans="23:23">
      <c r="W4504"/>
    </row>
    <row r="4505" spans="23:23">
      <c r="W4505"/>
    </row>
    <row r="4506" spans="23:23">
      <c r="W4506"/>
    </row>
    <row r="4507" spans="23:23">
      <c r="W4507"/>
    </row>
    <row r="4508" spans="23:23">
      <c r="W4508"/>
    </row>
    <row r="4509" spans="23:23">
      <c r="W4509"/>
    </row>
    <row r="4510" spans="23:23">
      <c r="W4510"/>
    </row>
    <row r="4511" spans="23:23">
      <c r="W4511"/>
    </row>
    <row r="4512" spans="23:23">
      <c r="W4512"/>
    </row>
    <row r="4513" spans="23:23">
      <c r="W4513"/>
    </row>
    <row r="4514" spans="23:23">
      <c r="W4514"/>
    </row>
    <row r="4515" spans="23:23">
      <c r="W4515"/>
    </row>
    <row r="4516" spans="23:23">
      <c r="W4516"/>
    </row>
    <row r="4517" spans="23:23">
      <c r="W4517"/>
    </row>
    <row r="4518" spans="23:23">
      <c r="W4518"/>
    </row>
    <row r="4519" spans="23:23">
      <c r="W4519"/>
    </row>
    <row r="4520" spans="23:23">
      <c r="W4520"/>
    </row>
    <row r="4521" spans="23:23">
      <c r="W4521"/>
    </row>
    <row r="4522" spans="23:23">
      <c r="W4522"/>
    </row>
    <row r="4523" spans="23:23">
      <c r="W4523"/>
    </row>
    <row r="4524" spans="23:23">
      <c r="W4524"/>
    </row>
    <row r="4525" spans="23:23">
      <c r="W4525"/>
    </row>
    <row r="4526" spans="23:23">
      <c r="W4526"/>
    </row>
    <row r="4527" spans="23:23">
      <c r="W4527"/>
    </row>
    <row r="4528" spans="23:23">
      <c r="W4528"/>
    </row>
    <row r="4529" spans="23:23">
      <c r="W4529"/>
    </row>
    <row r="4530" spans="23:23">
      <c r="W4530"/>
    </row>
    <row r="4531" spans="23:23">
      <c r="W4531"/>
    </row>
    <row r="4532" spans="23:23">
      <c r="W4532"/>
    </row>
    <row r="4533" spans="23:23">
      <c r="W4533"/>
    </row>
    <row r="4534" spans="23:23">
      <c r="W4534"/>
    </row>
    <row r="4535" spans="23:23">
      <c r="W4535"/>
    </row>
    <row r="4536" spans="23:23">
      <c r="W4536"/>
    </row>
    <row r="4537" spans="23:23">
      <c r="W4537"/>
    </row>
    <row r="4538" spans="23:23">
      <c r="W4538"/>
    </row>
    <row r="4539" spans="23:23">
      <c r="W4539"/>
    </row>
    <row r="4540" spans="23:23">
      <c r="W4540"/>
    </row>
    <row r="4541" spans="23:23">
      <c r="W4541"/>
    </row>
    <row r="4542" spans="23:23">
      <c r="W4542"/>
    </row>
    <row r="4543" spans="23:23">
      <c r="W4543"/>
    </row>
    <row r="4544" spans="23:23">
      <c r="W4544"/>
    </row>
    <row r="4545" spans="23:23">
      <c r="W4545"/>
    </row>
    <row r="4546" spans="23:23">
      <c r="W4546"/>
    </row>
    <row r="4547" spans="23:23">
      <c r="W4547"/>
    </row>
    <row r="4548" spans="23:23">
      <c r="W4548"/>
    </row>
    <row r="4549" spans="23:23">
      <c r="W4549"/>
    </row>
    <row r="4550" spans="23:23">
      <c r="W4550"/>
    </row>
    <row r="4551" spans="23:23">
      <c r="W4551"/>
    </row>
    <row r="4552" spans="23:23">
      <c r="W4552"/>
    </row>
    <row r="4553" spans="23:23">
      <c r="W4553"/>
    </row>
    <row r="4554" spans="23:23">
      <c r="W4554"/>
    </row>
    <row r="4555" spans="23:23">
      <c r="W4555"/>
    </row>
    <row r="4556" spans="23:23">
      <c r="W4556"/>
    </row>
    <row r="4557" spans="23:23">
      <c r="W4557"/>
    </row>
    <row r="4558" spans="23:23">
      <c r="W4558"/>
    </row>
    <row r="4559" spans="23:23">
      <c r="W4559"/>
    </row>
    <row r="4560" spans="23:23">
      <c r="W4560"/>
    </row>
    <row r="4561" spans="23:23">
      <c r="W4561"/>
    </row>
    <row r="4562" spans="23:23">
      <c r="W4562"/>
    </row>
    <row r="4563" spans="23:23">
      <c r="W4563"/>
    </row>
    <row r="4564" spans="23:23">
      <c r="W4564"/>
    </row>
    <row r="4565" spans="23:23">
      <c r="W4565"/>
    </row>
    <row r="4566" spans="23:23">
      <c r="W4566"/>
    </row>
    <row r="4567" spans="23:23">
      <c r="W4567"/>
    </row>
    <row r="4568" spans="23:23">
      <c r="W4568"/>
    </row>
    <row r="4569" spans="23:23">
      <c r="W4569"/>
    </row>
    <row r="4570" spans="23:23">
      <c r="W4570"/>
    </row>
    <row r="4571" spans="23:23">
      <c r="W4571"/>
    </row>
    <row r="4572" spans="23:23">
      <c r="W4572"/>
    </row>
    <row r="4573" spans="23:23">
      <c r="W4573"/>
    </row>
    <row r="4574" spans="23:23">
      <c r="W4574"/>
    </row>
    <row r="4575" spans="23:23">
      <c r="W4575"/>
    </row>
    <row r="4576" spans="23:23">
      <c r="W4576"/>
    </row>
    <row r="4577" spans="23:23">
      <c r="W4577"/>
    </row>
    <row r="4578" spans="23:23">
      <c r="W4578"/>
    </row>
    <row r="4579" spans="23:23">
      <c r="W4579"/>
    </row>
    <row r="4580" spans="23:23">
      <c r="W4580"/>
    </row>
    <row r="4581" spans="23:23">
      <c r="W4581"/>
    </row>
    <row r="4582" spans="23:23">
      <c r="W4582"/>
    </row>
    <row r="4583" spans="23:23">
      <c r="W4583"/>
    </row>
    <row r="4584" spans="23:23">
      <c r="W4584"/>
    </row>
    <row r="4585" spans="23:23">
      <c r="W4585"/>
    </row>
    <row r="4586" spans="23:23">
      <c r="W4586"/>
    </row>
    <row r="4587" spans="23:23">
      <c r="W4587"/>
    </row>
    <row r="4588" spans="23:23">
      <c r="W4588"/>
    </row>
    <row r="4589" spans="23:23">
      <c r="W4589"/>
    </row>
    <row r="4590" spans="23:23">
      <c r="W4590"/>
    </row>
    <row r="4591" spans="23:23">
      <c r="W4591"/>
    </row>
    <row r="4592" spans="23:23">
      <c r="W4592"/>
    </row>
    <row r="4593" spans="23:23">
      <c r="W4593"/>
    </row>
    <row r="4594" spans="23:23">
      <c r="W4594"/>
    </row>
    <row r="4595" spans="23:23">
      <c r="W4595"/>
    </row>
    <row r="4596" spans="23:23">
      <c r="W4596"/>
    </row>
    <row r="4597" spans="23:23">
      <c r="W4597"/>
    </row>
    <row r="4598" spans="23:23">
      <c r="W4598"/>
    </row>
    <row r="4599" spans="23:23">
      <c r="W4599"/>
    </row>
    <row r="4600" spans="23:23">
      <c r="W4600"/>
    </row>
    <row r="4601" spans="23:23">
      <c r="W4601"/>
    </row>
    <row r="4602" spans="23:23">
      <c r="W4602"/>
    </row>
    <row r="4603" spans="23:23">
      <c r="W4603"/>
    </row>
    <row r="4604" spans="23:23">
      <c r="W4604"/>
    </row>
    <row r="4605" spans="23:23">
      <c r="W4605"/>
    </row>
    <row r="4606" spans="23:23">
      <c r="W4606"/>
    </row>
    <row r="4607" spans="23:23">
      <c r="W4607"/>
    </row>
    <row r="4608" spans="23:23">
      <c r="W4608"/>
    </row>
    <row r="4609" spans="23:23">
      <c r="W4609"/>
    </row>
    <row r="4610" spans="23:23">
      <c r="W4610"/>
    </row>
    <row r="4611" spans="23:23">
      <c r="W4611"/>
    </row>
    <row r="4612" spans="23:23">
      <c r="W4612"/>
    </row>
    <row r="4613" spans="23:23">
      <c r="W4613"/>
    </row>
    <row r="4614" spans="23:23">
      <c r="W4614"/>
    </row>
    <row r="4615" spans="23:23">
      <c r="W4615"/>
    </row>
    <row r="4616" spans="23:23">
      <c r="W4616"/>
    </row>
    <row r="4617" spans="23:23">
      <c r="W4617"/>
    </row>
    <row r="4618" spans="23:23">
      <c r="W4618"/>
    </row>
    <row r="4619" spans="23:23">
      <c r="W4619"/>
    </row>
    <row r="4620" spans="23:23">
      <c r="W4620"/>
    </row>
    <row r="4621" spans="23:23">
      <c r="W4621"/>
    </row>
    <row r="4622" spans="23:23">
      <c r="W4622"/>
    </row>
    <row r="4623" spans="23:23">
      <c r="W4623"/>
    </row>
    <row r="4624" spans="23:23">
      <c r="W4624"/>
    </row>
    <row r="4625" spans="23:23">
      <c r="W4625"/>
    </row>
    <row r="4626" spans="23:23">
      <c r="W4626"/>
    </row>
    <row r="4627" spans="23:23">
      <c r="W4627"/>
    </row>
    <row r="4628" spans="23:23">
      <c r="W4628"/>
    </row>
    <row r="4629" spans="23:23">
      <c r="W4629"/>
    </row>
    <row r="4630" spans="23:23">
      <c r="W4630"/>
    </row>
    <row r="4631" spans="23:23">
      <c r="W4631"/>
    </row>
    <row r="4632" spans="23:23">
      <c r="W4632"/>
    </row>
    <row r="4633" spans="23:23">
      <c r="W4633"/>
    </row>
    <row r="4634" spans="23:23">
      <c r="W4634"/>
    </row>
    <row r="4635" spans="23:23">
      <c r="W4635"/>
    </row>
    <row r="4636" spans="23:23">
      <c r="W4636"/>
    </row>
    <row r="4637" spans="23:23">
      <c r="W4637"/>
    </row>
    <row r="4638" spans="23:23">
      <c r="W4638"/>
    </row>
    <row r="4639" spans="23:23">
      <c r="W4639"/>
    </row>
    <row r="4640" spans="23:23">
      <c r="W4640"/>
    </row>
    <row r="4641" spans="23:23">
      <c r="W4641"/>
    </row>
    <row r="4642" spans="23:23">
      <c r="W4642"/>
    </row>
    <row r="4643" spans="23:23">
      <c r="W4643"/>
    </row>
    <row r="4644" spans="23:23">
      <c r="W4644"/>
    </row>
    <row r="4645" spans="23:23">
      <c r="W4645"/>
    </row>
    <row r="4646" spans="23:23">
      <c r="W4646"/>
    </row>
    <row r="4647" spans="23:23">
      <c r="W4647"/>
    </row>
    <row r="4648" spans="23:23">
      <c r="W4648"/>
    </row>
    <row r="4649" spans="23:23">
      <c r="W4649"/>
    </row>
    <row r="4650" spans="23:23">
      <c r="W4650"/>
    </row>
    <row r="4651" spans="23:23">
      <c r="W4651"/>
    </row>
    <row r="4652" spans="23:23">
      <c r="W4652"/>
    </row>
    <row r="4653" spans="23:23">
      <c r="W4653"/>
    </row>
    <row r="4654" spans="23:23">
      <c r="W4654"/>
    </row>
    <row r="4655" spans="23:23">
      <c r="W4655"/>
    </row>
    <row r="4656" spans="23:23">
      <c r="W4656"/>
    </row>
    <row r="4657" spans="23:23">
      <c r="W4657"/>
    </row>
    <row r="4658" spans="23:23">
      <c r="W4658"/>
    </row>
    <row r="4659" spans="23:23">
      <c r="W4659"/>
    </row>
    <row r="4660" spans="23:23">
      <c r="W4660"/>
    </row>
    <row r="4661" spans="23:23">
      <c r="W4661"/>
    </row>
    <row r="4662" spans="23:23">
      <c r="W4662"/>
    </row>
    <row r="4663" spans="23:23">
      <c r="W4663"/>
    </row>
    <row r="4664" spans="23:23">
      <c r="W4664"/>
    </row>
    <row r="4665" spans="23:23">
      <c r="W4665"/>
    </row>
    <row r="4666" spans="23:23">
      <c r="W4666"/>
    </row>
    <row r="4667" spans="23:23">
      <c r="W4667"/>
    </row>
    <row r="4668" spans="23:23">
      <c r="W4668"/>
    </row>
    <row r="4669" spans="23:23">
      <c r="W4669"/>
    </row>
    <row r="4670" spans="23:23">
      <c r="W4670"/>
    </row>
    <row r="4671" spans="23:23">
      <c r="W4671"/>
    </row>
    <row r="4672" spans="23:23">
      <c r="W4672"/>
    </row>
    <row r="4673" spans="23:23">
      <c r="W4673"/>
    </row>
    <row r="4674" spans="23:23">
      <c r="W4674"/>
    </row>
    <row r="4675" spans="23:23">
      <c r="W4675"/>
    </row>
    <row r="4676" spans="23:23">
      <c r="W4676"/>
    </row>
    <row r="4677" spans="23:23">
      <c r="W4677"/>
    </row>
    <row r="4678" spans="23:23">
      <c r="W4678"/>
    </row>
    <row r="4679" spans="23:23">
      <c r="W4679"/>
    </row>
    <row r="4680" spans="23:23">
      <c r="W4680"/>
    </row>
    <row r="4681" spans="23:23">
      <c r="W4681"/>
    </row>
    <row r="4682" spans="23:23">
      <c r="W4682"/>
    </row>
    <row r="4683" spans="23:23">
      <c r="W4683"/>
    </row>
    <row r="4684" spans="23:23">
      <c r="W4684"/>
    </row>
    <row r="4685" spans="23:23">
      <c r="W4685"/>
    </row>
    <row r="4686" spans="23:23">
      <c r="W4686"/>
    </row>
    <row r="4687" spans="23:23">
      <c r="W4687"/>
    </row>
    <row r="4688" spans="23:23">
      <c r="W4688"/>
    </row>
    <row r="4689" spans="23:23">
      <c r="W4689"/>
    </row>
    <row r="4690" spans="23:23">
      <c r="W4690"/>
    </row>
    <row r="4691" spans="23:23">
      <c r="W4691"/>
    </row>
    <row r="4692" spans="23:23">
      <c r="W4692"/>
    </row>
    <row r="4693" spans="23:23">
      <c r="W4693"/>
    </row>
    <row r="4694" spans="23:23">
      <c r="W4694"/>
    </row>
    <row r="4695" spans="23:23">
      <c r="W4695"/>
    </row>
    <row r="4696" spans="23:23">
      <c r="W4696"/>
    </row>
    <row r="4697" spans="23:23">
      <c r="W4697"/>
    </row>
    <row r="4698" spans="23:23">
      <c r="W4698"/>
    </row>
    <row r="4699" spans="23:23">
      <c r="W4699"/>
    </row>
    <row r="4700" spans="23:23">
      <c r="W4700"/>
    </row>
    <row r="4701" spans="23:23">
      <c r="W4701"/>
    </row>
    <row r="4702" spans="23:23">
      <c r="W4702"/>
    </row>
    <row r="4703" spans="23:23">
      <c r="W4703"/>
    </row>
    <row r="4704" spans="23:23">
      <c r="W4704"/>
    </row>
    <row r="4705" spans="23:23">
      <c r="W4705"/>
    </row>
    <row r="4706" spans="23:23">
      <c r="W4706"/>
    </row>
    <row r="4707" spans="23:23">
      <c r="W4707"/>
    </row>
    <row r="4708" spans="23:23">
      <c r="W4708"/>
    </row>
    <row r="4709" spans="23:23">
      <c r="W4709"/>
    </row>
    <row r="4710" spans="23:23">
      <c r="W4710"/>
    </row>
    <row r="4711" spans="23:23">
      <c r="W4711"/>
    </row>
    <row r="4712" spans="23:23">
      <c r="W4712"/>
    </row>
    <row r="4713" spans="23:23">
      <c r="W4713"/>
    </row>
    <row r="4714" spans="23:23">
      <c r="W4714"/>
    </row>
    <row r="4715" spans="23:23">
      <c r="W4715"/>
    </row>
    <row r="4716" spans="23:23">
      <c r="W4716"/>
    </row>
    <row r="4717" spans="23:23">
      <c r="W4717"/>
    </row>
    <row r="4718" spans="23:23">
      <c r="W4718"/>
    </row>
    <row r="4719" spans="23:23">
      <c r="W4719"/>
    </row>
    <row r="4720" spans="23:23">
      <c r="W4720"/>
    </row>
    <row r="4721" spans="23:23">
      <c r="W4721"/>
    </row>
    <row r="4722" spans="23:23">
      <c r="W4722"/>
    </row>
    <row r="4723" spans="23:23">
      <c r="W4723"/>
    </row>
    <row r="4724" spans="23:23">
      <c r="W4724"/>
    </row>
    <row r="4725" spans="23:23">
      <c r="W4725"/>
    </row>
    <row r="4726" spans="23:23">
      <c r="W4726"/>
    </row>
    <row r="4727" spans="23:23">
      <c r="W4727"/>
    </row>
    <row r="4728" spans="23:23">
      <c r="W4728"/>
    </row>
    <row r="4729" spans="23:23">
      <c r="W4729"/>
    </row>
    <row r="4730" spans="23:23">
      <c r="W4730"/>
    </row>
    <row r="4731" spans="23:23">
      <c r="W4731"/>
    </row>
    <row r="4732" spans="23:23">
      <c r="W4732"/>
    </row>
    <row r="4733" spans="23:23">
      <c r="W4733"/>
    </row>
    <row r="4734" spans="23:23">
      <c r="W4734"/>
    </row>
    <row r="4735" spans="23:23">
      <c r="W4735"/>
    </row>
    <row r="4736" spans="23:23">
      <c r="W4736"/>
    </row>
    <row r="4737" spans="23:23">
      <c r="W4737"/>
    </row>
    <row r="4738" spans="23:23">
      <c r="W4738"/>
    </row>
    <row r="4739" spans="23:23">
      <c r="W4739"/>
    </row>
    <row r="4740" spans="23:23">
      <c r="W4740"/>
    </row>
    <row r="4741" spans="23:23">
      <c r="W4741"/>
    </row>
    <row r="4742" spans="23:23">
      <c r="W4742"/>
    </row>
    <row r="4743" spans="23:23">
      <c r="W4743"/>
    </row>
    <row r="4744" spans="23:23">
      <c r="W4744"/>
    </row>
    <row r="4745" spans="23:23">
      <c r="W4745"/>
    </row>
    <row r="4746" spans="23:23">
      <c r="W4746"/>
    </row>
    <row r="4747" spans="23:23">
      <c r="W4747"/>
    </row>
    <row r="4748" spans="23:23">
      <c r="W4748"/>
    </row>
    <row r="4749" spans="23:23">
      <c r="W4749"/>
    </row>
    <row r="4750" spans="23:23">
      <c r="W4750"/>
    </row>
    <row r="4751" spans="23:23">
      <c r="W4751"/>
    </row>
    <row r="4752" spans="23:23">
      <c r="W4752"/>
    </row>
    <row r="4753" spans="23:23">
      <c r="W4753"/>
    </row>
    <row r="4754" spans="23:23">
      <c r="W4754"/>
    </row>
    <row r="4755" spans="23:23">
      <c r="W4755"/>
    </row>
    <row r="4756" spans="23:23">
      <c r="W4756"/>
    </row>
    <row r="4757" spans="23:23">
      <c r="W4757"/>
    </row>
    <row r="4758" spans="23:23">
      <c r="W4758"/>
    </row>
    <row r="4759" spans="23:23">
      <c r="W4759"/>
    </row>
    <row r="4760" spans="23:23">
      <c r="W4760"/>
    </row>
    <row r="4761" spans="23:23">
      <c r="W4761"/>
    </row>
    <row r="4762" spans="23:23">
      <c r="W4762"/>
    </row>
    <row r="4763" spans="23:23">
      <c r="W4763"/>
    </row>
    <row r="4764" spans="23:23">
      <c r="W4764"/>
    </row>
    <row r="4765" spans="23:23">
      <c r="W4765"/>
    </row>
    <row r="4766" spans="23:23">
      <c r="W4766"/>
    </row>
    <row r="4767" spans="23:23">
      <c r="W4767"/>
    </row>
    <row r="4768" spans="23:23">
      <c r="W4768"/>
    </row>
    <row r="4769" spans="23:23">
      <c r="W4769"/>
    </row>
    <row r="4770" spans="23:23">
      <c r="W4770"/>
    </row>
    <row r="4771" spans="23:23">
      <c r="W4771"/>
    </row>
    <row r="4772" spans="23:23">
      <c r="W4772"/>
    </row>
    <row r="4773" spans="23:23">
      <c r="W4773"/>
    </row>
    <row r="4774" spans="23:23">
      <c r="W4774"/>
    </row>
    <row r="4775" spans="23:23">
      <c r="W4775"/>
    </row>
    <row r="4776" spans="23:23">
      <c r="W4776"/>
    </row>
    <row r="4777" spans="23:23">
      <c r="W4777"/>
    </row>
    <row r="4778" spans="23:23">
      <c r="W4778"/>
    </row>
    <row r="4779" spans="23:23">
      <c r="W4779"/>
    </row>
    <row r="4780" spans="23:23">
      <c r="W4780"/>
    </row>
    <row r="4781" spans="23:23">
      <c r="W4781"/>
    </row>
    <row r="4782" spans="23:23">
      <c r="W4782"/>
    </row>
    <row r="4783" spans="23:23">
      <c r="W4783"/>
    </row>
    <row r="4784" spans="23:23">
      <c r="W4784"/>
    </row>
    <row r="4785" spans="23:23">
      <c r="W4785"/>
    </row>
    <row r="4786" spans="23:23">
      <c r="W4786"/>
    </row>
    <row r="4787" spans="23:23">
      <c r="W4787"/>
    </row>
    <row r="4788" spans="23:23">
      <c r="W4788"/>
    </row>
    <row r="4789" spans="23:23">
      <c r="W4789"/>
    </row>
    <row r="4790" spans="23:23">
      <c r="W4790"/>
    </row>
    <row r="4791" spans="23:23">
      <c r="W4791"/>
    </row>
    <row r="4792" spans="23:23">
      <c r="W4792"/>
    </row>
    <row r="4793" spans="23:23">
      <c r="W4793"/>
    </row>
    <row r="4794" spans="23:23">
      <c r="W4794"/>
    </row>
    <row r="4795" spans="23:23">
      <c r="W4795"/>
    </row>
    <row r="4796" spans="23:23">
      <c r="W4796"/>
    </row>
    <row r="4797" spans="23:23">
      <c r="W4797"/>
    </row>
    <row r="4798" spans="23:23">
      <c r="W4798"/>
    </row>
    <row r="4799" spans="23:23">
      <c r="W4799"/>
    </row>
    <row r="4800" spans="23:23">
      <c r="W4800"/>
    </row>
    <row r="4801" spans="23:23">
      <c r="W4801"/>
    </row>
    <row r="4802" spans="23:23">
      <c r="W4802"/>
    </row>
    <row r="4803" spans="23:23">
      <c r="W4803"/>
    </row>
    <row r="4804" spans="23:23">
      <c r="W4804"/>
    </row>
    <row r="4805" spans="23:23">
      <c r="W4805"/>
    </row>
    <row r="4806" spans="23:23">
      <c r="W4806"/>
    </row>
    <row r="4807" spans="23:23">
      <c r="W4807"/>
    </row>
    <row r="4808" spans="23:23">
      <c r="W4808"/>
    </row>
    <row r="4809" spans="23:23">
      <c r="W4809"/>
    </row>
    <row r="4810" spans="23:23">
      <c r="W4810"/>
    </row>
    <row r="4811" spans="23:23">
      <c r="W4811"/>
    </row>
    <row r="4812" spans="23:23">
      <c r="W4812"/>
    </row>
    <row r="4813" spans="23:23">
      <c r="W4813"/>
    </row>
    <row r="4814" spans="23:23">
      <c r="W4814"/>
    </row>
    <row r="4815" spans="23:23">
      <c r="W4815"/>
    </row>
    <row r="4816" spans="23:23">
      <c r="W4816"/>
    </row>
    <row r="4817" spans="23:23">
      <c r="W4817"/>
    </row>
    <row r="4818" spans="23:23">
      <c r="W4818"/>
    </row>
    <row r="4819" spans="23:23">
      <c r="W4819"/>
    </row>
    <row r="4820" spans="23:23">
      <c r="W4820"/>
    </row>
    <row r="4821" spans="23:23">
      <c r="W4821"/>
    </row>
    <row r="4822" spans="23:23">
      <c r="W4822"/>
    </row>
    <row r="4823" spans="23:23">
      <c r="W4823"/>
    </row>
    <row r="4824" spans="23:23">
      <c r="W4824"/>
    </row>
    <row r="4825" spans="23:23">
      <c r="W4825"/>
    </row>
    <row r="4826" spans="23:23">
      <c r="W4826"/>
    </row>
    <row r="4827" spans="23:23">
      <c r="W4827"/>
    </row>
    <row r="4828" spans="23:23">
      <c r="W4828"/>
    </row>
    <row r="4829" spans="23:23">
      <c r="W4829"/>
    </row>
    <row r="4830" spans="23:23">
      <c r="W4830"/>
    </row>
    <row r="4831" spans="23:23">
      <c r="W4831"/>
    </row>
    <row r="4832" spans="23:23">
      <c r="W4832"/>
    </row>
    <row r="4833" spans="23:23">
      <c r="W4833"/>
    </row>
    <row r="4834" spans="23:23">
      <c r="W4834"/>
    </row>
    <row r="4835" spans="23:23">
      <c r="W4835"/>
    </row>
    <row r="4836" spans="23:23">
      <c r="W4836"/>
    </row>
    <row r="4837" spans="23:23">
      <c r="W4837"/>
    </row>
    <row r="4838" spans="23:23">
      <c r="W4838"/>
    </row>
    <row r="4839" spans="23:23">
      <c r="W4839"/>
    </row>
    <row r="4840" spans="23:23">
      <c r="W4840"/>
    </row>
    <row r="4841" spans="23:23">
      <c r="W4841"/>
    </row>
    <row r="4842" spans="23:23">
      <c r="W4842"/>
    </row>
    <row r="4843" spans="23:23">
      <c r="W4843"/>
    </row>
    <row r="4844" spans="23:23">
      <c r="W4844"/>
    </row>
    <row r="4845" spans="23:23">
      <c r="W4845"/>
    </row>
    <row r="4846" spans="23:23">
      <c r="W4846"/>
    </row>
    <row r="4847" spans="23:23">
      <c r="W4847"/>
    </row>
    <row r="4848" spans="23:23">
      <c r="W4848"/>
    </row>
    <row r="4849" spans="23:23">
      <c r="W4849"/>
    </row>
    <row r="4850" spans="23:23">
      <c r="W4850"/>
    </row>
    <row r="4851" spans="23:23">
      <c r="W4851"/>
    </row>
    <row r="4852" spans="23:23">
      <c r="W4852"/>
    </row>
    <row r="4853" spans="23:23">
      <c r="W4853"/>
    </row>
    <row r="4854" spans="23:23">
      <c r="W4854"/>
    </row>
    <row r="4855" spans="23:23">
      <c r="W4855"/>
    </row>
    <row r="4856" spans="23:23">
      <c r="W4856"/>
    </row>
    <row r="4857" spans="23:23">
      <c r="W4857"/>
    </row>
    <row r="4858" spans="23:23">
      <c r="W4858"/>
    </row>
    <row r="4859" spans="23:23">
      <c r="W4859"/>
    </row>
    <row r="4860" spans="23:23">
      <c r="W4860"/>
    </row>
    <row r="4861" spans="23:23">
      <c r="W4861"/>
    </row>
    <row r="4862" spans="23:23">
      <c r="W4862"/>
    </row>
    <row r="4863" spans="23:23">
      <c r="W4863"/>
    </row>
    <row r="4864" spans="23:23">
      <c r="W4864"/>
    </row>
    <row r="4865" spans="23:23">
      <c r="W4865"/>
    </row>
    <row r="4866" spans="23:23">
      <c r="W4866"/>
    </row>
    <row r="4867" spans="23:23">
      <c r="W4867"/>
    </row>
    <row r="4868" spans="23:23">
      <c r="W4868"/>
    </row>
    <row r="4869" spans="23:23">
      <c r="W4869"/>
    </row>
    <row r="4870" spans="23:23">
      <c r="W4870"/>
    </row>
    <row r="4871" spans="23:23">
      <c r="W4871"/>
    </row>
    <row r="4872" spans="23:23">
      <c r="W4872"/>
    </row>
    <row r="4873" spans="23:23">
      <c r="W4873"/>
    </row>
    <row r="4874" spans="23:23">
      <c r="W4874"/>
    </row>
    <row r="4875" spans="23:23">
      <c r="W4875"/>
    </row>
    <row r="4876" spans="23:23">
      <c r="W4876"/>
    </row>
    <row r="4877" spans="23:23">
      <c r="W4877"/>
    </row>
    <row r="4878" spans="23:23">
      <c r="W4878"/>
    </row>
    <row r="4879" spans="23:23">
      <c r="W4879"/>
    </row>
    <row r="4880" spans="23:23">
      <c r="W4880"/>
    </row>
    <row r="4881" spans="23:23">
      <c r="W4881"/>
    </row>
    <row r="4882" spans="23:23">
      <c r="W4882"/>
    </row>
    <row r="4883" spans="23:23">
      <c r="W4883"/>
    </row>
    <row r="4884" spans="23:23">
      <c r="W4884"/>
    </row>
    <row r="4885" spans="23:23">
      <c r="W4885"/>
    </row>
    <row r="4886" spans="23:23">
      <c r="W4886"/>
    </row>
    <row r="4887" spans="23:23">
      <c r="W4887"/>
    </row>
    <row r="4888" spans="23:23">
      <c r="W4888"/>
    </row>
    <row r="4889" spans="23:23">
      <c r="W4889"/>
    </row>
    <row r="4890" spans="23:23">
      <c r="W4890"/>
    </row>
    <row r="4891" spans="23:23">
      <c r="W4891"/>
    </row>
    <row r="4892" spans="23:23">
      <c r="W4892"/>
    </row>
    <row r="4893" spans="23:23">
      <c r="W4893"/>
    </row>
    <row r="4894" spans="23:23">
      <c r="W4894"/>
    </row>
    <row r="4895" spans="23:23">
      <c r="W4895"/>
    </row>
    <row r="4896" spans="23:23">
      <c r="W4896"/>
    </row>
    <row r="4897" spans="23:23">
      <c r="W4897"/>
    </row>
    <row r="4898" spans="23:23">
      <c r="W4898"/>
    </row>
    <row r="4899" spans="23:23">
      <c r="W4899"/>
    </row>
    <row r="4900" spans="23:23">
      <c r="W4900"/>
    </row>
    <row r="4901" spans="23:23">
      <c r="W4901"/>
    </row>
    <row r="4902" spans="23:23">
      <c r="W4902"/>
    </row>
    <row r="4903" spans="23:23">
      <c r="W4903"/>
    </row>
    <row r="4904" spans="23:23">
      <c r="W4904"/>
    </row>
    <row r="4905" spans="23:23">
      <c r="W4905"/>
    </row>
    <row r="4906" spans="23:23">
      <c r="W4906"/>
    </row>
    <row r="4907" spans="23:23">
      <c r="W4907"/>
    </row>
    <row r="4908" spans="23:23">
      <c r="W4908"/>
    </row>
    <row r="4909" spans="23:23">
      <c r="W4909"/>
    </row>
    <row r="4910" spans="23:23">
      <c r="W4910"/>
    </row>
    <row r="4911" spans="23:23">
      <c r="W4911"/>
    </row>
    <row r="4912" spans="23:23">
      <c r="W4912"/>
    </row>
    <row r="4913" spans="23:23">
      <c r="W4913"/>
    </row>
    <row r="4914" spans="23:23">
      <c r="W4914"/>
    </row>
    <row r="4915" spans="23:23">
      <c r="W4915"/>
    </row>
    <row r="4916" spans="23:23">
      <c r="W4916"/>
    </row>
    <row r="4917" spans="23:23">
      <c r="W4917"/>
    </row>
    <row r="4918" spans="23:23">
      <c r="W4918"/>
    </row>
    <row r="4919" spans="23:23">
      <c r="W4919"/>
    </row>
    <row r="4920" spans="23:23">
      <c r="W4920"/>
    </row>
    <row r="4921" spans="23:23">
      <c r="W4921"/>
    </row>
    <row r="4922" spans="23:23">
      <c r="W4922"/>
    </row>
    <row r="4923" spans="23:23">
      <c r="W4923"/>
    </row>
    <row r="4924" spans="23:23">
      <c r="W4924"/>
    </row>
    <row r="4925" spans="23:23">
      <c r="W4925"/>
    </row>
    <row r="4926" spans="23:23">
      <c r="W4926"/>
    </row>
    <row r="4927" spans="23:23">
      <c r="W4927"/>
    </row>
    <row r="4928" spans="23:23">
      <c r="W4928"/>
    </row>
    <row r="4929" spans="23:23">
      <c r="W4929"/>
    </row>
    <row r="4930" spans="23:23">
      <c r="W4930"/>
    </row>
    <row r="4931" spans="23:23">
      <c r="W4931"/>
    </row>
    <row r="4932" spans="23:23">
      <c r="W4932"/>
    </row>
    <row r="4933" spans="23:23">
      <c r="W4933"/>
    </row>
    <row r="4934" spans="23:23">
      <c r="W4934"/>
    </row>
    <row r="4935" spans="23:23">
      <c r="W4935"/>
    </row>
    <row r="4936" spans="23:23">
      <c r="W4936"/>
    </row>
    <row r="4937" spans="23:23">
      <c r="W4937"/>
    </row>
    <row r="4938" spans="23:23">
      <c r="W4938"/>
    </row>
    <row r="4939" spans="23:23">
      <c r="W4939"/>
    </row>
    <row r="4940" spans="23:23">
      <c r="W4940"/>
    </row>
    <row r="4941" spans="23:23">
      <c r="W4941"/>
    </row>
    <row r="4942" spans="23:23">
      <c r="W4942"/>
    </row>
    <row r="4943" spans="23:23">
      <c r="W4943"/>
    </row>
    <row r="4944" spans="23:23">
      <c r="W4944"/>
    </row>
    <row r="4945" spans="23:23">
      <c r="W4945"/>
    </row>
    <row r="4946" spans="23:23">
      <c r="W4946"/>
    </row>
    <row r="4947" spans="23:23">
      <c r="W4947"/>
    </row>
    <row r="4948" spans="23:23">
      <c r="W4948"/>
    </row>
    <row r="4949" spans="23:23">
      <c r="W4949"/>
    </row>
    <row r="4950" spans="23:23">
      <c r="W4950"/>
    </row>
    <row r="4951" spans="23:23">
      <c r="W4951"/>
    </row>
    <row r="4952" spans="23:23">
      <c r="W4952"/>
    </row>
    <row r="4953" spans="23:23">
      <c r="W4953"/>
    </row>
    <row r="4954" spans="23:23">
      <c r="W4954"/>
    </row>
    <row r="4955" spans="23:23">
      <c r="W4955"/>
    </row>
    <row r="4956" spans="23:23">
      <c r="W4956"/>
    </row>
    <row r="4957" spans="23:23">
      <c r="W4957"/>
    </row>
    <row r="4958" spans="23:23">
      <c r="W4958"/>
    </row>
    <row r="4959" spans="23:23">
      <c r="W4959"/>
    </row>
    <row r="4960" spans="23:23">
      <c r="W4960"/>
    </row>
    <row r="4961" spans="23:23">
      <c r="W4961"/>
    </row>
    <row r="4962" spans="23:23">
      <c r="W4962"/>
    </row>
    <row r="4963" spans="23:23">
      <c r="W4963"/>
    </row>
    <row r="4964" spans="23:23">
      <c r="W4964"/>
    </row>
    <row r="4965" spans="23:23">
      <c r="W4965"/>
    </row>
    <row r="4966" spans="23:23">
      <c r="W4966"/>
    </row>
    <row r="4967" spans="23:23">
      <c r="W4967"/>
    </row>
    <row r="4968" spans="23:23">
      <c r="W4968"/>
    </row>
    <row r="4969" spans="23:23">
      <c r="W4969"/>
    </row>
    <row r="4970" spans="23:23">
      <c r="W4970"/>
    </row>
    <row r="4971" spans="23:23">
      <c r="W4971"/>
    </row>
    <row r="4972" spans="23:23">
      <c r="W4972"/>
    </row>
    <row r="4973" spans="23:23">
      <c r="W4973"/>
    </row>
    <row r="4974" spans="23:23">
      <c r="W4974"/>
    </row>
    <row r="4975" spans="23:23">
      <c r="W4975"/>
    </row>
    <row r="4976" spans="23:23">
      <c r="W4976"/>
    </row>
    <row r="4977" spans="23:23">
      <c r="W4977"/>
    </row>
    <row r="4978" spans="23:23">
      <c r="W4978"/>
    </row>
    <row r="4979" spans="23:23">
      <c r="W4979"/>
    </row>
    <row r="4980" spans="23:23">
      <c r="W4980"/>
    </row>
    <row r="4981" spans="23:23">
      <c r="W4981"/>
    </row>
    <row r="4982" spans="23:23">
      <c r="W4982"/>
    </row>
    <row r="4983" spans="23:23">
      <c r="W4983"/>
    </row>
    <row r="4984" spans="23:23">
      <c r="W4984"/>
    </row>
    <row r="4985" spans="23:23">
      <c r="W4985"/>
    </row>
    <row r="4986" spans="23:23">
      <c r="W4986"/>
    </row>
    <row r="4987" spans="23:23">
      <c r="W4987"/>
    </row>
    <row r="4988" spans="23:23">
      <c r="W4988"/>
    </row>
    <row r="4989" spans="23:23">
      <c r="W4989"/>
    </row>
    <row r="4990" spans="23:23">
      <c r="W4990"/>
    </row>
    <row r="4991" spans="23:23">
      <c r="W4991"/>
    </row>
    <row r="4992" spans="23:23">
      <c r="W4992"/>
    </row>
    <row r="4993" spans="23:23">
      <c r="W4993"/>
    </row>
    <row r="4994" spans="23:23">
      <c r="W4994"/>
    </row>
    <row r="4995" spans="23:23">
      <c r="W4995"/>
    </row>
    <row r="4996" spans="23:23">
      <c r="W4996"/>
    </row>
    <row r="4997" spans="23:23">
      <c r="W4997"/>
    </row>
    <row r="4998" spans="23:23">
      <c r="W4998"/>
    </row>
    <row r="4999" spans="23:23">
      <c r="W4999"/>
    </row>
    <row r="5000" spans="23:23">
      <c r="W5000"/>
    </row>
    <row r="5001" spans="23:23">
      <c r="W5001"/>
    </row>
    <row r="5002" spans="23:23">
      <c r="W5002"/>
    </row>
    <row r="5003" spans="23:23">
      <c r="W5003"/>
    </row>
    <row r="5004" spans="23:23">
      <c r="W5004"/>
    </row>
    <row r="5005" spans="23:23">
      <c r="W5005"/>
    </row>
    <row r="5006" spans="23:23">
      <c r="W5006"/>
    </row>
    <row r="5007" spans="23:23">
      <c r="W5007"/>
    </row>
    <row r="5008" spans="23:23">
      <c r="W5008"/>
    </row>
    <row r="5009" spans="23:23">
      <c r="W5009"/>
    </row>
    <row r="5010" spans="23:23">
      <c r="W5010"/>
    </row>
    <row r="5011" spans="23:23">
      <c r="W5011"/>
    </row>
    <row r="5012" spans="23:23">
      <c r="W5012"/>
    </row>
    <row r="5013" spans="23:23">
      <c r="W5013"/>
    </row>
    <row r="5014" spans="23:23">
      <c r="W5014"/>
    </row>
    <row r="5015" spans="23:23">
      <c r="W5015"/>
    </row>
    <row r="5016" spans="23:23">
      <c r="W5016"/>
    </row>
    <row r="5017" spans="23:23">
      <c r="W5017"/>
    </row>
    <row r="5018" spans="23:23">
      <c r="W5018"/>
    </row>
    <row r="5019" spans="23:23">
      <c r="W5019"/>
    </row>
    <row r="5020" spans="23:23">
      <c r="W5020"/>
    </row>
    <row r="5021" spans="23:23">
      <c r="W5021"/>
    </row>
    <row r="5022" spans="23:23">
      <c r="W5022"/>
    </row>
    <row r="5023" spans="23:23">
      <c r="W5023"/>
    </row>
    <row r="5024" spans="23:23">
      <c r="W5024"/>
    </row>
    <row r="5025" spans="23:23">
      <c r="W5025"/>
    </row>
    <row r="5026" spans="23:23">
      <c r="W5026"/>
    </row>
    <row r="5027" spans="23:23">
      <c r="W5027"/>
    </row>
    <row r="5028" spans="23:23">
      <c r="W5028"/>
    </row>
    <row r="5029" spans="23:23">
      <c r="W5029"/>
    </row>
    <row r="5030" spans="23:23">
      <c r="W5030"/>
    </row>
    <row r="5031" spans="23:23">
      <c r="W5031"/>
    </row>
    <row r="5032" spans="23:23">
      <c r="W5032"/>
    </row>
    <row r="5033" spans="23:23">
      <c r="W5033"/>
    </row>
    <row r="5034" spans="23:23">
      <c r="W5034"/>
    </row>
    <row r="5035" spans="23:23">
      <c r="W5035"/>
    </row>
    <row r="5036" spans="23:23">
      <c r="W5036"/>
    </row>
    <row r="5037" spans="23:23">
      <c r="W5037"/>
    </row>
    <row r="5038" spans="23:23">
      <c r="W5038"/>
    </row>
    <row r="5039" spans="23:23">
      <c r="W5039"/>
    </row>
    <row r="5040" spans="23:23">
      <c r="W5040"/>
    </row>
    <row r="5041" spans="23:23">
      <c r="W5041"/>
    </row>
    <row r="5042" spans="23:23">
      <c r="W5042"/>
    </row>
    <row r="5043" spans="23:23">
      <c r="W5043"/>
    </row>
    <row r="5044" spans="23:23">
      <c r="W5044"/>
    </row>
    <row r="5045" spans="23:23">
      <c r="W5045"/>
    </row>
    <row r="5046" spans="23:23">
      <c r="W5046"/>
    </row>
    <row r="5047" spans="23:23">
      <c r="W5047"/>
    </row>
    <row r="5048" spans="23:23">
      <c r="W5048"/>
    </row>
    <row r="5049" spans="23:23">
      <c r="W5049"/>
    </row>
    <row r="5050" spans="23:23">
      <c r="W5050"/>
    </row>
    <row r="5051" spans="23:23">
      <c r="W5051"/>
    </row>
    <row r="5052" spans="23:23">
      <c r="W5052"/>
    </row>
    <row r="5053" spans="23:23">
      <c r="W5053"/>
    </row>
    <row r="5054" spans="23:23">
      <c r="W5054"/>
    </row>
    <row r="5055" spans="23:23">
      <c r="W5055"/>
    </row>
    <row r="5056" spans="23:23">
      <c r="W5056"/>
    </row>
    <row r="5057" spans="23:23">
      <c r="W5057"/>
    </row>
    <row r="5058" spans="23:23">
      <c r="W5058"/>
    </row>
    <row r="5059" spans="23:23">
      <c r="W5059"/>
    </row>
    <row r="5060" spans="23:23">
      <c r="W5060"/>
    </row>
    <row r="5061" spans="23:23">
      <c r="W5061"/>
    </row>
    <row r="5062" spans="23:23">
      <c r="W5062"/>
    </row>
    <row r="5063" spans="23:23">
      <c r="W5063"/>
    </row>
    <row r="5064" spans="23:23">
      <c r="W5064"/>
    </row>
    <row r="5065" spans="23:23">
      <c r="W5065"/>
    </row>
    <row r="5066" spans="23:23">
      <c r="W5066"/>
    </row>
    <row r="5067" spans="23:23">
      <c r="W5067"/>
    </row>
    <row r="5068" spans="23:23">
      <c r="W5068"/>
    </row>
    <row r="5069" spans="23:23">
      <c r="W5069"/>
    </row>
    <row r="5070" spans="23:23">
      <c r="W5070"/>
    </row>
    <row r="5071" spans="23:23">
      <c r="W5071"/>
    </row>
    <row r="5072" spans="23:23">
      <c r="W5072"/>
    </row>
    <row r="5073" spans="23:23">
      <c r="W5073"/>
    </row>
    <row r="5074" spans="23:23">
      <c r="W5074"/>
    </row>
    <row r="5075" spans="23:23">
      <c r="W5075"/>
    </row>
    <row r="5076" spans="23:23">
      <c r="W5076"/>
    </row>
    <row r="5077" spans="23:23">
      <c r="W5077"/>
    </row>
    <row r="5078" spans="23:23">
      <c r="W5078"/>
    </row>
    <row r="5079" spans="23:23">
      <c r="W5079"/>
    </row>
    <row r="5080" spans="23:23">
      <c r="W5080"/>
    </row>
    <row r="5081" spans="23:23">
      <c r="W5081"/>
    </row>
    <row r="5082" spans="23:23">
      <c r="W5082"/>
    </row>
    <row r="5083" spans="23:23">
      <c r="W5083"/>
    </row>
    <row r="5084" spans="23:23">
      <c r="W5084"/>
    </row>
    <row r="5085" spans="23:23">
      <c r="W5085"/>
    </row>
    <row r="5086" spans="23:23">
      <c r="W5086"/>
    </row>
    <row r="5087" spans="23:23">
      <c r="W5087"/>
    </row>
    <row r="5088" spans="23:23">
      <c r="W5088"/>
    </row>
    <row r="5089" spans="23:23">
      <c r="W5089"/>
    </row>
    <row r="5090" spans="23:23">
      <c r="W5090"/>
    </row>
    <row r="5091" spans="23:23">
      <c r="W5091"/>
    </row>
    <row r="5092" spans="23:23">
      <c r="W5092"/>
    </row>
    <row r="5093" spans="23:23">
      <c r="W5093"/>
    </row>
    <row r="5094" spans="23:23">
      <c r="W5094"/>
    </row>
    <row r="5095" spans="23:23">
      <c r="W5095"/>
    </row>
    <row r="5096" spans="23:23">
      <c r="W5096"/>
    </row>
    <row r="5097" spans="23:23">
      <c r="W5097"/>
    </row>
    <row r="5098" spans="23:23">
      <c r="W5098"/>
    </row>
    <row r="5099" spans="23:23">
      <c r="W5099"/>
    </row>
    <row r="5100" spans="23:23">
      <c r="W5100"/>
    </row>
    <row r="5101" spans="23:23">
      <c r="W5101"/>
    </row>
    <row r="5102" spans="23:23">
      <c r="W5102"/>
    </row>
    <row r="5103" spans="23:23">
      <c r="W5103"/>
    </row>
    <row r="5104" spans="23:23">
      <c r="W5104"/>
    </row>
    <row r="5105" spans="23:23">
      <c r="W5105"/>
    </row>
    <row r="5106" spans="23:23">
      <c r="W5106"/>
    </row>
    <row r="5107" spans="23:23">
      <c r="W5107"/>
    </row>
    <row r="5108" spans="23:23">
      <c r="W5108"/>
    </row>
    <row r="5109" spans="23:23">
      <c r="W5109"/>
    </row>
    <row r="5110" spans="23:23">
      <c r="W5110"/>
    </row>
    <row r="5111" spans="23:23">
      <c r="W5111"/>
    </row>
    <row r="5112" spans="23:23">
      <c r="W5112"/>
    </row>
    <row r="5113" spans="23:23">
      <c r="W5113"/>
    </row>
    <row r="5114" spans="23:23">
      <c r="W5114"/>
    </row>
    <row r="5115" spans="23:23">
      <c r="W5115"/>
    </row>
    <row r="5116" spans="23:23">
      <c r="W5116"/>
    </row>
    <row r="5117" spans="23:23">
      <c r="W5117"/>
    </row>
    <row r="5118" spans="23:23">
      <c r="W5118"/>
    </row>
    <row r="5119" spans="23:23">
      <c r="W5119"/>
    </row>
    <row r="5120" spans="23:23">
      <c r="W5120"/>
    </row>
    <row r="5121" spans="23:23">
      <c r="W5121"/>
    </row>
    <row r="5122" spans="23:23">
      <c r="W5122"/>
    </row>
    <row r="5123" spans="23:23">
      <c r="W5123"/>
    </row>
    <row r="5124" spans="23:23">
      <c r="W5124"/>
    </row>
    <row r="5125" spans="23:23">
      <c r="W5125"/>
    </row>
    <row r="5126" spans="23:23">
      <c r="W5126"/>
    </row>
    <row r="5127" spans="23:23">
      <c r="W5127"/>
    </row>
    <row r="5128" spans="23:23">
      <c r="W5128"/>
    </row>
    <row r="5129" spans="23:23">
      <c r="W5129"/>
    </row>
    <row r="5130" spans="23:23">
      <c r="W5130"/>
    </row>
    <row r="5131" spans="23:23">
      <c r="W5131"/>
    </row>
    <row r="5132" spans="23:23">
      <c r="W5132"/>
    </row>
    <row r="5133" spans="23:23">
      <c r="W5133"/>
    </row>
    <row r="5134" spans="23:23">
      <c r="W5134"/>
    </row>
    <row r="5135" spans="23:23">
      <c r="W5135"/>
    </row>
    <row r="5136" spans="23:23">
      <c r="W5136"/>
    </row>
    <row r="5137" spans="23:23">
      <c r="W5137"/>
    </row>
    <row r="5138" spans="23:23">
      <c r="W5138"/>
    </row>
    <row r="5139" spans="23:23">
      <c r="W5139"/>
    </row>
    <row r="5140" spans="23:23">
      <c r="W5140"/>
    </row>
    <row r="5141" spans="23:23">
      <c r="W5141"/>
    </row>
    <row r="5142" spans="23:23">
      <c r="W5142"/>
    </row>
    <row r="5143" spans="23:23">
      <c r="W5143"/>
    </row>
    <row r="5144" spans="23:23">
      <c r="W5144"/>
    </row>
    <row r="5145" spans="23:23">
      <c r="W5145"/>
    </row>
    <row r="5146" spans="23:23">
      <c r="W5146"/>
    </row>
    <row r="5147" spans="23:23">
      <c r="W5147"/>
    </row>
    <row r="5148" spans="23:23">
      <c r="W5148"/>
    </row>
    <row r="5149" spans="23:23">
      <c r="W5149"/>
    </row>
    <row r="5150" spans="23:23">
      <c r="W5150"/>
    </row>
    <row r="5151" spans="23:23">
      <c r="W5151"/>
    </row>
    <row r="5152" spans="23:23">
      <c r="W5152"/>
    </row>
    <row r="5153" spans="23:23">
      <c r="W5153"/>
    </row>
    <row r="5154" spans="23:23">
      <c r="W5154"/>
    </row>
    <row r="5155" spans="23:23">
      <c r="W5155"/>
    </row>
    <row r="5156" spans="23:23">
      <c r="W5156"/>
    </row>
    <row r="5157" spans="23:23">
      <c r="W5157"/>
    </row>
    <row r="5158" spans="23:23">
      <c r="W5158"/>
    </row>
    <row r="5159" spans="23:23">
      <c r="W5159"/>
    </row>
    <row r="5160" spans="23:23">
      <c r="W5160"/>
    </row>
    <row r="5161" spans="23:23">
      <c r="W5161"/>
    </row>
    <row r="5162" spans="23:23">
      <c r="W5162"/>
    </row>
    <row r="5163" spans="23:23">
      <c r="W5163"/>
    </row>
    <row r="5164" spans="23:23">
      <c r="W5164"/>
    </row>
    <row r="5165" spans="23:23">
      <c r="W5165"/>
    </row>
    <row r="5166" spans="23:23">
      <c r="W5166"/>
    </row>
    <row r="5167" spans="23:23">
      <c r="W5167"/>
    </row>
    <row r="5168" spans="23:23">
      <c r="W5168"/>
    </row>
    <row r="5169" spans="23:23">
      <c r="W5169"/>
    </row>
    <row r="5170" spans="23:23">
      <c r="W5170"/>
    </row>
    <row r="5171" spans="23:23">
      <c r="W5171"/>
    </row>
    <row r="5172" spans="23:23">
      <c r="W5172"/>
    </row>
    <row r="5173" spans="23:23">
      <c r="W5173"/>
    </row>
    <row r="5174" spans="23:23">
      <c r="W5174"/>
    </row>
    <row r="5175" spans="23:23">
      <c r="W5175"/>
    </row>
    <row r="5176" spans="23:23">
      <c r="W5176"/>
    </row>
    <row r="5177" spans="23:23">
      <c r="W5177"/>
    </row>
    <row r="5178" spans="23:23">
      <c r="W5178"/>
    </row>
    <row r="5179" spans="23:23">
      <c r="W5179"/>
    </row>
    <row r="5180" spans="23:23">
      <c r="W5180"/>
    </row>
    <row r="5181" spans="23:23">
      <c r="W5181"/>
    </row>
    <row r="5182" spans="23:23">
      <c r="W5182"/>
    </row>
    <row r="5183" spans="23:23">
      <c r="W5183"/>
    </row>
    <row r="5184" spans="23:23">
      <c r="W5184"/>
    </row>
    <row r="5185" spans="23:23">
      <c r="W5185"/>
    </row>
    <row r="5186" spans="23:23">
      <c r="W5186"/>
    </row>
    <row r="5187" spans="23:23">
      <c r="W5187"/>
    </row>
    <row r="5188" spans="23:23">
      <c r="W5188"/>
    </row>
    <row r="5189" spans="23:23">
      <c r="W5189"/>
    </row>
    <row r="5190" spans="23:23">
      <c r="W5190"/>
    </row>
    <row r="5191" spans="23:23">
      <c r="W5191"/>
    </row>
    <row r="5192" spans="23:23">
      <c r="W5192"/>
    </row>
    <row r="5193" spans="23:23">
      <c r="W5193"/>
    </row>
    <row r="5194" spans="23:23">
      <c r="W5194"/>
    </row>
    <row r="5195" spans="23:23">
      <c r="W5195"/>
    </row>
    <row r="5196" spans="23:23">
      <c r="W5196"/>
    </row>
    <row r="5197" spans="23:23">
      <c r="W5197"/>
    </row>
    <row r="5198" spans="23:23">
      <c r="W5198"/>
    </row>
    <row r="5199" spans="23:23">
      <c r="W5199"/>
    </row>
    <row r="5200" spans="23:23">
      <c r="W5200"/>
    </row>
    <row r="5201" spans="23:23">
      <c r="W5201"/>
    </row>
    <row r="5202" spans="23:23">
      <c r="W5202"/>
    </row>
    <row r="5203" spans="23:23">
      <c r="W5203"/>
    </row>
    <row r="5204" spans="23:23">
      <c r="W5204"/>
    </row>
    <row r="5205" spans="23:23">
      <c r="W5205"/>
    </row>
    <row r="5206" spans="23:23">
      <c r="W5206"/>
    </row>
    <row r="5207" spans="23:23">
      <c r="W5207"/>
    </row>
    <row r="5208" spans="23:23">
      <c r="W5208"/>
    </row>
    <row r="5209" spans="23:23">
      <c r="W5209"/>
    </row>
    <row r="5210" spans="23:23">
      <c r="W5210"/>
    </row>
    <row r="5211" spans="23:23">
      <c r="W5211"/>
    </row>
    <row r="5212" spans="23:23">
      <c r="W5212"/>
    </row>
    <row r="5213" spans="23:23">
      <c r="W5213"/>
    </row>
    <row r="5214" spans="23:23">
      <c r="W5214"/>
    </row>
    <row r="5215" spans="23:23">
      <c r="W5215"/>
    </row>
    <row r="5216" spans="23:23">
      <c r="W5216"/>
    </row>
    <row r="5217" spans="23:23">
      <c r="W5217"/>
    </row>
    <row r="5218" spans="23:23">
      <c r="W5218"/>
    </row>
    <row r="5219" spans="23:23">
      <c r="W5219"/>
    </row>
    <row r="5220" spans="23:23">
      <c r="W5220"/>
    </row>
    <row r="5221" spans="23:23">
      <c r="W5221"/>
    </row>
    <row r="5222" spans="23:23">
      <c r="W5222"/>
    </row>
    <row r="5223" spans="23:23">
      <c r="W5223"/>
    </row>
    <row r="5224" spans="23:23">
      <c r="W5224"/>
    </row>
    <row r="5225" spans="23:23">
      <c r="W5225"/>
    </row>
    <row r="5226" spans="23:23">
      <c r="W5226"/>
    </row>
    <row r="5227" spans="23:23">
      <c r="W5227"/>
    </row>
    <row r="5228" spans="23:23">
      <c r="W5228"/>
    </row>
    <row r="5229" spans="23:23">
      <c r="W5229"/>
    </row>
    <row r="5230" spans="23:23">
      <c r="W5230"/>
    </row>
    <row r="5231" spans="23:23">
      <c r="W5231"/>
    </row>
    <row r="5232" spans="23:23">
      <c r="W5232"/>
    </row>
    <row r="5233" spans="23:23">
      <c r="W5233"/>
    </row>
    <row r="5234" spans="23:23">
      <c r="W5234"/>
    </row>
    <row r="5235" spans="23:23">
      <c r="W5235"/>
    </row>
    <row r="5236" spans="23:23">
      <c r="W5236"/>
    </row>
    <row r="5237" spans="23:23">
      <c r="W5237"/>
    </row>
    <row r="5238" spans="23:23">
      <c r="W5238"/>
    </row>
    <row r="5239" spans="23:23">
      <c r="W5239"/>
    </row>
    <row r="5240" spans="23:23">
      <c r="W5240"/>
    </row>
    <row r="5241" spans="23:23">
      <c r="W5241"/>
    </row>
    <row r="5242" spans="23:23">
      <c r="W5242"/>
    </row>
    <row r="5243" spans="23:23">
      <c r="W5243"/>
    </row>
    <row r="5244" spans="23:23">
      <c r="W5244"/>
    </row>
    <row r="5245" spans="23:23">
      <c r="W5245"/>
    </row>
    <row r="5246" spans="23:23">
      <c r="W5246"/>
    </row>
    <row r="5247" spans="23:23">
      <c r="W5247"/>
    </row>
    <row r="5248" spans="23:23">
      <c r="W5248"/>
    </row>
    <row r="5249" spans="23:23">
      <c r="W5249"/>
    </row>
    <row r="5250" spans="23:23">
      <c r="W5250"/>
    </row>
    <row r="5251" spans="23:23">
      <c r="W5251"/>
    </row>
    <row r="5252" spans="23:23">
      <c r="W5252"/>
    </row>
    <row r="5253" spans="23:23">
      <c r="W5253"/>
    </row>
    <row r="5254" spans="23:23">
      <c r="W5254"/>
    </row>
    <row r="5255" spans="23:23">
      <c r="W5255"/>
    </row>
    <row r="5256" spans="23:23">
      <c r="W5256"/>
    </row>
    <row r="5257" spans="23:23">
      <c r="W5257"/>
    </row>
    <row r="5258" spans="23:23">
      <c r="W5258"/>
    </row>
    <row r="5259" spans="23:23">
      <c r="W5259"/>
    </row>
    <row r="5260" spans="23:23">
      <c r="W5260"/>
    </row>
    <row r="5261" spans="23:23">
      <c r="W5261"/>
    </row>
    <row r="5262" spans="23:23">
      <c r="W5262"/>
    </row>
    <row r="5263" spans="23:23">
      <c r="W5263"/>
    </row>
    <row r="5264" spans="23:23">
      <c r="W5264"/>
    </row>
    <row r="5265" spans="23:23">
      <c r="W5265"/>
    </row>
    <row r="5266" spans="23:23">
      <c r="W5266"/>
    </row>
    <row r="5267" spans="23:23">
      <c r="W5267"/>
    </row>
    <row r="5268" spans="23:23">
      <c r="W5268"/>
    </row>
    <row r="5269" spans="23:23">
      <c r="W5269"/>
    </row>
    <row r="5270" spans="23:23">
      <c r="W5270"/>
    </row>
    <row r="5271" spans="23:23">
      <c r="W5271"/>
    </row>
    <row r="5272" spans="23:23">
      <c r="W5272"/>
    </row>
    <row r="5273" spans="23:23">
      <c r="W5273"/>
    </row>
    <row r="5274" spans="23:23">
      <c r="W5274"/>
    </row>
    <row r="5275" spans="23:23">
      <c r="W5275"/>
    </row>
    <row r="5276" spans="23:23">
      <c r="W5276"/>
    </row>
    <row r="5277" spans="23:23">
      <c r="W5277"/>
    </row>
    <row r="5278" spans="23:23">
      <c r="W5278"/>
    </row>
    <row r="5279" spans="23:23">
      <c r="W5279"/>
    </row>
    <row r="5280" spans="23:23">
      <c r="W5280"/>
    </row>
    <row r="5281" spans="23:23">
      <c r="W5281"/>
    </row>
    <row r="5282" spans="23:23">
      <c r="W5282"/>
    </row>
    <row r="5283" spans="23:23">
      <c r="W5283"/>
    </row>
    <row r="5284" spans="23:23">
      <c r="W5284"/>
    </row>
    <row r="5285" spans="23:23">
      <c r="W5285"/>
    </row>
    <row r="5286" spans="23:23">
      <c r="W5286"/>
    </row>
    <row r="5287" spans="23:23">
      <c r="W5287"/>
    </row>
    <row r="5288" spans="23:23">
      <c r="W5288"/>
    </row>
    <row r="5289" spans="23:23">
      <c r="W5289"/>
    </row>
    <row r="5290" spans="23:23">
      <c r="W5290"/>
    </row>
    <row r="5291" spans="23:23">
      <c r="W5291"/>
    </row>
    <row r="5292" spans="23:23">
      <c r="W5292"/>
    </row>
    <row r="5293" spans="23:23">
      <c r="W5293"/>
    </row>
    <row r="5294" spans="23:23">
      <c r="W5294"/>
    </row>
    <row r="5295" spans="23:23">
      <c r="W5295"/>
    </row>
    <row r="5296" spans="23:23">
      <c r="W5296"/>
    </row>
    <row r="5297" spans="23:23">
      <c r="W5297"/>
    </row>
    <row r="5298" spans="23:23">
      <c r="W5298"/>
    </row>
    <row r="5299" spans="23:23">
      <c r="W5299"/>
    </row>
    <row r="5300" spans="23:23">
      <c r="W5300"/>
    </row>
    <row r="5301" spans="23:23">
      <c r="W5301"/>
    </row>
    <row r="5302" spans="23:23">
      <c r="W5302"/>
    </row>
    <row r="5303" spans="23:23">
      <c r="W5303"/>
    </row>
    <row r="5304" spans="23:23">
      <c r="W5304"/>
    </row>
    <row r="5305" spans="23:23">
      <c r="W5305"/>
    </row>
    <row r="5306" spans="23:23">
      <c r="W5306"/>
    </row>
    <row r="5307" spans="23:23">
      <c r="W5307"/>
    </row>
    <row r="5308" spans="23:23">
      <c r="W5308"/>
    </row>
    <row r="5309" spans="23:23">
      <c r="W5309"/>
    </row>
    <row r="5310" spans="23:23">
      <c r="W5310"/>
    </row>
    <row r="5311" spans="23:23">
      <c r="W5311"/>
    </row>
    <row r="5312" spans="23:23">
      <c r="W5312"/>
    </row>
    <row r="5313" spans="23:23">
      <c r="W5313"/>
    </row>
    <row r="5314" spans="23:23">
      <c r="W5314"/>
    </row>
    <row r="5315" spans="23:23">
      <c r="W5315"/>
    </row>
    <row r="5316" spans="23:23">
      <c r="W5316"/>
    </row>
    <row r="5317" spans="23:23">
      <c r="W5317"/>
    </row>
    <row r="5318" spans="23:23">
      <c r="W5318"/>
    </row>
    <row r="5319" spans="23:23">
      <c r="W5319"/>
    </row>
    <row r="5320" spans="23:23">
      <c r="W5320"/>
    </row>
    <row r="5321" spans="23:23">
      <c r="W5321"/>
    </row>
    <row r="5322" spans="23:23">
      <c r="W5322"/>
    </row>
    <row r="5323" spans="23:23">
      <c r="W5323"/>
    </row>
    <row r="5324" spans="23:23">
      <c r="W5324"/>
    </row>
    <row r="5325" spans="23:23">
      <c r="W5325"/>
    </row>
    <row r="5326" spans="23:23">
      <c r="W5326"/>
    </row>
    <row r="5327" spans="23:23">
      <c r="W5327"/>
    </row>
    <row r="5328" spans="23:23">
      <c r="W5328"/>
    </row>
    <row r="5329" spans="23:23">
      <c r="W5329"/>
    </row>
    <row r="5330" spans="23:23">
      <c r="W5330"/>
    </row>
    <row r="5331" spans="23:23">
      <c r="W5331"/>
    </row>
    <row r="5332" spans="23:23">
      <c r="W5332"/>
    </row>
    <row r="5333" spans="23:23">
      <c r="W5333"/>
    </row>
    <row r="5334" spans="23:23">
      <c r="W5334"/>
    </row>
    <row r="5335" spans="23:23">
      <c r="W5335"/>
    </row>
    <row r="5336" spans="23:23">
      <c r="W5336"/>
    </row>
    <row r="5337" spans="23:23">
      <c r="W5337"/>
    </row>
    <row r="5338" spans="23:23">
      <c r="W5338"/>
    </row>
    <row r="5339" spans="23:23">
      <c r="W5339"/>
    </row>
    <row r="5340" spans="23:23">
      <c r="W5340"/>
    </row>
    <row r="5341" spans="23:23">
      <c r="W5341"/>
    </row>
    <row r="5342" spans="23:23">
      <c r="W5342"/>
    </row>
    <row r="5343" spans="23:23">
      <c r="W5343"/>
    </row>
    <row r="5344" spans="23:23">
      <c r="W5344"/>
    </row>
    <row r="5345" spans="23:23">
      <c r="W5345"/>
    </row>
    <row r="5346" spans="23:23">
      <c r="W5346"/>
    </row>
    <row r="5347" spans="23:23">
      <c r="W5347"/>
    </row>
    <row r="5348" spans="23:23">
      <c r="W5348"/>
    </row>
    <row r="5349" spans="23:23">
      <c r="W5349"/>
    </row>
    <row r="5350" spans="23:23">
      <c r="W5350"/>
    </row>
    <row r="5351" spans="23:23">
      <c r="W5351"/>
    </row>
    <row r="5352" spans="23:23">
      <c r="W5352"/>
    </row>
    <row r="5353" spans="23:23">
      <c r="W5353"/>
    </row>
    <row r="5354" spans="23:23">
      <c r="W5354"/>
    </row>
    <row r="5355" spans="23:23">
      <c r="W5355"/>
    </row>
    <row r="5356" spans="23:23">
      <c r="W5356"/>
    </row>
    <row r="5357" spans="23:23">
      <c r="W5357"/>
    </row>
    <row r="5358" spans="23:23">
      <c r="W5358"/>
    </row>
    <row r="5359" spans="23:23">
      <c r="W5359"/>
    </row>
    <row r="5360" spans="23:23">
      <c r="W5360"/>
    </row>
    <row r="5361" spans="23:23">
      <c r="W5361"/>
    </row>
    <row r="5362" spans="23:23">
      <c r="W5362"/>
    </row>
    <row r="5363" spans="23:23">
      <c r="W5363"/>
    </row>
    <row r="5364" spans="23:23">
      <c r="W5364"/>
    </row>
    <row r="5365" spans="23:23">
      <c r="W5365"/>
    </row>
    <row r="5366" spans="23:23">
      <c r="W5366"/>
    </row>
    <row r="5367" spans="23:23">
      <c r="W5367"/>
    </row>
    <row r="5368" spans="23:23">
      <c r="W5368"/>
    </row>
    <row r="5369" spans="23:23">
      <c r="W5369"/>
    </row>
    <row r="5370" spans="23:23">
      <c r="W5370"/>
    </row>
    <row r="5371" spans="23:23">
      <c r="W5371"/>
    </row>
    <row r="5372" spans="23:23">
      <c r="W5372"/>
    </row>
    <row r="5373" spans="23:23">
      <c r="W5373"/>
    </row>
    <row r="5374" spans="23:23">
      <c r="W5374"/>
    </row>
    <row r="5375" spans="23:23">
      <c r="W5375"/>
    </row>
    <row r="5376" spans="23:23">
      <c r="W5376"/>
    </row>
    <row r="5377" spans="23:23">
      <c r="W5377"/>
    </row>
    <row r="5378" spans="23:23">
      <c r="W5378"/>
    </row>
    <row r="5379" spans="23:23">
      <c r="W5379"/>
    </row>
    <row r="5380" spans="23:23">
      <c r="W5380"/>
    </row>
    <row r="5381" spans="23:23">
      <c r="W5381"/>
    </row>
    <row r="5382" spans="23:23">
      <c r="W5382"/>
    </row>
    <row r="5383" spans="23:23">
      <c r="W5383"/>
    </row>
    <row r="5384" spans="23:23">
      <c r="W5384"/>
    </row>
    <row r="5385" spans="23:23">
      <c r="W5385"/>
    </row>
    <row r="5386" spans="23:23">
      <c r="W5386"/>
    </row>
    <row r="5387" spans="23:23">
      <c r="W5387"/>
    </row>
    <row r="5388" spans="23:23">
      <c r="W5388"/>
    </row>
    <row r="5389" spans="23:23">
      <c r="W5389"/>
    </row>
    <row r="5390" spans="23:23">
      <c r="W5390"/>
    </row>
    <row r="5391" spans="23:23">
      <c r="W5391"/>
    </row>
    <row r="5392" spans="23:23">
      <c r="W5392"/>
    </row>
    <row r="5393" spans="23:23">
      <c r="W5393"/>
    </row>
    <row r="5394" spans="23:23">
      <c r="W5394"/>
    </row>
    <row r="5395" spans="23:23">
      <c r="W5395"/>
    </row>
    <row r="5396" spans="23:23">
      <c r="W5396"/>
    </row>
    <row r="5397" spans="23:23">
      <c r="W5397"/>
    </row>
    <row r="5398" spans="23:23">
      <c r="W5398"/>
    </row>
    <row r="5399" spans="23:23">
      <c r="W5399"/>
    </row>
    <row r="5400" spans="23:23">
      <c r="W5400"/>
    </row>
    <row r="5401" spans="23:23">
      <c r="W5401"/>
    </row>
    <row r="5402" spans="23:23">
      <c r="W5402"/>
    </row>
    <row r="5403" spans="23:23">
      <c r="W5403"/>
    </row>
    <row r="5404" spans="23:23">
      <c r="W5404"/>
    </row>
    <row r="5405" spans="23:23">
      <c r="W5405"/>
    </row>
    <row r="5406" spans="23:23">
      <c r="W5406"/>
    </row>
    <row r="5407" spans="23:23">
      <c r="W5407"/>
    </row>
    <row r="5408" spans="23:23">
      <c r="W5408"/>
    </row>
    <row r="5409" spans="23:23">
      <c r="W5409"/>
    </row>
    <row r="5410" spans="23:23">
      <c r="W5410"/>
    </row>
    <row r="5411" spans="23:23">
      <c r="W5411"/>
    </row>
    <row r="5412" spans="23:23">
      <c r="W5412"/>
    </row>
    <row r="5413" spans="23:23">
      <c r="W5413"/>
    </row>
    <row r="5414" spans="23:23">
      <c r="W5414"/>
    </row>
    <row r="5415" spans="23:23">
      <c r="W5415"/>
    </row>
    <row r="5416" spans="23:23">
      <c r="W5416"/>
    </row>
    <row r="5417" spans="23:23">
      <c r="W5417"/>
    </row>
    <row r="5418" spans="23:23">
      <c r="W5418"/>
    </row>
    <row r="5419" spans="23:23">
      <c r="W5419"/>
    </row>
    <row r="5420" spans="23:23">
      <c r="W5420"/>
    </row>
    <row r="5421" spans="23:23">
      <c r="W5421"/>
    </row>
    <row r="5422" spans="23:23">
      <c r="W5422"/>
    </row>
    <row r="5423" spans="23:23">
      <c r="W5423"/>
    </row>
    <row r="5424" spans="23:23">
      <c r="W5424"/>
    </row>
    <row r="5425" spans="23:23">
      <c r="W5425"/>
    </row>
    <row r="5426" spans="23:23">
      <c r="W5426"/>
    </row>
    <row r="5427" spans="23:23">
      <c r="W5427"/>
    </row>
    <row r="5428" spans="23:23">
      <c r="W5428"/>
    </row>
    <row r="5429" spans="23:23">
      <c r="W5429"/>
    </row>
    <row r="5430" spans="23:23">
      <c r="W5430"/>
    </row>
    <row r="5431" spans="23:23">
      <c r="W5431"/>
    </row>
    <row r="5432" spans="23:23">
      <c r="W5432"/>
    </row>
    <row r="5433" spans="23:23">
      <c r="W5433"/>
    </row>
    <row r="5434" spans="23:23">
      <c r="W5434"/>
    </row>
    <row r="5435" spans="23:23">
      <c r="W5435"/>
    </row>
    <row r="5436" spans="23:23">
      <c r="W5436"/>
    </row>
    <row r="5437" spans="23:23">
      <c r="W5437"/>
    </row>
    <row r="5438" spans="23:23">
      <c r="W5438"/>
    </row>
    <row r="5439" spans="23:23">
      <c r="W5439"/>
    </row>
    <row r="5440" spans="23:23">
      <c r="W5440"/>
    </row>
    <row r="5441" spans="23:23">
      <c r="W5441"/>
    </row>
    <row r="5442" spans="23:23">
      <c r="W5442"/>
    </row>
    <row r="5443" spans="23:23">
      <c r="W5443"/>
    </row>
    <row r="5444" spans="23:23">
      <c r="W5444"/>
    </row>
    <row r="5445" spans="23:23">
      <c r="W5445"/>
    </row>
    <row r="5446" spans="23:23">
      <c r="W5446"/>
    </row>
    <row r="5447" spans="23:23">
      <c r="W5447"/>
    </row>
    <row r="5448" spans="23:23">
      <c r="W5448"/>
    </row>
    <row r="5449" spans="23:23">
      <c r="W5449"/>
    </row>
    <row r="5450" spans="23:23">
      <c r="W5450"/>
    </row>
    <row r="5451" spans="23:23">
      <c r="W5451"/>
    </row>
    <row r="5452" spans="23:23">
      <c r="W5452"/>
    </row>
    <row r="5453" spans="23:23">
      <c r="W5453"/>
    </row>
    <row r="5454" spans="23:23">
      <c r="W5454"/>
    </row>
    <row r="5455" spans="23:23">
      <c r="W5455"/>
    </row>
    <row r="5456" spans="23:23">
      <c r="W5456"/>
    </row>
    <row r="5457" spans="23:23">
      <c r="W5457"/>
    </row>
    <row r="5458" spans="23:23">
      <c r="W5458"/>
    </row>
    <row r="5459" spans="23:23">
      <c r="W5459"/>
    </row>
    <row r="5460" spans="23:23">
      <c r="W5460"/>
    </row>
    <row r="5461" spans="23:23">
      <c r="W5461"/>
    </row>
    <row r="5462" spans="23:23">
      <c r="W5462"/>
    </row>
    <row r="5463" spans="23:23">
      <c r="W5463"/>
    </row>
    <row r="5464" spans="23:23">
      <c r="W5464"/>
    </row>
    <row r="5465" spans="23:23">
      <c r="W5465"/>
    </row>
    <row r="5466" spans="23:23">
      <c r="W5466"/>
    </row>
    <row r="5467" spans="23:23">
      <c r="W5467"/>
    </row>
    <row r="5468" spans="23:23">
      <c r="W5468"/>
    </row>
    <row r="5469" spans="23:23">
      <c r="W5469"/>
    </row>
    <row r="5470" spans="23:23">
      <c r="W5470"/>
    </row>
    <row r="5471" spans="23:23">
      <c r="W5471"/>
    </row>
    <row r="5472" spans="23:23">
      <c r="W5472"/>
    </row>
    <row r="5473" spans="23:23">
      <c r="W5473"/>
    </row>
    <row r="5474" spans="23:23">
      <c r="W5474"/>
    </row>
    <row r="5475" spans="23:23">
      <c r="W5475"/>
    </row>
    <row r="5476" spans="23:23">
      <c r="W5476"/>
    </row>
    <row r="5477" spans="23:23">
      <c r="W5477"/>
    </row>
    <row r="5478" spans="23:23">
      <c r="W5478"/>
    </row>
    <row r="5479" spans="23:23">
      <c r="W5479"/>
    </row>
    <row r="5480" spans="23:23">
      <c r="W5480"/>
    </row>
    <row r="5481" spans="23:23">
      <c r="W5481"/>
    </row>
    <row r="5482" spans="23:23">
      <c r="W5482"/>
    </row>
    <row r="5483" spans="23:23">
      <c r="W5483"/>
    </row>
    <row r="5484" spans="23:23">
      <c r="W5484"/>
    </row>
    <row r="5485" spans="23:23">
      <c r="W5485"/>
    </row>
    <row r="5486" spans="23:23">
      <c r="W5486"/>
    </row>
    <row r="5487" spans="23:23">
      <c r="W5487"/>
    </row>
    <row r="5488" spans="23:23">
      <c r="W5488"/>
    </row>
    <row r="5489" spans="23:23">
      <c r="W5489"/>
    </row>
    <row r="5490" spans="23:23">
      <c r="W5490"/>
    </row>
    <row r="5491" spans="23:23">
      <c r="W5491"/>
    </row>
    <row r="5492" spans="23:23">
      <c r="W5492"/>
    </row>
    <row r="5493" spans="23:23">
      <c r="W5493"/>
    </row>
    <row r="5494" spans="23:23">
      <c r="W5494"/>
    </row>
    <row r="5495" spans="23:23">
      <c r="W5495"/>
    </row>
    <row r="5496" spans="23:23">
      <c r="W5496"/>
    </row>
    <row r="5497" spans="23:23">
      <c r="W5497"/>
    </row>
    <row r="5498" spans="23:23">
      <c r="W5498"/>
    </row>
    <row r="5499" spans="23:23">
      <c r="W5499"/>
    </row>
    <row r="5500" spans="23:23">
      <c r="W5500"/>
    </row>
    <row r="5501" spans="23:23">
      <c r="W5501"/>
    </row>
    <row r="5502" spans="23:23">
      <c r="W5502"/>
    </row>
    <row r="5503" spans="23:23">
      <c r="W5503"/>
    </row>
    <row r="5504" spans="23:23">
      <c r="W5504"/>
    </row>
    <row r="5505" spans="23:23">
      <c r="W5505"/>
    </row>
    <row r="5506" spans="23:23">
      <c r="W5506"/>
    </row>
    <row r="5507" spans="23:23">
      <c r="W5507"/>
    </row>
    <row r="5508" spans="23:23">
      <c r="W5508"/>
    </row>
    <row r="5509" spans="23:23">
      <c r="W5509"/>
    </row>
    <row r="5510" spans="23:23">
      <c r="W5510"/>
    </row>
    <row r="5511" spans="23:23">
      <c r="W5511"/>
    </row>
    <row r="5512" spans="23:23">
      <c r="W5512"/>
    </row>
    <row r="5513" spans="23:23">
      <c r="W5513"/>
    </row>
    <row r="5514" spans="23:23">
      <c r="W5514"/>
    </row>
    <row r="5515" spans="23:23">
      <c r="W5515"/>
    </row>
    <row r="5516" spans="23:23">
      <c r="W5516"/>
    </row>
    <row r="5517" spans="23:23">
      <c r="W5517"/>
    </row>
    <row r="5518" spans="23:23">
      <c r="W5518"/>
    </row>
    <row r="5519" spans="23:23">
      <c r="W5519"/>
    </row>
    <row r="5520" spans="23:23">
      <c r="W5520"/>
    </row>
    <row r="5521" spans="23:23">
      <c r="W5521"/>
    </row>
    <row r="5522" spans="23:23">
      <c r="W5522"/>
    </row>
    <row r="5523" spans="23:23">
      <c r="W5523"/>
    </row>
    <row r="5524" spans="23:23">
      <c r="W5524"/>
    </row>
    <row r="5525" spans="23:23">
      <c r="W5525"/>
    </row>
    <row r="5526" spans="23:23">
      <c r="W5526"/>
    </row>
    <row r="5527" spans="23:23">
      <c r="W5527"/>
    </row>
    <row r="5528" spans="23:23">
      <c r="W5528"/>
    </row>
    <row r="5529" spans="23:23">
      <c r="W5529"/>
    </row>
    <row r="5530" spans="23:23">
      <c r="W5530"/>
    </row>
    <row r="5531" spans="23:23">
      <c r="W5531"/>
    </row>
    <row r="5532" spans="23:23">
      <c r="W5532"/>
    </row>
    <row r="5533" spans="23:23">
      <c r="W5533"/>
    </row>
    <row r="5534" spans="23:23">
      <c r="W5534"/>
    </row>
    <row r="5535" spans="23:23">
      <c r="W5535"/>
    </row>
    <row r="5536" spans="23:23">
      <c r="W5536"/>
    </row>
    <row r="5537" spans="23:23">
      <c r="W5537"/>
    </row>
    <row r="5538" spans="23:23">
      <c r="W5538"/>
    </row>
    <row r="5539" spans="23:23">
      <c r="W5539"/>
    </row>
    <row r="5540" spans="23:23">
      <c r="W5540"/>
    </row>
    <row r="5541" spans="23:23">
      <c r="W5541"/>
    </row>
    <row r="5542" spans="23:23">
      <c r="W5542"/>
    </row>
    <row r="5543" spans="23:23">
      <c r="W5543"/>
    </row>
    <row r="5544" spans="23:23">
      <c r="W5544"/>
    </row>
    <row r="5545" spans="23:23">
      <c r="W5545"/>
    </row>
    <row r="5546" spans="23:23">
      <c r="W5546"/>
    </row>
    <row r="5547" spans="23:23">
      <c r="W5547"/>
    </row>
    <row r="5548" spans="23:23">
      <c r="W5548"/>
    </row>
    <row r="5549" spans="23:23">
      <c r="W5549"/>
    </row>
    <row r="5550" spans="23:23">
      <c r="W5550"/>
    </row>
    <row r="5551" spans="23:23">
      <c r="W5551"/>
    </row>
    <row r="5552" spans="23:23">
      <c r="W5552"/>
    </row>
    <row r="5553" spans="23:23">
      <c r="W5553"/>
    </row>
    <row r="5554" spans="23:23">
      <c r="W5554"/>
    </row>
    <row r="5555" spans="23:23">
      <c r="W5555"/>
    </row>
    <row r="5556" spans="23:23">
      <c r="W5556"/>
    </row>
    <row r="5557" spans="23:23">
      <c r="W5557"/>
    </row>
    <row r="5558" spans="23:23">
      <c r="W5558"/>
    </row>
    <row r="5559" spans="23:23">
      <c r="W5559"/>
    </row>
    <row r="5560" spans="23:23">
      <c r="W5560"/>
    </row>
    <row r="5561" spans="23:23">
      <c r="W5561"/>
    </row>
    <row r="5562" spans="23:23">
      <c r="W5562"/>
    </row>
    <row r="5563" spans="23:23">
      <c r="W5563"/>
    </row>
    <row r="5564" spans="23:23">
      <c r="W5564"/>
    </row>
    <row r="5565" spans="23:23">
      <c r="W5565"/>
    </row>
    <row r="5566" spans="23:23">
      <c r="W5566"/>
    </row>
    <row r="5567" spans="23:23">
      <c r="W5567"/>
    </row>
    <row r="5568" spans="23:23">
      <c r="W5568"/>
    </row>
    <row r="5569" spans="23:23">
      <c r="W5569"/>
    </row>
    <row r="5570" spans="23:23">
      <c r="W5570"/>
    </row>
    <row r="5571" spans="23:23">
      <c r="W5571"/>
    </row>
    <row r="5572" spans="23:23">
      <c r="W5572"/>
    </row>
    <row r="5573" spans="23:23">
      <c r="W5573"/>
    </row>
    <row r="5574" spans="23:23">
      <c r="W5574"/>
    </row>
    <row r="5575" spans="23:23">
      <c r="W5575"/>
    </row>
    <row r="5576" spans="23:23">
      <c r="W5576"/>
    </row>
    <row r="5577" spans="23:23">
      <c r="W5577"/>
    </row>
    <row r="5578" spans="23:23">
      <c r="W5578"/>
    </row>
    <row r="5579" spans="23:23">
      <c r="W5579"/>
    </row>
    <row r="5580" spans="23:23">
      <c r="W5580"/>
    </row>
    <row r="5581" spans="23:23">
      <c r="W5581"/>
    </row>
    <row r="5582" spans="23:23">
      <c r="W5582"/>
    </row>
    <row r="5583" spans="23:23">
      <c r="W5583"/>
    </row>
    <row r="5584" spans="23:23">
      <c r="W5584"/>
    </row>
    <row r="5585" spans="23:23">
      <c r="W5585"/>
    </row>
    <row r="5586" spans="23:23">
      <c r="W5586"/>
    </row>
    <row r="5587" spans="23:23">
      <c r="W5587"/>
    </row>
    <row r="5588" spans="23:23">
      <c r="W5588"/>
    </row>
    <row r="5589" spans="23:23">
      <c r="W5589"/>
    </row>
    <row r="5590" spans="23:23">
      <c r="W5590"/>
    </row>
    <row r="5591" spans="23:23">
      <c r="W5591"/>
    </row>
    <row r="5592" spans="23:23">
      <c r="W5592"/>
    </row>
    <row r="5593" spans="23:23">
      <c r="W5593"/>
    </row>
    <row r="5594" spans="23:23">
      <c r="W5594"/>
    </row>
    <row r="5595" spans="23:23">
      <c r="W5595"/>
    </row>
    <row r="5596" spans="23:23">
      <c r="W5596"/>
    </row>
    <row r="5597" spans="23:23">
      <c r="W5597"/>
    </row>
    <row r="5598" spans="23:23">
      <c r="W5598"/>
    </row>
    <row r="5599" spans="23:23">
      <c r="W5599"/>
    </row>
    <row r="5600" spans="23:23">
      <c r="W5600"/>
    </row>
    <row r="5601" spans="23:23">
      <c r="W5601"/>
    </row>
    <row r="5602" spans="23:23">
      <c r="W5602"/>
    </row>
    <row r="5603" spans="23:23">
      <c r="W5603"/>
    </row>
    <row r="5604" spans="23:23">
      <c r="W5604"/>
    </row>
    <row r="5605" spans="23:23">
      <c r="W5605"/>
    </row>
    <row r="5606" spans="23:23">
      <c r="W5606"/>
    </row>
    <row r="5607" spans="23:23">
      <c r="W5607"/>
    </row>
    <row r="5608" spans="23:23">
      <c r="W5608"/>
    </row>
    <row r="5609" spans="23:23">
      <c r="W5609"/>
    </row>
    <row r="5610" spans="23:23">
      <c r="W5610"/>
    </row>
    <row r="5611" spans="23:23">
      <c r="W5611"/>
    </row>
    <row r="5612" spans="23:23">
      <c r="W5612"/>
    </row>
    <row r="5613" spans="23:23">
      <c r="W5613"/>
    </row>
    <row r="5614" spans="23:23">
      <c r="W5614"/>
    </row>
    <row r="5615" spans="23:23">
      <c r="W5615"/>
    </row>
    <row r="5616" spans="23:23">
      <c r="W5616"/>
    </row>
    <row r="5617" spans="23:23">
      <c r="W5617"/>
    </row>
    <row r="5618" spans="23:23">
      <c r="W5618"/>
    </row>
    <row r="5619" spans="23:23">
      <c r="W5619"/>
    </row>
    <row r="5620" spans="23:23">
      <c r="W5620"/>
    </row>
    <row r="5621" spans="23:23">
      <c r="W5621"/>
    </row>
    <row r="5622" spans="23:23">
      <c r="W5622"/>
    </row>
    <row r="5623" spans="23:23">
      <c r="W5623"/>
    </row>
    <row r="5624" spans="23:23">
      <c r="W5624"/>
    </row>
    <row r="5625" spans="23:23">
      <c r="W5625"/>
    </row>
    <row r="5626" spans="23:23">
      <c r="W5626"/>
    </row>
    <row r="5627" spans="23:23">
      <c r="W5627"/>
    </row>
    <row r="5628" spans="23:23">
      <c r="W5628"/>
    </row>
    <row r="5629" spans="23:23">
      <c r="W5629"/>
    </row>
    <row r="5630" spans="23:23">
      <c r="W5630"/>
    </row>
    <row r="5631" spans="23:23">
      <c r="W5631"/>
    </row>
    <row r="5632" spans="23:23">
      <c r="W5632"/>
    </row>
    <row r="5633" spans="23:23">
      <c r="W5633"/>
    </row>
    <row r="5634" spans="23:23">
      <c r="W5634"/>
    </row>
    <row r="5635" spans="23:23">
      <c r="W5635"/>
    </row>
    <row r="5636" spans="23:23">
      <c r="W5636"/>
    </row>
    <row r="5637" spans="23:23">
      <c r="W5637"/>
    </row>
    <row r="5638" spans="23:23">
      <c r="W5638"/>
    </row>
    <row r="5639" spans="23:23">
      <c r="W5639"/>
    </row>
    <row r="5640" spans="23:23">
      <c r="W5640"/>
    </row>
    <row r="5641" spans="23:23">
      <c r="W5641"/>
    </row>
    <row r="5642" spans="23:23">
      <c r="W5642"/>
    </row>
    <row r="5643" spans="23:23">
      <c r="W5643"/>
    </row>
    <row r="5644" spans="23:23">
      <c r="W5644"/>
    </row>
    <row r="5645" spans="23:23">
      <c r="W5645"/>
    </row>
    <row r="5646" spans="23:23">
      <c r="W5646"/>
    </row>
    <row r="5647" spans="23:23">
      <c r="W5647"/>
    </row>
    <row r="5648" spans="23:23">
      <c r="W5648"/>
    </row>
    <row r="5649" spans="23:23">
      <c r="W5649"/>
    </row>
    <row r="5650" spans="23:23">
      <c r="W5650"/>
    </row>
    <row r="5651" spans="23:23">
      <c r="W5651"/>
    </row>
    <row r="5652" spans="23:23">
      <c r="W5652"/>
    </row>
    <row r="5653" spans="23:23">
      <c r="W5653"/>
    </row>
    <row r="5654" spans="23:23">
      <c r="W5654"/>
    </row>
    <row r="5655" spans="23:23">
      <c r="W5655"/>
    </row>
    <row r="5656" spans="23:23">
      <c r="W5656"/>
    </row>
    <row r="5657" spans="23:23">
      <c r="W5657"/>
    </row>
    <row r="5658" spans="23:23">
      <c r="W5658"/>
    </row>
    <row r="5659" spans="23:23">
      <c r="W5659"/>
    </row>
    <row r="5660" spans="23:23">
      <c r="W5660"/>
    </row>
    <row r="5661" spans="23:23">
      <c r="W5661"/>
    </row>
    <row r="5662" spans="23:23">
      <c r="W5662"/>
    </row>
    <row r="5663" spans="23:23">
      <c r="W5663"/>
    </row>
    <row r="5664" spans="23:23">
      <c r="W5664"/>
    </row>
    <row r="5665" spans="23:23">
      <c r="W5665"/>
    </row>
    <row r="5666" spans="23:23">
      <c r="W5666"/>
    </row>
    <row r="5667" spans="23:23">
      <c r="W5667"/>
    </row>
    <row r="5668" spans="23:23">
      <c r="W5668"/>
    </row>
    <row r="5669" spans="23:23">
      <c r="W5669"/>
    </row>
    <row r="5670" spans="23:23">
      <c r="W5670"/>
    </row>
    <row r="5671" spans="23:23">
      <c r="W5671"/>
    </row>
    <row r="5672" spans="23:23">
      <c r="W5672"/>
    </row>
    <row r="5673" spans="23:23">
      <c r="W5673"/>
    </row>
    <row r="5674" spans="23:23">
      <c r="W5674"/>
    </row>
    <row r="5675" spans="23:23">
      <c r="W5675"/>
    </row>
    <row r="5676" spans="23:23">
      <c r="W5676"/>
    </row>
    <row r="5677" spans="23:23">
      <c r="W5677"/>
    </row>
    <row r="5678" spans="23:23">
      <c r="W5678"/>
    </row>
    <row r="5679" spans="23:23">
      <c r="W5679"/>
    </row>
    <row r="5680" spans="23:23">
      <c r="W5680"/>
    </row>
    <row r="5681" spans="23:23">
      <c r="W5681"/>
    </row>
    <row r="5682" spans="23:23">
      <c r="W5682"/>
    </row>
    <row r="5683" spans="23:23">
      <c r="W5683"/>
    </row>
    <row r="5684" spans="23:23">
      <c r="W5684"/>
    </row>
    <row r="5685" spans="23:23">
      <c r="W5685"/>
    </row>
    <row r="5686" spans="23:23">
      <c r="W5686"/>
    </row>
    <row r="5687" spans="23:23">
      <c r="W5687"/>
    </row>
    <row r="5688" spans="23:23">
      <c r="W5688"/>
    </row>
    <row r="5689" spans="23:23">
      <c r="W5689"/>
    </row>
    <row r="5690" spans="23:23">
      <c r="W5690"/>
    </row>
    <row r="5691" spans="23:23">
      <c r="W5691"/>
    </row>
    <row r="5692" spans="23:23">
      <c r="W5692"/>
    </row>
    <row r="5693" spans="23:23">
      <c r="W5693"/>
    </row>
    <row r="5694" spans="23:23">
      <c r="W5694"/>
    </row>
    <row r="5695" spans="23:23">
      <c r="W5695"/>
    </row>
    <row r="5696" spans="23:23">
      <c r="W5696"/>
    </row>
    <row r="5697" spans="23:23">
      <c r="W5697"/>
    </row>
    <row r="5698" spans="23:23">
      <c r="W5698"/>
    </row>
    <row r="5699" spans="23:23">
      <c r="W5699"/>
    </row>
    <row r="5700" spans="23:23">
      <c r="W5700"/>
    </row>
    <row r="5701" spans="23:23">
      <c r="W5701"/>
    </row>
    <row r="5702" spans="23:23">
      <c r="W5702"/>
    </row>
    <row r="5703" spans="23:23">
      <c r="W5703"/>
    </row>
    <row r="5704" spans="23:23">
      <c r="W5704"/>
    </row>
    <row r="5705" spans="23:23">
      <c r="W5705"/>
    </row>
    <row r="5706" spans="23:23">
      <c r="W5706"/>
    </row>
    <row r="5707" spans="23:23">
      <c r="W5707"/>
    </row>
    <row r="5708" spans="23:23">
      <c r="W5708"/>
    </row>
    <row r="5709" spans="23:23">
      <c r="W5709"/>
    </row>
    <row r="5710" spans="23:23">
      <c r="W5710"/>
    </row>
    <row r="5711" spans="23:23">
      <c r="W5711"/>
    </row>
    <row r="5712" spans="23:23">
      <c r="W5712"/>
    </row>
    <row r="5713" spans="23:23">
      <c r="W5713"/>
    </row>
    <row r="5714" spans="23:23">
      <c r="W5714"/>
    </row>
    <row r="5715" spans="23:23">
      <c r="W5715"/>
    </row>
    <row r="5716" spans="23:23">
      <c r="W5716"/>
    </row>
    <row r="5717" spans="23:23">
      <c r="W5717"/>
    </row>
    <row r="5718" spans="23:23">
      <c r="W5718"/>
    </row>
    <row r="5719" spans="23:23">
      <c r="W5719"/>
    </row>
    <row r="5720" spans="23:23">
      <c r="W5720"/>
    </row>
    <row r="5721" spans="23:23">
      <c r="W5721"/>
    </row>
    <row r="5722" spans="23:23">
      <c r="W5722"/>
    </row>
    <row r="5723" spans="23:23">
      <c r="W5723"/>
    </row>
    <row r="5724" spans="23:23">
      <c r="W5724"/>
    </row>
    <row r="5725" spans="23:23">
      <c r="W5725"/>
    </row>
    <row r="5726" spans="23:23">
      <c r="W5726"/>
    </row>
    <row r="5727" spans="23:23">
      <c r="W5727"/>
    </row>
    <row r="5728" spans="23:23">
      <c r="W5728"/>
    </row>
    <row r="5729" spans="23:23">
      <c r="W5729"/>
    </row>
    <row r="5730" spans="23:23">
      <c r="W5730"/>
    </row>
    <row r="5731" spans="23:23">
      <c r="W5731"/>
    </row>
    <row r="5732" spans="23:23">
      <c r="W5732"/>
    </row>
    <row r="5733" spans="23:23">
      <c r="W5733"/>
    </row>
    <row r="5734" spans="23:23">
      <c r="W5734"/>
    </row>
    <row r="5735" spans="23:23">
      <c r="W5735"/>
    </row>
    <row r="5736" spans="23:23">
      <c r="W5736"/>
    </row>
    <row r="5737" spans="23:23">
      <c r="W5737"/>
    </row>
    <row r="5738" spans="23:23">
      <c r="W5738"/>
    </row>
    <row r="5739" spans="23:23">
      <c r="W5739"/>
    </row>
    <row r="5740" spans="23:23">
      <c r="W5740"/>
    </row>
    <row r="5741" spans="23:23">
      <c r="W5741"/>
    </row>
    <row r="5742" spans="23:23">
      <c r="W5742"/>
    </row>
    <row r="5743" spans="23:23">
      <c r="W5743"/>
    </row>
    <row r="5744" spans="23:23">
      <c r="W5744"/>
    </row>
    <row r="5745" spans="23:23">
      <c r="W5745"/>
    </row>
    <row r="5746" spans="23:23">
      <c r="W5746"/>
    </row>
    <row r="5747" spans="23:23">
      <c r="W5747"/>
    </row>
    <row r="5748" spans="23:23">
      <c r="W5748"/>
    </row>
    <row r="5749" spans="23:23">
      <c r="W5749"/>
    </row>
    <row r="5750" spans="23:23">
      <c r="W5750"/>
    </row>
    <row r="5751" spans="23:23">
      <c r="W5751"/>
    </row>
    <row r="5752" spans="23:23">
      <c r="W5752"/>
    </row>
    <row r="5753" spans="23:23">
      <c r="W5753"/>
    </row>
    <row r="5754" spans="23:23">
      <c r="W5754"/>
    </row>
    <row r="5755" spans="23:23">
      <c r="W5755"/>
    </row>
    <row r="5756" spans="23:23">
      <c r="W5756"/>
    </row>
    <row r="5757" spans="23:23">
      <c r="W5757"/>
    </row>
    <row r="5758" spans="23:23">
      <c r="W5758"/>
    </row>
    <row r="5759" spans="23:23">
      <c r="W5759"/>
    </row>
    <row r="5760" spans="23:23">
      <c r="W5760"/>
    </row>
    <row r="5761" spans="23:23">
      <c r="W5761"/>
    </row>
    <row r="5762" spans="23:23">
      <c r="W5762"/>
    </row>
    <row r="5763" spans="23:23">
      <c r="W5763"/>
    </row>
    <row r="5764" spans="23:23">
      <c r="W5764"/>
    </row>
    <row r="5765" spans="23:23">
      <c r="W5765"/>
    </row>
    <row r="5766" spans="23:23">
      <c r="W5766"/>
    </row>
    <row r="5767" spans="23:23">
      <c r="W5767"/>
    </row>
    <row r="5768" spans="23:23">
      <c r="W5768"/>
    </row>
    <row r="5769" spans="23:23">
      <c r="W5769"/>
    </row>
    <row r="5770" spans="23:23">
      <c r="W5770"/>
    </row>
    <row r="5771" spans="23:23">
      <c r="W5771"/>
    </row>
    <row r="5772" spans="23:23">
      <c r="W5772"/>
    </row>
    <row r="5773" spans="23:23">
      <c r="W5773"/>
    </row>
    <row r="5774" spans="23:23">
      <c r="W5774"/>
    </row>
    <row r="5775" spans="23:23">
      <c r="W5775"/>
    </row>
    <row r="5776" spans="23:23">
      <c r="W5776"/>
    </row>
    <row r="5777" spans="23:23">
      <c r="W5777"/>
    </row>
    <row r="5778" spans="23:23">
      <c r="W5778"/>
    </row>
    <row r="5779" spans="23:23">
      <c r="W5779"/>
    </row>
    <row r="5780" spans="23:23">
      <c r="W5780"/>
    </row>
    <row r="5781" spans="23:23">
      <c r="W5781"/>
    </row>
    <row r="5782" spans="23:23">
      <c r="W5782"/>
    </row>
    <row r="5783" spans="23:23">
      <c r="W5783"/>
    </row>
    <row r="5784" spans="23:23">
      <c r="W5784"/>
    </row>
    <row r="5785" spans="23:23">
      <c r="W5785"/>
    </row>
    <row r="5786" spans="23:23">
      <c r="W5786"/>
    </row>
    <row r="5787" spans="23:23">
      <c r="W5787"/>
    </row>
    <row r="5788" spans="23:23">
      <c r="W5788"/>
    </row>
    <row r="5789" spans="23:23">
      <c r="W5789"/>
    </row>
    <row r="5790" spans="23:23">
      <c r="W5790"/>
    </row>
    <row r="5791" spans="23:23">
      <c r="W5791"/>
    </row>
    <row r="5792" spans="23:23">
      <c r="W5792"/>
    </row>
    <row r="5793" spans="23:23">
      <c r="W5793"/>
    </row>
    <row r="5794" spans="23:23">
      <c r="W5794"/>
    </row>
    <row r="5795" spans="23:23">
      <c r="W5795"/>
    </row>
    <row r="5796" spans="23:23">
      <c r="W5796"/>
    </row>
    <row r="5797" spans="23:23">
      <c r="W5797"/>
    </row>
    <row r="5798" spans="23:23">
      <c r="W5798"/>
    </row>
    <row r="5799" spans="23:23">
      <c r="W5799"/>
    </row>
    <row r="5800" spans="23:23">
      <c r="W5800"/>
    </row>
    <row r="5801" spans="23:23">
      <c r="W5801"/>
    </row>
    <row r="5802" spans="23:23">
      <c r="W5802"/>
    </row>
    <row r="5803" spans="23:23">
      <c r="W5803"/>
    </row>
    <row r="5804" spans="23:23">
      <c r="W5804"/>
    </row>
    <row r="5805" spans="23:23">
      <c r="W5805"/>
    </row>
    <row r="5806" spans="23:23">
      <c r="W5806"/>
    </row>
    <row r="5807" spans="23:23">
      <c r="W5807"/>
    </row>
    <row r="5808" spans="23:23">
      <c r="W5808"/>
    </row>
    <row r="5809" spans="23:23">
      <c r="W5809"/>
    </row>
    <row r="5810" spans="23:23">
      <c r="W5810"/>
    </row>
    <row r="5811" spans="23:23">
      <c r="W5811"/>
    </row>
    <row r="5812" spans="23:23">
      <c r="W5812"/>
    </row>
    <row r="5813" spans="23:23">
      <c r="W5813"/>
    </row>
    <row r="5814" spans="23:23">
      <c r="W5814"/>
    </row>
    <row r="5815" spans="23:23">
      <c r="W5815"/>
    </row>
    <row r="5816" spans="23:23">
      <c r="W5816"/>
    </row>
    <row r="5817" spans="23:23">
      <c r="W5817"/>
    </row>
    <row r="5818" spans="23:23">
      <c r="W5818"/>
    </row>
    <row r="5819" spans="23:23">
      <c r="W5819"/>
    </row>
    <row r="5820" spans="23:23">
      <c r="W5820"/>
    </row>
    <row r="5821" spans="23:23">
      <c r="W5821"/>
    </row>
    <row r="5822" spans="23:23">
      <c r="W5822"/>
    </row>
    <row r="5823" spans="23:23">
      <c r="W5823"/>
    </row>
    <row r="5824" spans="23:23">
      <c r="W5824"/>
    </row>
    <row r="5825" spans="23:23">
      <c r="W5825"/>
    </row>
    <row r="5826" spans="23:23">
      <c r="W5826"/>
    </row>
    <row r="5827" spans="23:23">
      <c r="W5827"/>
    </row>
    <row r="5828" spans="23:23">
      <c r="W5828"/>
    </row>
    <row r="5829" spans="23:23">
      <c r="W5829"/>
    </row>
    <row r="5830" spans="23:23">
      <c r="W5830"/>
    </row>
    <row r="5831" spans="23:23">
      <c r="W5831"/>
    </row>
    <row r="5832" spans="23:23">
      <c r="W5832"/>
    </row>
    <row r="5833" spans="23:23">
      <c r="W5833"/>
    </row>
    <row r="5834" spans="23:23">
      <c r="W5834"/>
    </row>
    <row r="5835" spans="23:23">
      <c r="W5835"/>
    </row>
    <row r="5836" spans="23:23">
      <c r="W5836"/>
    </row>
    <row r="5837" spans="23:23">
      <c r="W5837"/>
    </row>
    <row r="5838" spans="23:23">
      <c r="W5838"/>
    </row>
    <row r="5839" spans="23:23">
      <c r="W5839"/>
    </row>
    <row r="5840" spans="23:23">
      <c r="W5840"/>
    </row>
    <row r="5841" spans="23:23">
      <c r="W5841"/>
    </row>
    <row r="5842" spans="23:23">
      <c r="W5842"/>
    </row>
    <row r="5843" spans="23:23">
      <c r="W5843"/>
    </row>
    <row r="5844" spans="23:23">
      <c r="W5844"/>
    </row>
    <row r="5845" spans="23:23">
      <c r="W5845"/>
    </row>
    <row r="5846" spans="23:23">
      <c r="W5846"/>
    </row>
    <row r="5847" spans="23:23">
      <c r="W5847"/>
    </row>
    <row r="5848" spans="23:23">
      <c r="W5848"/>
    </row>
    <row r="5849" spans="23:23">
      <c r="W5849"/>
    </row>
    <row r="5850" spans="23:23">
      <c r="W5850"/>
    </row>
    <row r="5851" spans="23:23">
      <c r="W5851"/>
    </row>
    <row r="5852" spans="23:23">
      <c r="W5852"/>
    </row>
    <row r="5853" spans="23:23">
      <c r="W5853"/>
    </row>
    <row r="5854" spans="23:23">
      <c r="W5854"/>
    </row>
    <row r="5855" spans="23:23">
      <c r="W5855"/>
    </row>
    <row r="5856" spans="23:23">
      <c r="W5856"/>
    </row>
    <row r="5857" spans="23:23">
      <c r="W5857"/>
    </row>
    <row r="5858" spans="23:23">
      <c r="W5858"/>
    </row>
    <row r="5859" spans="23:23">
      <c r="W5859"/>
    </row>
    <row r="5860" spans="23:23">
      <c r="W5860"/>
    </row>
    <row r="5861" spans="23:23">
      <c r="W5861"/>
    </row>
    <row r="5862" spans="23:23">
      <c r="W5862"/>
    </row>
    <row r="5863" spans="23:23">
      <c r="W5863"/>
    </row>
    <row r="5864" spans="23:23">
      <c r="W5864"/>
    </row>
    <row r="5865" spans="23:23">
      <c r="W5865"/>
    </row>
    <row r="5866" spans="23:23">
      <c r="W5866"/>
    </row>
    <row r="5867" spans="23:23">
      <c r="W5867"/>
    </row>
    <row r="5868" spans="23:23">
      <c r="W5868"/>
    </row>
    <row r="5869" spans="23:23">
      <c r="W5869"/>
    </row>
    <row r="5870" spans="23:23">
      <c r="W5870"/>
    </row>
    <row r="5871" spans="23:23">
      <c r="W5871"/>
    </row>
    <row r="5872" spans="23:23">
      <c r="W5872"/>
    </row>
    <row r="5873" spans="23:23">
      <c r="W5873"/>
    </row>
    <row r="5874" spans="23:23">
      <c r="W5874"/>
    </row>
    <row r="5875" spans="23:23">
      <c r="W5875"/>
    </row>
    <row r="5876" spans="23:23">
      <c r="W5876"/>
    </row>
    <row r="5877" spans="23:23">
      <c r="W5877"/>
    </row>
    <row r="5878" spans="23:23">
      <c r="W5878"/>
    </row>
    <row r="5879" spans="23:23">
      <c r="W5879"/>
    </row>
    <row r="5880" spans="23:23">
      <c r="W5880"/>
    </row>
    <row r="5881" spans="23:23">
      <c r="W5881"/>
    </row>
    <row r="5882" spans="23:23">
      <c r="W5882"/>
    </row>
    <row r="5883" spans="23:23">
      <c r="W5883"/>
    </row>
    <row r="5884" spans="23:23">
      <c r="W5884"/>
    </row>
    <row r="5885" spans="23:23">
      <c r="W5885"/>
    </row>
    <row r="5886" spans="23:23">
      <c r="W5886"/>
    </row>
    <row r="5887" spans="23:23">
      <c r="W5887"/>
    </row>
    <row r="5888" spans="23:23">
      <c r="W5888"/>
    </row>
    <row r="5889" spans="23:23">
      <c r="W5889"/>
    </row>
    <row r="5890" spans="23:23">
      <c r="W5890"/>
    </row>
    <row r="5891" spans="23:23">
      <c r="W5891"/>
    </row>
    <row r="5892" spans="23:23">
      <c r="W5892"/>
    </row>
    <row r="5893" spans="23:23">
      <c r="W5893"/>
    </row>
    <row r="5894" spans="23:23">
      <c r="W5894"/>
    </row>
    <row r="5895" spans="23:23">
      <c r="W5895"/>
    </row>
    <row r="5896" spans="23:23">
      <c r="W5896"/>
    </row>
    <row r="5897" spans="23:23">
      <c r="W5897"/>
    </row>
    <row r="5898" spans="23:23">
      <c r="W5898"/>
    </row>
    <row r="5899" spans="23:23">
      <c r="W5899"/>
    </row>
    <row r="5900" spans="23:23">
      <c r="W5900"/>
    </row>
    <row r="5901" spans="23:23">
      <c r="W5901"/>
    </row>
    <row r="5902" spans="23:23">
      <c r="W5902"/>
    </row>
    <row r="5903" spans="23:23">
      <c r="W5903"/>
    </row>
    <row r="5904" spans="23:23">
      <c r="W5904"/>
    </row>
    <row r="5905" spans="23:23">
      <c r="W5905"/>
    </row>
    <row r="5906" spans="23:23">
      <c r="W5906"/>
    </row>
    <row r="5907" spans="23:23">
      <c r="W5907"/>
    </row>
    <row r="5908" spans="23:23">
      <c r="W5908"/>
    </row>
    <row r="5909" spans="23:23">
      <c r="W5909"/>
    </row>
    <row r="5910" spans="23:23">
      <c r="W5910"/>
    </row>
    <row r="5911" spans="23:23">
      <c r="W5911"/>
    </row>
    <row r="5912" spans="23:23">
      <c r="W5912"/>
    </row>
    <row r="5913" spans="23:23">
      <c r="W5913"/>
    </row>
    <row r="5914" spans="23:23">
      <c r="W5914"/>
    </row>
    <row r="5915" spans="23:23">
      <c r="W5915"/>
    </row>
    <row r="5916" spans="23:23">
      <c r="W5916"/>
    </row>
    <row r="5917" spans="23:23">
      <c r="W5917"/>
    </row>
    <row r="5918" spans="23:23">
      <c r="W5918"/>
    </row>
    <row r="5919" spans="23:23">
      <c r="W5919"/>
    </row>
    <row r="5920" spans="23:23">
      <c r="W5920"/>
    </row>
    <row r="5921" spans="23:23">
      <c r="W5921"/>
    </row>
    <row r="5922" spans="23:23">
      <c r="W5922"/>
    </row>
    <row r="5923" spans="23:23">
      <c r="W5923"/>
    </row>
    <row r="5924" spans="23:23">
      <c r="W5924"/>
    </row>
    <row r="5925" spans="23:23">
      <c r="W5925"/>
    </row>
    <row r="5926" spans="23:23">
      <c r="W5926"/>
    </row>
    <row r="5927" spans="23:23">
      <c r="W5927"/>
    </row>
    <row r="5928" spans="23:23">
      <c r="W5928"/>
    </row>
    <row r="5929" spans="23:23">
      <c r="W5929"/>
    </row>
    <row r="5930" spans="23:23">
      <c r="W5930"/>
    </row>
    <row r="5931" spans="23:23">
      <c r="W5931"/>
    </row>
    <row r="5932" spans="23:23">
      <c r="W5932"/>
    </row>
    <row r="5933" spans="23:23">
      <c r="W5933"/>
    </row>
    <row r="5934" spans="23:23">
      <c r="W5934"/>
    </row>
    <row r="5935" spans="23:23">
      <c r="W5935"/>
    </row>
    <row r="5936" spans="23:23">
      <c r="W5936"/>
    </row>
    <row r="5937" spans="23:23">
      <c r="W5937"/>
    </row>
    <row r="5938" spans="23:23">
      <c r="W5938"/>
    </row>
    <row r="5939" spans="23:23">
      <c r="W5939"/>
    </row>
    <row r="5940" spans="23:23">
      <c r="W5940"/>
    </row>
    <row r="5941" spans="23:23">
      <c r="W5941"/>
    </row>
    <row r="5942" spans="23:23">
      <c r="W5942"/>
    </row>
    <row r="5943" spans="23:23">
      <c r="W5943"/>
    </row>
    <row r="5944" spans="23:23">
      <c r="W5944"/>
    </row>
    <row r="5945" spans="23:23">
      <c r="W5945"/>
    </row>
    <row r="5946" spans="23:23">
      <c r="W5946"/>
    </row>
    <row r="5947" spans="23:23">
      <c r="W5947"/>
    </row>
    <row r="5948" spans="23:23">
      <c r="W5948"/>
    </row>
    <row r="5949" spans="23:23">
      <c r="W5949"/>
    </row>
    <row r="5950" spans="23:23">
      <c r="W5950"/>
    </row>
    <row r="5951" spans="23:23">
      <c r="W5951"/>
    </row>
    <row r="5952" spans="23:23">
      <c r="W5952"/>
    </row>
    <row r="5953" spans="23:23">
      <c r="W5953"/>
    </row>
    <row r="5954" spans="23:23">
      <c r="W5954"/>
    </row>
    <row r="5955" spans="23:23">
      <c r="W5955"/>
    </row>
    <row r="5956" spans="23:23">
      <c r="W5956"/>
    </row>
    <row r="5957" spans="23:23">
      <c r="W5957"/>
    </row>
    <row r="5958" spans="23:23">
      <c r="W5958"/>
    </row>
    <row r="5959" spans="23:23">
      <c r="W5959"/>
    </row>
    <row r="5960" spans="23:23">
      <c r="W5960"/>
    </row>
    <row r="5961" spans="23:23">
      <c r="W5961"/>
    </row>
    <row r="5962" spans="23:23">
      <c r="W5962"/>
    </row>
    <row r="5963" spans="23:23">
      <c r="W5963"/>
    </row>
    <row r="5964" spans="23:23">
      <c r="W5964"/>
    </row>
    <row r="5965" spans="23:23">
      <c r="W5965"/>
    </row>
    <row r="5966" spans="23:23">
      <c r="W5966"/>
    </row>
    <row r="5967" spans="23:23">
      <c r="W5967"/>
    </row>
    <row r="5968" spans="23:23">
      <c r="W5968"/>
    </row>
    <row r="5969" spans="23:23">
      <c r="W5969"/>
    </row>
    <row r="5970" spans="23:23">
      <c r="W5970"/>
    </row>
    <row r="5971" spans="23:23">
      <c r="W5971"/>
    </row>
    <row r="5972" spans="23:23">
      <c r="W5972"/>
    </row>
    <row r="5973" spans="23:23">
      <c r="W5973"/>
    </row>
    <row r="5974" spans="23:23">
      <c r="W5974"/>
    </row>
    <row r="5975" spans="23:23">
      <c r="W5975"/>
    </row>
    <row r="5976" spans="23:23">
      <c r="W5976"/>
    </row>
    <row r="5977" spans="23:23">
      <c r="W5977"/>
    </row>
    <row r="5978" spans="23:23">
      <c r="W5978"/>
    </row>
    <row r="5979" spans="23:23">
      <c r="W5979"/>
    </row>
    <row r="5980" spans="23:23">
      <c r="W5980"/>
    </row>
    <row r="5981" spans="23:23">
      <c r="W5981"/>
    </row>
    <row r="5982" spans="23:23">
      <c r="W5982"/>
    </row>
    <row r="5983" spans="23:23">
      <c r="W5983"/>
    </row>
    <row r="5984" spans="23:23">
      <c r="W5984"/>
    </row>
    <row r="5985" spans="23:23">
      <c r="W5985"/>
    </row>
    <row r="5986" spans="23:23">
      <c r="W5986"/>
    </row>
    <row r="5987" spans="23:23">
      <c r="W5987"/>
    </row>
    <row r="5988" spans="23:23">
      <c r="W5988"/>
    </row>
    <row r="5989" spans="23:23">
      <c r="W5989"/>
    </row>
    <row r="5990" spans="23:23">
      <c r="W5990"/>
    </row>
    <row r="5991" spans="23:23">
      <c r="W5991"/>
    </row>
    <row r="5992" spans="23:23">
      <c r="W5992"/>
    </row>
    <row r="5993" spans="23:23">
      <c r="W5993"/>
    </row>
    <row r="5994" spans="23:23">
      <c r="W5994"/>
    </row>
    <row r="5995" spans="23:23">
      <c r="W5995"/>
    </row>
    <row r="5996" spans="23:23">
      <c r="W5996"/>
    </row>
    <row r="5997" spans="23:23">
      <c r="W5997"/>
    </row>
    <row r="5998" spans="23:23">
      <c r="W5998"/>
    </row>
    <row r="5999" spans="23:23">
      <c r="W5999"/>
    </row>
    <row r="6000" spans="23:23">
      <c r="W6000"/>
    </row>
    <row r="6001" spans="23:23">
      <c r="W6001"/>
    </row>
    <row r="6002" spans="23:23">
      <c r="W6002"/>
    </row>
    <row r="6003" spans="23:23">
      <c r="W6003"/>
    </row>
    <row r="6004" spans="23:23">
      <c r="W6004"/>
    </row>
    <row r="6005" spans="23:23">
      <c r="W6005"/>
    </row>
    <row r="6006" spans="23:23">
      <c r="W6006"/>
    </row>
    <row r="6007" spans="23:23">
      <c r="W6007"/>
    </row>
    <row r="6008" spans="23:23">
      <c r="W6008"/>
    </row>
    <row r="6009" spans="23:23">
      <c r="W6009"/>
    </row>
    <row r="6010" spans="23:23">
      <c r="W6010"/>
    </row>
    <row r="6011" spans="23:23">
      <c r="W6011"/>
    </row>
    <row r="6012" spans="23:23">
      <c r="W6012"/>
    </row>
    <row r="6013" spans="23:23">
      <c r="W6013"/>
    </row>
    <row r="6014" spans="23:23">
      <c r="W6014"/>
    </row>
    <row r="6015" spans="23:23">
      <c r="W6015"/>
    </row>
    <row r="6016" spans="23:23">
      <c r="W6016"/>
    </row>
    <row r="6017" spans="23:23">
      <c r="W6017"/>
    </row>
    <row r="6018" spans="23:23">
      <c r="W6018"/>
    </row>
    <row r="6019" spans="23:23">
      <c r="W6019"/>
    </row>
    <row r="6020" spans="23:23">
      <c r="W6020"/>
    </row>
    <row r="6021" spans="23:23">
      <c r="W6021"/>
    </row>
    <row r="6022" spans="23:23">
      <c r="W6022"/>
    </row>
    <row r="6023" spans="23:23">
      <c r="W6023"/>
    </row>
    <row r="6024" spans="23:23">
      <c r="W6024"/>
    </row>
    <row r="6025" spans="23:23">
      <c r="W6025"/>
    </row>
    <row r="6026" spans="23:23">
      <c r="W6026"/>
    </row>
    <row r="6027" spans="23:23">
      <c r="W6027"/>
    </row>
    <row r="6028" spans="23:23">
      <c r="W6028"/>
    </row>
    <row r="6029" spans="23:23">
      <c r="W6029"/>
    </row>
    <row r="6030" spans="23:23">
      <c r="W6030"/>
    </row>
    <row r="6031" spans="23:23">
      <c r="W6031"/>
    </row>
    <row r="6032" spans="23:23">
      <c r="W6032"/>
    </row>
    <row r="6033" spans="23:23">
      <c r="W6033"/>
    </row>
    <row r="6034" spans="23:23">
      <c r="W6034"/>
    </row>
    <row r="6035" spans="23:23">
      <c r="W6035"/>
    </row>
    <row r="6036" spans="23:23">
      <c r="W6036"/>
    </row>
    <row r="6037" spans="23:23">
      <c r="W6037"/>
    </row>
    <row r="6038" spans="23:23">
      <c r="W6038"/>
    </row>
    <row r="6039" spans="23:23">
      <c r="W6039"/>
    </row>
    <row r="6040" spans="23:23">
      <c r="W6040"/>
    </row>
    <row r="6041" spans="23:23">
      <c r="W6041"/>
    </row>
    <row r="6042" spans="23:23">
      <c r="W6042"/>
    </row>
    <row r="6043" spans="23:23">
      <c r="W6043"/>
    </row>
    <row r="6044" spans="23:23">
      <c r="W6044"/>
    </row>
    <row r="6045" spans="23:23">
      <c r="W6045"/>
    </row>
    <row r="6046" spans="23:23">
      <c r="W6046"/>
    </row>
    <row r="6047" spans="23:23">
      <c r="W6047"/>
    </row>
    <row r="6048" spans="23:23">
      <c r="W6048"/>
    </row>
    <row r="6049" spans="23:23">
      <c r="W6049"/>
    </row>
    <row r="6050" spans="23:23">
      <c r="W6050"/>
    </row>
    <row r="6051" spans="23:23">
      <c r="W6051"/>
    </row>
    <row r="6052" spans="23:23">
      <c r="W6052"/>
    </row>
    <row r="6053" spans="23:23">
      <c r="W6053"/>
    </row>
    <row r="6054" spans="23:23">
      <c r="W6054"/>
    </row>
    <row r="6055" spans="23:23">
      <c r="W6055"/>
    </row>
    <row r="6056" spans="23:23">
      <c r="W6056"/>
    </row>
    <row r="6057" spans="23:23">
      <c r="W6057"/>
    </row>
    <row r="6058" spans="23:23">
      <c r="W6058"/>
    </row>
    <row r="6059" spans="23:23">
      <c r="W6059"/>
    </row>
    <row r="6060" spans="23:23">
      <c r="W6060"/>
    </row>
    <row r="6061" spans="23:23">
      <c r="W6061"/>
    </row>
    <row r="6062" spans="23:23">
      <c r="W6062"/>
    </row>
    <row r="6063" spans="23:23">
      <c r="W6063"/>
    </row>
    <row r="6064" spans="23:23">
      <c r="W6064"/>
    </row>
    <row r="6065" spans="23:23">
      <c r="W6065"/>
    </row>
    <row r="6066" spans="23:23">
      <c r="W6066"/>
    </row>
    <row r="6067" spans="23:23">
      <c r="W6067"/>
    </row>
    <row r="6068" spans="23:23">
      <c r="W6068"/>
    </row>
    <row r="6069" spans="23:23">
      <c r="W6069"/>
    </row>
    <row r="6070" spans="23:23">
      <c r="W6070"/>
    </row>
    <row r="6071" spans="23:23">
      <c r="W6071"/>
    </row>
    <row r="6072" spans="23:23">
      <c r="W6072"/>
    </row>
    <row r="6073" spans="23:23">
      <c r="W6073"/>
    </row>
    <row r="6074" spans="23:23">
      <c r="W6074"/>
    </row>
    <row r="6075" spans="23:23">
      <c r="W6075"/>
    </row>
    <row r="6076" spans="23:23">
      <c r="W6076"/>
    </row>
    <row r="6077" spans="23:23">
      <c r="W6077"/>
    </row>
    <row r="6078" spans="23:23">
      <c r="W6078"/>
    </row>
    <row r="6079" spans="23:23">
      <c r="W6079"/>
    </row>
    <row r="6080" spans="23:23">
      <c r="W6080"/>
    </row>
    <row r="6081" spans="23:23">
      <c r="W6081"/>
    </row>
    <row r="6082" spans="23:23">
      <c r="W6082"/>
    </row>
    <row r="6083" spans="23:23">
      <c r="W6083"/>
    </row>
    <row r="6084" spans="23:23">
      <c r="W6084"/>
    </row>
    <row r="6085" spans="23:23">
      <c r="W6085"/>
    </row>
    <row r="6086" spans="23:23">
      <c r="W6086"/>
    </row>
    <row r="6087" spans="23:23">
      <c r="W6087"/>
    </row>
    <row r="6088" spans="23:23">
      <c r="W6088"/>
    </row>
    <row r="6089" spans="23:23">
      <c r="W6089"/>
    </row>
    <row r="6090" spans="23:23">
      <c r="W6090"/>
    </row>
    <row r="6091" spans="23:23">
      <c r="W6091"/>
    </row>
    <row r="6092" spans="23:23">
      <c r="W6092"/>
    </row>
    <row r="6093" spans="23:23">
      <c r="W6093"/>
    </row>
    <row r="6094" spans="23:23">
      <c r="W6094"/>
    </row>
    <row r="6095" spans="23:23">
      <c r="W6095"/>
    </row>
    <row r="6096" spans="23:23">
      <c r="W6096"/>
    </row>
    <row r="6097" spans="23:23">
      <c r="W6097"/>
    </row>
    <row r="6098" spans="23:23">
      <c r="W6098"/>
    </row>
    <row r="6099" spans="23:23">
      <c r="W6099"/>
    </row>
    <row r="6100" spans="23:23">
      <c r="W6100"/>
    </row>
    <row r="6101" spans="23:23">
      <c r="W6101"/>
    </row>
    <row r="6102" spans="23:23">
      <c r="W6102"/>
    </row>
    <row r="6103" spans="23:23">
      <c r="W6103"/>
    </row>
    <row r="6104" spans="23:23">
      <c r="W6104"/>
    </row>
    <row r="6105" spans="23:23">
      <c r="W6105"/>
    </row>
    <row r="6106" spans="23:23">
      <c r="W6106"/>
    </row>
    <row r="6107" spans="23:23">
      <c r="W6107"/>
    </row>
    <row r="6108" spans="23:23">
      <c r="W6108"/>
    </row>
    <row r="6109" spans="23:23">
      <c r="W6109"/>
    </row>
    <row r="6110" spans="23:23">
      <c r="W6110"/>
    </row>
    <row r="6111" spans="23:23">
      <c r="W6111"/>
    </row>
    <row r="6112" spans="23:23">
      <c r="W6112"/>
    </row>
    <row r="6113" spans="23:23">
      <c r="W6113"/>
    </row>
    <row r="6114" spans="23:23">
      <c r="W6114"/>
    </row>
    <row r="6115" spans="23:23">
      <c r="W6115"/>
    </row>
    <row r="6116" spans="23:23">
      <c r="W6116"/>
    </row>
    <row r="6117" spans="23:23">
      <c r="W6117"/>
    </row>
    <row r="6118" spans="23:23">
      <c r="W6118"/>
    </row>
    <row r="6119" spans="23:23">
      <c r="W6119"/>
    </row>
    <row r="6120" spans="23:23">
      <c r="W6120"/>
    </row>
    <row r="6121" spans="23:23">
      <c r="W6121"/>
    </row>
    <row r="6122" spans="23:23">
      <c r="W6122"/>
    </row>
    <row r="6123" spans="23:23">
      <c r="W6123"/>
    </row>
    <row r="6124" spans="23:23">
      <c r="W6124"/>
    </row>
    <row r="6125" spans="23:23">
      <c r="W6125"/>
    </row>
    <row r="6126" spans="23:23">
      <c r="W6126"/>
    </row>
    <row r="6127" spans="23:23">
      <c r="W6127"/>
    </row>
    <row r="6128" spans="23:23">
      <c r="W6128"/>
    </row>
    <row r="6129" spans="23:23">
      <c r="W6129"/>
    </row>
    <row r="6130" spans="23:23">
      <c r="W6130"/>
    </row>
    <row r="6131" spans="23:23">
      <c r="W6131"/>
    </row>
    <row r="6132" spans="23:23">
      <c r="W6132"/>
    </row>
    <row r="6133" spans="23:23">
      <c r="W6133"/>
    </row>
    <row r="6134" spans="23:23">
      <c r="W6134"/>
    </row>
    <row r="6135" spans="23:23">
      <c r="W6135"/>
    </row>
    <row r="6136" spans="23:23">
      <c r="W6136"/>
    </row>
    <row r="6137" spans="23:23">
      <c r="W6137"/>
    </row>
    <row r="6138" spans="23:23">
      <c r="W6138"/>
    </row>
    <row r="6139" spans="23:23">
      <c r="W6139"/>
    </row>
    <row r="6140" spans="23:23">
      <c r="W6140"/>
    </row>
    <row r="6141" spans="23:23">
      <c r="W6141"/>
    </row>
    <row r="6142" spans="23:23">
      <c r="W6142"/>
    </row>
    <row r="6143" spans="23:23">
      <c r="W6143"/>
    </row>
    <row r="6144" spans="23:23">
      <c r="W6144"/>
    </row>
    <row r="6145" spans="23:23">
      <c r="W6145"/>
    </row>
    <row r="6146" spans="23:23">
      <c r="W6146"/>
    </row>
    <row r="6147" spans="23:23">
      <c r="W6147"/>
    </row>
    <row r="6148" spans="23:23">
      <c r="W6148"/>
    </row>
    <row r="6149" spans="23:23">
      <c r="W6149"/>
    </row>
    <row r="6150" spans="23:23">
      <c r="W6150"/>
    </row>
    <row r="6151" spans="23:23">
      <c r="W6151"/>
    </row>
    <row r="6152" spans="23:23">
      <c r="W6152"/>
    </row>
    <row r="6153" spans="23:23">
      <c r="W6153"/>
    </row>
    <row r="6154" spans="23:23">
      <c r="W6154"/>
    </row>
    <row r="6155" spans="23:23">
      <c r="W6155"/>
    </row>
    <row r="6156" spans="23:23">
      <c r="W6156"/>
    </row>
    <row r="6157" spans="23:23">
      <c r="W6157"/>
    </row>
    <row r="6158" spans="23:23">
      <c r="W6158"/>
    </row>
    <row r="6159" spans="23:23">
      <c r="W6159"/>
    </row>
    <row r="6160" spans="23:23">
      <c r="W6160"/>
    </row>
    <row r="6161" spans="23:23">
      <c r="W6161"/>
    </row>
    <row r="6162" spans="23:23">
      <c r="W6162"/>
    </row>
    <row r="6163" spans="23:23">
      <c r="W6163"/>
    </row>
    <row r="6164" spans="23:23">
      <c r="W6164"/>
    </row>
    <row r="6165" spans="23:23">
      <c r="W6165"/>
    </row>
    <row r="6166" spans="23:23">
      <c r="W6166"/>
    </row>
    <row r="6167" spans="23:23">
      <c r="W6167"/>
    </row>
    <row r="6168" spans="23:23">
      <c r="W6168"/>
    </row>
    <row r="6169" spans="23:23">
      <c r="W6169"/>
    </row>
    <row r="6170" spans="23:23">
      <c r="W6170"/>
    </row>
    <row r="6171" spans="23:23">
      <c r="W6171"/>
    </row>
    <row r="6172" spans="23:23">
      <c r="W6172"/>
    </row>
    <row r="6173" spans="23:23">
      <c r="W6173"/>
    </row>
    <row r="6174" spans="23:23">
      <c r="W6174"/>
    </row>
    <row r="6175" spans="23:23">
      <c r="W6175"/>
    </row>
    <row r="6176" spans="23:23">
      <c r="W6176"/>
    </row>
    <row r="6177" spans="23:23">
      <c r="W6177"/>
    </row>
    <row r="6178" spans="23:23">
      <c r="W6178"/>
    </row>
    <row r="6179" spans="23:23">
      <c r="W6179"/>
    </row>
    <row r="6180" spans="23:23">
      <c r="W6180"/>
    </row>
    <row r="6181" spans="23:23">
      <c r="W6181"/>
    </row>
    <row r="6182" spans="23:23">
      <c r="W6182"/>
    </row>
    <row r="6183" spans="23:23">
      <c r="W6183"/>
    </row>
    <row r="6184" spans="23:23">
      <c r="W6184"/>
    </row>
    <row r="6185" spans="23:23">
      <c r="W6185"/>
    </row>
    <row r="6186" spans="23:23">
      <c r="W6186"/>
    </row>
    <row r="6187" spans="23:23">
      <c r="W6187"/>
    </row>
    <row r="6188" spans="23:23">
      <c r="W6188"/>
    </row>
    <row r="6189" spans="23:23">
      <c r="W6189"/>
    </row>
    <row r="6190" spans="23:23">
      <c r="W6190"/>
    </row>
    <row r="6191" spans="23:23">
      <c r="W6191"/>
    </row>
    <row r="6192" spans="23:23">
      <c r="W6192"/>
    </row>
    <row r="6193" spans="23:23">
      <c r="W6193"/>
    </row>
    <row r="6194" spans="23:23">
      <c r="W6194"/>
    </row>
    <row r="6195" spans="23:23">
      <c r="W6195"/>
    </row>
    <row r="6196" spans="23:23">
      <c r="W6196"/>
    </row>
    <row r="6197" spans="23:23">
      <c r="W6197"/>
    </row>
    <row r="6198" spans="23:23">
      <c r="W6198"/>
    </row>
    <row r="6199" spans="23:23">
      <c r="W6199"/>
    </row>
    <row r="6200" spans="23:23">
      <c r="W6200"/>
    </row>
    <row r="6201" spans="23:23">
      <c r="W6201"/>
    </row>
    <row r="6202" spans="23:23">
      <c r="W6202"/>
    </row>
    <row r="6203" spans="23:23">
      <c r="W6203"/>
    </row>
    <row r="6204" spans="23:23">
      <c r="W6204"/>
    </row>
    <row r="6205" spans="23:23">
      <c r="W6205"/>
    </row>
    <row r="6206" spans="23:23">
      <c r="W6206"/>
    </row>
    <row r="6207" spans="23:23">
      <c r="W6207"/>
    </row>
    <row r="6208" spans="23:23">
      <c r="W6208"/>
    </row>
    <row r="6209" spans="23:23">
      <c r="W6209"/>
    </row>
    <row r="6210" spans="23:23">
      <c r="W6210"/>
    </row>
    <row r="6211" spans="23:23">
      <c r="W6211"/>
    </row>
    <row r="6212" spans="23:23">
      <c r="W6212"/>
    </row>
    <row r="6213" spans="23:23">
      <c r="W6213"/>
    </row>
    <row r="6214" spans="23:23">
      <c r="W6214"/>
    </row>
    <row r="6215" spans="23:23">
      <c r="W6215"/>
    </row>
    <row r="6216" spans="23:23">
      <c r="W6216"/>
    </row>
    <row r="6217" spans="23:23">
      <c r="W6217"/>
    </row>
    <row r="6218" spans="23:23">
      <c r="W6218"/>
    </row>
    <row r="6219" spans="23:23">
      <c r="W6219"/>
    </row>
    <row r="6220" spans="23:23">
      <c r="W6220"/>
    </row>
    <row r="6221" spans="23:23">
      <c r="W6221"/>
    </row>
    <row r="6222" spans="23:23">
      <c r="W6222"/>
    </row>
    <row r="6223" spans="23:23">
      <c r="W6223"/>
    </row>
    <row r="6224" spans="23:23">
      <c r="W6224"/>
    </row>
    <row r="6225" spans="23:23">
      <c r="W6225"/>
    </row>
    <row r="6226" spans="23:23">
      <c r="W6226"/>
    </row>
    <row r="6227" spans="23:23">
      <c r="W6227"/>
    </row>
    <row r="6228" spans="23:23">
      <c r="W6228"/>
    </row>
    <row r="6229" spans="23:23">
      <c r="W6229"/>
    </row>
    <row r="6230" spans="23:23">
      <c r="W6230"/>
    </row>
    <row r="6231" spans="23:23">
      <c r="W6231"/>
    </row>
    <row r="6232" spans="23:23">
      <c r="W6232"/>
    </row>
    <row r="6233" spans="23:23">
      <c r="W6233"/>
    </row>
    <row r="6234" spans="23:23">
      <c r="W6234"/>
    </row>
    <row r="6235" spans="23:23">
      <c r="W6235"/>
    </row>
    <row r="6236" spans="23:23">
      <c r="W6236"/>
    </row>
    <row r="6237" spans="23:23">
      <c r="W6237"/>
    </row>
    <row r="6238" spans="23:23">
      <c r="W6238"/>
    </row>
    <row r="6239" spans="23:23">
      <c r="W6239"/>
    </row>
    <row r="6240" spans="23:23">
      <c r="W6240"/>
    </row>
    <row r="6241" spans="23:23">
      <c r="W6241"/>
    </row>
    <row r="6242" spans="23:23">
      <c r="W6242"/>
    </row>
    <row r="6243" spans="23:23">
      <c r="W6243"/>
    </row>
    <row r="6244" spans="23:23">
      <c r="W6244"/>
    </row>
    <row r="6245" spans="23:23">
      <c r="W6245"/>
    </row>
    <row r="6246" spans="23:23">
      <c r="W6246"/>
    </row>
    <row r="6247" spans="23:23">
      <c r="W6247"/>
    </row>
    <row r="6248" spans="23:23">
      <c r="W6248"/>
    </row>
    <row r="6249" spans="23:23">
      <c r="W6249"/>
    </row>
    <row r="6250" spans="23:23">
      <c r="W6250"/>
    </row>
    <row r="6251" spans="23:23">
      <c r="W6251"/>
    </row>
    <row r="6252" spans="23:23">
      <c r="W6252"/>
    </row>
    <row r="6253" spans="23:23">
      <c r="W6253"/>
    </row>
    <row r="6254" spans="23:23">
      <c r="W6254"/>
    </row>
    <row r="6255" spans="23:23">
      <c r="W6255"/>
    </row>
    <row r="6256" spans="23:23">
      <c r="W6256"/>
    </row>
    <row r="6257" spans="23:23">
      <c r="W6257"/>
    </row>
    <row r="6258" spans="23:23">
      <c r="W6258"/>
    </row>
    <row r="6259" spans="23:23">
      <c r="W6259"/>
    </row>
    <row r="6260" spans="23:23">
      <c r="W6260"/>
    </row>
    <row r="6261" spans="23:23">
      <c r="W6261"/>
    </row>
    <row r="6262" spans="23:23">
      <c r="W6262"/>
    </row>
    <row r="6263" spans="23:23">
      <c r="W6263"/>
    </row>
    <row r="6264" spans="23:23">
      <c r="W6264"/>
    </row>
    <row r="6265" spans="23:23">
      <c r="W6265"/>
    </row>
    <row r="6266" spans="23:23">
      <c r="W6266"/>
    </row>
    <row r="6267" spans="23:23">
      <c r="W6267"/>
    </row>
    <row r="6268" spans="23:23">
      <c r="W6268"/>
    </row>
    <row r="6269" spans="23:23">
      <c r="W6269"/>
    </row>
    <row r="6270" spans="23:23">
      <c r="W6270"/>
    </row>
    <row r="6271" spans="23:23">
      <c r="W6271"/>
    </row>
    <row r="6272" spans="23:23">
      <c r="W6272"/>
    </row>
    <row r="6273" spans="23:23">
      <c r="W6273"/>
    </row>
    <row r="6274" spans="23:23">
      <c r="W6274"/>
    </row>
    <row r="6275" spans="23:23">
      <c r="W6275"/>
    </row>
    <row r="6276" spans="23:23">
      <c r="W6276"/>
    </row>
    <row r="6277" spans="23:23">
      <c r="W6277"/>
    </row>
    <row r="6278" spans="23:23">
      <c r="W6278"/>
    </row>
    <row r="6279" spans="23:23">
      <c r="W6279"/>
    </row>
    <row r="6280" spans="23:23">
      <c r="W6280"/>
    </row>
    <row r="6281" spans="23:23">
      <c r="W6281"/>
    </row>
    <row r="6282" spans="23:23">
      <c r="W6282"/>
    </row>
    <row r="6283" spans="23:23">
      <c r="W6283"/>
    </row>
    <row r="6284" spans="23:23">
      <c r="W6284"/>
    </row>
    <row r="6285" spans="23:23">
      <c r="W6285"/>
    </row>
    <row r="6286" spans="23:23">
      <c r="W6286"/>
    </row>
    <row r="6287" spans="23:23">
      <c r="W6287"/>
    </row>
    <row r="6288" spans="23:23">
      <c r="W6288"/>
    </row>
    <row r="6289" spans="23:23">
      <c r="W6289"/>
    </row>
    <row r="6290" spans="23:23">
      <c r="W6290"/>
    </row>
    <row r="6291" spans="23:23">
      <c r="W6291"/>
    </row>
    <row r="6292" spans="23:23">
      <c r="W6292"/>
    </row>
    <row r="6293" spans="23:23">
      <c r="W6293"/>
    </row>
    <row r="6294" spans="23:23">
      <c r="W6294"/>
    </row>
    <row r="6295" spans="23:23">
      <c r="W6295"/>
    </row>
    <row r="6296" spans="23:23">
      <c r="W6296"/>
    </row>
    <row r="6297" spans="23:23">
      <c r="W6297"/>
    </row>
    <row r="6298" spans="23:23">
      <c r="W6298"/>
    </row>
    <row r="6299" spans="23:23">
      <c r="W6299"/>
    </row>
    <row r="6300" spans="23:23">
      <c r="W6300"/>
    </row>
    <row r="6301" spans="23:23">
      <c r="W6301"/>
    </row>
    <row r="6302" spans="23:23">
      <c r="W6302"/>
    </row>
    <row r="6303" spans="23:23">
      <c r="W6303"/>
    </row>
    <row r="6304" spans="23:23">
      <c r="W6304"/>
    </row>
    <row r="6305" spans="23:23">
      <c r="W6305"/>
    </row>
    <row r="6306" spans="23:23">
      <c r="W6306"/>
    </row>
    <row r="6307" spans="23:23">
      <c r="W6307"/>
    </row>
    <row r="6308" spans="23:23">
      <c r="W6308"/>
    </row>
    <row r="6309" spans="23:23">
      <c r="W6309"/>
    </row>
    <row r="6310" spans="23:23">
      <c r="W6310"/>
    </row>
    <row r="6311" spans="23:23">
      <c r="W6311"/>
    </row>
    <row r="6312" spans="23:23">
      <c r="W6312"/>
    </row>
    <row r="6313" spans="23:23">
      <c r="W6313"/>
    </row>
    <row r="6314" spans="23:23">
      <c r="W6314"/>
    </row>
    <row r="6315" spans="23:23">
      <c r="W6315"/>
    </row>
    <row r="6316" spans="23:23">
      <c r="W6316"/>
    </row>
    <row r="6317" spans="23:23">
      <c r="W6317"/>
    </row>
    <row r="6318" spans="23:23">
      <c r="W6318"/>
    </row>
    <row r="6319" spans="23:23">
      <c r="W6319"/>
    </row>
    <row r="6320" spans="23:23">
      <c r="W6320"/>
    </row>
    <row r="6321" spans="23:23">
      <c r="W6321"/>
    </row>
    <row r="6322" spans="23:23">
      <c r="W6322"/>
    </row>
    <row r="6323" spans="23:23">
      <c r="W6323"/>
    </row>
    <row r="6324" spans="23:23">
      <c r="W6324"/>
    </row>
    <row r="6325" spans="23:23">
      <c r="W6325"/>
    </row>
    <row r="6326" spans="23:23">
      <c r="W6326"/>
    </row>
    <row r="6327" spans="23:23">
      <c r="W6327"/>
    </row>
    <row r="6328" spans="23:23">
      <c r="W6328"/>
    </row>
    <row r="6329" spans="23:23">
      <c r="W6329"/>
    </row>
    <row r="6330" spans="23:23">
      <c r="W6330"/>
    </row>
    <row r="6331" spans="23:23">
      <c r="W6331"/>
    </row>
    <row r="6332" spans="23:23">
      <c r="W6332"/>
    </row>
    <row r="6333" spans="23:23">
      <c r="W6333"/>
    </row>
    <row r="6334" spans="23:23">
      <c r="W6334"/>
    </row>
    <row r="6335" spans="23:23">
      <c r="W6335"/>
    </row>
    <row r="6336" spans="23:23">
      <c r="W6336"/>
    </row>
    <row r="6337" spans="23:23">
      <c r="W6337"/>
    </row>
    <row r="6338" spans="23:23">
      <c r="W6338"/>
    </row>
    <row r="6339" spans="23:23">
      <c r="W6339"/>
    </row>
    <row r="6340" spans="23:23">
      <c r="W6340"/>
    </row>
    <row r="6341" spans="23:23">
      <c r="W6341"/>
    </row>
    <row r="6342" spans="23:23">
      <c r="W6342"/>
    </row>
    <row r="6343" spans="23:23">
      <c r="W6343"/>
    </row>
    <row r="6344" spans="23:23">
      <c r="W6344"/>
    </row>
    <row r="6345" spans="23:23">
      <c r="W6345"/>
    </row>
    <row r="6346" spans="23:23">
      <c r="W6346"/>
    </row>
    <row r="6347" spans="23:23">
      <c r="W6347"/>
    </row>
    <row r="6348" spans="23:23">
      <c r="W6348"/>
    </row>
    <row r="6349" spans="23:23">
      <c r="W6349"/>
    </row>
    <row r="6350" spans="23:23">
      <c r="W6350"/>
    </row>
    <row r="6351" spans="23:23">
      <c r="W6351"/>
    </row>
    <row r="6352" spans="23:23">
      <c r="W6352"/>
    </row>
    <row r="6353" spans="23:23">
      <c r="W6353"/>
    </row>
    <row r="6354" spans="23:23">
      <c r="W6354"/>
    </row>
    <row r="6355" spans="23:23">
      <c r="W6355"/>
    </row>
    <row r="6356" spans="23:23">
      <c r="W6356"/>
    </row>
    <row r="6357" spans="23:23">
      <c r="W6357"/>
    </row>
    <row r="6358" spans="23:23">
      <c r="W6358"/>
    </row>
    <row r="6359" spans="23:23">
      <c r="W6359"/>
    </row>
    <row r="6360" spans="23:23">
      <c r="W6360"/>
    </row>
    <row r="6361" spans="23:23">
      <c r="W6361"/>
    </row>
    <row r="6362" spans="23:23">
      <c r="W6362"/>
    </row>
    <row r="6363" spans="23:23">
      <c r="W6363"/>
    </row>
    <row r="6364" spans="23:23">
      <c r="W6364"/>
    </row>
    <row r="6365" spans="23:23">
      <c r="W6365"/>
    </row>
    <row r="6366" spans="23:23">
      <c r="W6366"/>
    </row>
    <row r="6367" spans="23:23">
      <c r="W6367"/>
    </row>
    <row r="6368" spans="23:23">
      <c r="W6368"/>
    </row>
    <row r="6369" spans="23:23">
      <c r="W6369"/>
    </row>
    <row r="6370" spans="23:23">
      <c r="W6370"/>
    </row>
    <row r="6371" spans="23:23">
      <c r="W6371"/>
    </row>
    <row r="6372" spans="23:23">
      <c r="W6372"/>
    </row>
    <row r="6373" spans="23:23">
      <c r="W6373"/>
    </row>
    <row r="6374" spans="23:23">
      <c r="W6374"/>
    </row>
    <row r="6375" spans="23:23">
      <c r="W6375"/>
    </row>
    <row r="6376" spans="23:23">
      <c r="W6376"/>
    </row>
    <row r="6377" spans="23:23">
      <c r="W6377"/>
    </row>
    <row r="6378" spans="23:23">
      <c r="W6378"/>
    </row>
    <row r="6379" spans="23:23">
      <c r="W6379"/>
    </row>
    <row r="6380" spans="23:23">
      <c r="W6380"/>
    </row>
    <row r="6381" spans="23:23">
      <c r="W6381"/>
    </row>
    <row r="6382" spans="23:23">
      <c r="W6382"/>
    </row>
    <row r="6383" spans="23:23">
      <c r="W6383"/>
    </row>
    <row r="6384" spans="23:23">
      <c r="W6384"/>
    </row>
    <row r="6385" spans="23:23">
      <c r="W6385"/>
    </row>
    <row r="6386" spans="23:23">
      <c r="W6386"/>
    </row>
    <row r="6387" spans="23:23">
      <c r="W6387"/>
    </row>
    <row r="6388" spans="23:23">
      <c r="W6388"/>
    </row>
    <row r="6389" spans="23:23">
      <c r="W6389"/>
    </row>
    <row r="6390" spans="23:23">
      <c r="W6390"/>
    </row>
    <row r="6391" spans="23:23">
      <c r="W6391"/>
    </row>
    <row r="6392" spans="23:23">
      <c r="W6392"/>
    </row>
    <row r="6393" spans="23:23">
      <c r="W6393"/>
    </row>
    <row r="6394" spans="23:23">
      <c r="W6394"/>
    </row>
    <row r="6395" spans="23:23">
      <c r="W6395"/>
    </row>
    <row r="6396" spans="23:23">
      <c r="W6396"/>
    </row>
    <row r="6397" spans="23:23">
      <c r="W6397"/>
    </row>
    <row r="6398" spans="23:23">
      <c r="W6398"/>
    </row>
    <row r="6399" spans="23:23">
      <c r="W6399"/>
    </row>
    <row r="6400" spans="23:23">
      <c r="W6400"/>
    </row>
    <row r="6401" spans="23:23">
      <c r="W6401"/>
    </row>
    <row r="6402" spans="23:23">
      <c r="W6402"/>
    </row>
    <row r="6403" spans="23:23">
      <c r="W6403"/>
    </row>
    <row r="6404" spans="23:23">
      <c r="W6404"/>
    </row>
    <row r="6405" spans="23:23">
      <c r="W6405"/>
    </row>
    <row r="6406" spans="23:23">
      <c r="W6406"/>
    </row>
    <row r="6407" spans="23:23">
      <c r="W6407"/>
    </row>
    <row r="6408" spans="23:23">
      <c r="W6408"/>
    </row>
    <row r="6409" spans="23:23">
      <c r="W6409"/>
    </row>
    <row r="6410" spans="23:23">
      <c r="W6410"/>
    </row>
    <row r="6411" spans="23:23">
      <c r="W6411"/>
    </row>
    <row r="6412" spans="23:23">
      <c r="W6412"/>
    </row>
    <row r="6413" spans="23:23">
      <c r="W6413"/>
    </row>
    <row r="6414" spans="23:23">
      <c r="W6414"/>
    </row>
    <row r="6415" spans="23:23">
      <c r="W6415"/>
    </row>
    <row r="6416" spans="23:23">
      <c r="W6416"/>
    </row>
    <row r="6417" spans="23:23">
      <c r="W6417"/>
    </row>
    <row r="6418" spans="23:23">
      <c r="W6418"/>
    </row>
    <row r="6419" spans="23:23">
      <c r="W6419"/>
    </row>
    <row r="6420" spans="23:23">
      <c r="W6420"/>
    </row>
    <row r="6421" spans="23:23">
      <c r="W6421"/>
    </row>
    <row r="6422" spans="23:23">
      <c r="W6422"/>
    </row>
    <row r="6423" spans="23:23">
      <c r="W6423"/>
    </row>
    <row r="6424" spans="23:23">
      <c r="W6424"/>
    </row>
    <row r="6425" spans="23:23">
      <c r="W6425"/>
    </row>
    <row r="6426" spans="23:23">
      <c r="W6426"/>
    </row>
    <row r="6427" spans="23:23">
      <c r="W6427"/>
    </row>
    <row r="6428" spans="23:23">
      <c r="W6428"/>
    </row>
    <row r="6429" spans="23:23">
      <c r="W6429"/>
    </row>
    <row r="6430" spans="23:23">
      <c r="W6430"/>
    </row>
    <row r="6431" spans="23:23">
      <c r="W6431"/>
    </row>
    <row r="6432" spans="23:23">
      <c r="W6432"/>
    </row>
    <row r="6433" spans="23:23">
      <c r="W6433"/>
    </row>
    <row r="6434" spans="23:23">
      <c r="W6434"/>
    </row>
    <row r="6435" spans="23:23">
      <c r="W6435"/>
    </row>
    <row r="6436" spans="23:23">
      <c r="W6436"/>
    </row>
    <row r="6437" spans="23:23">
      <c r="W6437"/>
    </row>
    <row r="6438" spans="23:23">
      <c r="W6438"/>
    </row>
    <row r="6439" spans="23:23">
      <c r="W6439"/>
    </row>
    <row r="6440" spans="23:23">
      <c r="W6440"/>
    </row>
    <row r="6441" spans="23:23">
      <c r="W6441"/>
    </row>
    <row r="6442" spans="23:23">
      <c r="W6442"/>
    </row>
    <row r="6443" spans="23:23">
      <c r="W6443"/>
    </row>
    <row r="6444" spans="23:23">
      <c r="W6444"/>
    </row>
    <row r="6445" spans="23:23">
      <c r="W6445"/>
    </row>
    <row r="6446" spans="23:23">
      <c r="W6446"/>
    </row>
    <row r="6447" spans="23:23">
      <c r="W6447"/>
    </row>
    <row r="6448" spans="23:23">
      <c r="W6448"/>
    </row>
    <row r="6449" spans="23:23">
      <c r="W6449"/>
    </row>
    <row r="6450" spans="23:23">
      <c r="W6450"/>
    </row>
    <row r="6451" spans="23:23">
      <c r="W6451"/>
    </row>
    <row r="6452" spans="23:23">
      <c r="W6452"/>
    </row>
    <row r="6453" spans="23:23">
      <c r="W6453"/>
    </row>
    <row r="6454" spans="23:23">
      <c r="W6454"/>
    </row>
    <row r="6455" spans="23:23">
      <c r="W6455"/>
    </row>
    <row r="6456" spans="23:23">
      <c r="W6456"/>
    </row>
    <row r="6457" spans="23:23">
      <c r="W6457"/>
    </row>
    <row r="6458" spans="23:23">
      <c r="W6458"/>
    </row>
    <row r="6459" spans="23:23">
      <c r="W6459"/>
    </row>
    <row r="6460" spans="23:23">
      <c r="W6460"/>
    </row>
    <row r="6461" spans="23:23">
      <c r="W6461"/>
    </row>
    <row r="6462" spans="23:23">
      <c r="W6462"/>
    </row>
    <row r="6463" spans="23:23">
      <c r="W6463"/>
    </row>
    <row r="6464" spans="23:23">
      <c r="W6464"/>
    </row>
    <row r="6465" spans="23:23">
      <c r="W6465"/>
    </row>
    <row r="6466" spans="23:23">
      <c r="W6466"/>
    </row>
    <row r="6467" spans="23:23">
      <c r="W6467"/>
    </row>
    <row r="6468" spans="23:23">
      <c r="W6468"/>
    </row>
    <row r="6469" spans="23:23">
      <c r="W6469"/>
    </row>
    <row r="6470" spans="23:23">
      <c r="W6470"/>
    </row>
    <row r="6471" spans="23:23">
      <c r="W6471"/>
    </row>
    <row r="6472" spans="23:23">
      <c r="W6472"/>
    </row>
    <row r="6473" spans="23:23">
      <c r="W6473"/>
    </row>
    <row r="6474" spans="23:23">
      <c r="W6474"/>
    </row>
    <row r="6475" spans="23:23">
      <c r="W6475"/>
    </row>
    <row r="6476" spans="23:23">
      <c r="W6476"/>
    </row>
    <row r="6477" spans="23:23">
      <c r="W6477"/>
    </row>
    <row r="6478" spans="23:23">
      <c r="W6478"/>
    </row>
    <row r="6479" spans="23:23">
      <c r="W6479"/>
    </row>
    <row r="6480" spans="23:23">
      <c r="W6480"/>
    </row>
    <row r="6481" spans="23:23">
      <c r="W6481"/>
    </row>
    <row r="6482" spans="23:23">
      <c r="W6482"/>
    </row>
    <row r="6483" spans="23:23">
      <c r="W6483"/>
    </row>
    <row r="6484" spans="23:23">
      <c r="W6484"/>
    </row>
    <row r="6485" spans="23:23">
      <c r="W6485"/>
    </row>
    <row r="6486" spans="23:23">
      <c r="W6486"/>
    </row>
    <row r="6487" spans="23:23">
      <c r="W6487"/>
    </row>
    <row r="6488" spans="23:23">
      <c r="W6488"/>
    </row>
    <row r="6489" spans="23:23">
      <c r="W6489"/>
    </row>
    <row r="6490" spans="23:23">
      <c r="W6490"/>
    </row>
    <row r="6491" spans="23:23">
      <c r="W6491"/>
    </row>
    <row r="6492" spans="23:23">
      <c r="W6492"/>
    </row>
    <row r="6493" spans="23:23">
      <c r="W6493"/>
    </row>
    <row r="6494" spans="23:23">
      <c r="W6494"/>
    </row>
    <row r="6495" spans="23:23">
      <c r="W6495"/>
    </row>
    <row r="6496" spans="23:23">
      <c r="W6496"/>
    </row>
    <row r="6497" spans="23:23">
      <c r="W6497"/>
    </row>
    <row r="6498" spans="23:23">
      <c r="W6498"/>
    </row>
    <row r="6499" spans="23:23">
      <c r="W6499"/>
    </row>
    <row r="6500" spans="23:23">
      <c r="W6500"/>
    </row>
    <row r="6501" spans="23:23">
      <c r="W6501"/>
    </row>
    <row r="6502" spans="23:23">
      <c r="W6502"/>
    </row>
    <row r="6503" spans="23:23">
      <c r="W6503"/>
    </row>
    <row r="6504" spans="23:23">
      <c r="W6504"/>
    </row>
    <row r="6505" spans="23:23">
      <c r="W6505"/>
    </row>
    <row r="6506" spans="23:23">
      <c r="W6506"/>
    </row>
    <row r="6507" spans="23:23">
      <c r="W6507"/>
    </row>
    <row r="6508" spans="23:23">
      <c r="W6508"/>
    </row>
    <row r="6509" spans="23:23">
      <c r="W6509"/>
    </row>
    <row r="6510" spans="23:23">
      <c r="W6510"/>
    </row>
    <row r="6511" spans="23:23">
      <c r="W6511"/>
    </row>
    <row r="6512" spans="23:23">
      <c r="W6512"/>
    </row>
    <row r="6513" spans="23:23">
      <c r="W6513"/>
    </row>
    <row r="6514" spans="23:23">
      <c r="W6514"/>
    </row>
    <row r="6515" spans="23:23">
      <c r="W6515"/>
    </row>
    <row r="6516" spans="23:23">
      <c r="W6516"/>
    </row>
    <row r="6517" spans="23:23">
      <c r="W6517"/>
    </row>
    <row r="6518" spans="23:23">
      <c r="W6518"/>
    </row>
    <row r="6519" spans="23:23">
      <c r="W6519"/>
    </row>
    <row r="6520" spans="23:23">
      <c r="W6520"/>
    </row>
    <row r="6521" spans="23:23">
      <c r="W6521"/>
    </row>
    <row r="6522" spans="23:23">
      <c r="W6522"/>
    </row>
    <row r="6523" spans="23:23">
      <c r="W6523"/>
    </row>
    <row r="6524" spans="23:23">
      <c r="W6524"/>
    </row>
    <row r="6525" spans="23:23">
      <c r="W6525"/>
    </row>
    <row r="6526" spans="23:23">
      <c r="W6526"/>
    </row>
    <row r="6527" spans="23:23">
      <c r="W6527"/>
    </row>
    <row r="6528" spans="23:23">
      <c r="W6528"/>
    </row>
    <row r="6529" spans="23:23">
      <c r="W6529"/>
    </row>
    <row r="6530" spans="23:23">
      <c r="W6530"/>
    </row>
    <row r="6531" spans="23:23">
      <c r="W6531"/>
    </row>
    <row r="6532" spans="23:23">
      <c r="W6532"/>
    </row>
    <row r="6533" spans="23:23">
      <c r="W6533"/>
    </row>
    <row r="6534" spans="23:23">
      <c r="W6534"/>
    </row>
    <row r="6535" spans="23:23">
      <c r="W6535"/>
    </row>
    <row r="6536" spans="23:23">
      <c r="W6536"/>
    </row>
    <row r="6537" spans="23:23">
      <c r="W6537"/>
    </row>
    <row r="6538" spans="23:23">
      <c r="W6538"/>
    </row>
    <row r="6539" spans="23:23">
      <c r="W6539"/>
    </row>
    <row r="6540" spans="23:23">
      <c r="W6540"/>
    </row>
    <row r="6541" spans="23:23">
      <c r="W6541"/>
    </row>
    <row r="6542" spans="23:23">
      <c r="W6542"/>
    </row>
    <row r="6543" spans="23:23">
      <c r="W6543"/>
    </row>
    <row r="6544" spans="23:23">
      <c r="W6544"/>
    </row>
    <row r="6545" spans="23:23">
      <c r="W6545"/>
    </row>
    <row r="6546" spans="23:23">
      <c r="W6546"/>
    </row>
    <row r="6547" spans="23:23">
      <c r="W6547"/>
    </row>
    <row r="6548" spans="23:23">
      <c r="W6548"/>
    </row>
    <row r="6549" spans="23:23">
      <c r="W6549"/>
    </row>
    <row r="6550" spans="23:23">
      <c r="W6550"/>
    </row>
    <row r="6551" spans="23:23">
      <c r="W6551"/>
    </row>
    <row r="6552" spans="23:23">
      <c r="W6552"/>
    </row>
    <row r="6553" spans="23:23">
      <c r="W6553"/>
    </row>
    <row r="6554" spans="23:23">
      <c r="W6554"/>
    </row>
    <row r="6555" spans="23:23">
      <c r="W6555"/>
    </row>
    <row r="6556" spans="23:23">
      <c r="W6556"/>
    </row>
    <row r="6557" spans="23:23">
      <c r="W6557"/>
    </row>
    <row r="6558" spans="23:23">
      <c r="W6558"/>
    </row>
    <row r="6559" spans="23:23">
      <c r="W6559"/>
    </row>
    <row r="6560" spans="23:23">
      <c r="W6560"/>
    </row>
    <row r="6561" spans="23:23">
      <c r="W6561"/>
    </row>
    <row r="6562" spans="23:23">
      <c r="W6562"/>
    </row>
    <row r="6563" spans="23:23">
      <c r="W6563"/>
    </row>
    <row r="6564" spans="23:23">
      <c r="W6564"/>
    </row>
    <row r="6565" spans="23:23">
      <c r="W6565"/>
    </row>
    <row r="6566" spans="23:23">
      <c r="W6566"/>
    </row>
    <row r="6567" spans="23:23">
      <c r="W6567"/>
    </row>
    <row r="6568" spans="23:23">
      <c r="W6568"/>
    </row>
    <row r="6569" spans="23:23">
      <c r="W6569"/>
    </row>
    <row r="6570" spans="23:23">
      <c r="W6570"/>
    </row>
    <row r="6571" spans="23:23">
      <c r="W6571"/>
    </row>
    <row r="6572" spans="23:23">
      <c r="W6572"/>
    </row>
    <row r="6573" spans="23:23">
      <c r="W6573"/>
    </row>
    <row r="6574" spans="23:23">
      <c r="W6574"/>
    </row>
    <row r="6575" spans="23:23">
      <c r="W6575"/>
    </row>
    <row r="6576" spans="23:23">
      <c r="W6576"/>
    </row>
    <row r="6577" spans="23:23">
      <c r="W6577"/>
    </row>
    <row r="6578" spans="23:23">
      <c r="W6578"/>
    </row>
    <row r="6579" spans="23:23">
      <c r="W6579"/>
    </row>
    <row r="6580" spans="23:23">
      <c r="W6580"/>
    </row>
    <row r="6581" spans="23:23">
      <c r="W6581"/>
    </row>
    <row r="6582" spans="23:23">
      <c r="W6582"/>
    </row>
    <row r="6583" spans="23:23">
      <c r="W6583"/>
    </row>
    <row r="6584" spans="23:23">
      <c r="W6584"/>
    </row>
    <row r="6585" spans="23:23">
      <c r="W6585"/>
    </row>
    <row r="6586" spans="23:23">
      <c r="W6586"/>
    </row>
    <row r="6587" spans="23:23">
      <c r="W6587"/>
    </row>
    <row r="6588" spans="23:23">
      <c r="W6588"/>
    </row>
    <row r="6589" spans="23:23">
      <c r="W6589"/>
    </row>
    <row r="6590" spans="23:23">
      <c r="W6590"/>
    </row>
    <row r="6591" spans="23:23">
      <c r="W6591"/>
    </row>
    <row r="6592" spans="23:23">
      <c r="W6592"/>
    </row>
    <row r="6593" spans="23:23">
      <c r="W6593"/>
    </row>
    <row r="6594" spans="23:23">
      <c r="W6594"/>
    </row>
    <row r="6595" spans="23:23">
      <c r="W6595"/>
    </row>
    <row r="6596" spans="23:23">
      <c r="W6596"/>
    </row>
    <row r="6597" spans="23:23">
      <c r="W6597"/>
    </row>
    <row r="6598" spans="23:23">
      <c r="W6598"/>
    </row>
    <row r="6599" spans="23:23">
      <c r="W6599"/>
    </row>
    <row r="6600" spans="23:23">
      <c r="W6600"/>
    </row>
    <row r="6601" spans="23:23">
      <c r="W6601"/>
    </row>
    <row r="6602" spans="23:23">
      <c r="W6602"/>
    </row>
    <row r="6603" spans="23:23">
      <c r="W6603"/>
    </row>
    <row r="6604" spans="23:23">
      <c r="W6604"/>
    </row>
    <row r="6605" spans="23:23">
      <c r="W6605"/>
    </row>
    <row r="6606" spans="23:23">
      <c r="W6606"/>
    </row>
    <row r="6607" spans="23:23">
      <c r="W6607"/>
    </row>
    <row r="6608" spans="23:23">
      <c r="W6608"/>
    </row>
    <row r="6609" spans="23:23">
      <c r="W6609"/>
    </row>
    <row r="6610" spans="23:23">
      <c r="W6610"/>
    </row>
    <row r="6611" spans="23:23">
      <c r="W6611"/>
    </row>
    <row r="6612" spans="23:23">
      <c r="W6612"/>
    </row>
    <row r="6613" spans="23:23">
      <c r="W6613"/>
    </row>
    <row r="6614" spans="23:23">
      <c r="W6614"/>
    </row>
    <row r="6615" spans="23:23">
      <c r="W6615"/>
    </row>
    <row r="6616" spans="23:23">
      <c r="W6616"/>
    </row>
    <row r="6617" spans="23:23">
      <c r="W6617"/>
    </row>
    <row r="6618" spans="23:23">
      <c r="W6618"/>
    </row>
    <row r="6619" spans="23:23">
      <c r="W6619"/>
    </row>
    <row r="6620" spans="23:23">
      <c r="W6620"/>
    </row>
    <row r="6621" spans="23:23">
      <c r="W6621"/>
    </row>
    <row r="6622" spans="23:23">
      <c r="W6622"/>
    </row>
    <row r="6623" spans="23:23">
      <c r="W6623"/>
    </row>
    <row r="6624" spans="23:23">
      <c r="W6624"/>
    </row>
    <row r="6625" spans="23:23">
      <c r="W6625"/>
    </row>
    <row r="6626" spans="23:23">
      <c r="W6626"/>
    </row>
    <row r="6627" spans="23:23">
      <c r="W6627"/>
    </row>
    <row r="6628" spans="23:23">
      <c r="W6628"/>
    </row>
    <row r="6629" spans="23:23">
      <c r="W6629"/>
    </row>
    <row r="6630" spans="23:23">
      <c r="W6630"/>
    </row>
    <row r="6631" spans="23:23">
      <c r="W6631"/>
    </row>
    <row r="6632" spans="23:23">
      <c r="W6632"/>
    </row>
    <row r="6633" spans="23:23">
      <c r="W6633"/>
    </row>
    <row r="6634" spans="23:23">
      <c r="W6634"/>
    </row>
    <row r="6635" spans="23:23">
      <c r="W6635"/>
    </row>
    <row r="6636" spans="23:23">
      <c r="W6636"/>
    </row>
    <row r="6637" spans="23:23">
      <c r="W6637"/>
    </row>
    <row r="6638" spans="23:23">
      <c r="W6638"/>
    </row>
    <row r="6639" spans="23:23">
      <c r="W6639"/>
    </row>
    <row r="6640" spans="23:23">
      <c r="W6640"/>
    </row>
    <row r="6641" spans="23:23">
      <c r="W6641"/>
    </row>
    <row r="6642" spans="23:23">
      <c r="W6642"/>
    </row>
    <row r="6643" spans="23:23">
      <c r="W6643"/>
    </row>
    <row r="6644" spans="23:23">
      <c r="W6644"/>
    </row>
    <row r="6645" spans="23:23">
      <c r="W6645"/>
    </row>
    <row r="6646" spans="23:23">
      <c r="W6646"/>
    </row>
    <row r="6647" spans="23:23">
      <c r="W6647"/>
    </row>
    <row r="6648" spans="23:23">
      <c r="W6648"/>
    </row>
    <row r="6649" spans="23:23">
      <c r="W6649"/>
    </row>
    <row r="6650" spans="23:23">
      <c r="W6650"/>
    </row>
    <row r="6651" spans="23:23">
      <c r="W6651"/>
    </row>
    <row r="6652" spans="23:23">
      <c r="W6652"/>
    </row>
    <row r="6653" spans="23:23">
      <c r="W6653"/>
    </row>
    <row r="6654" spans="23:23">
      <c r="W6654"/>
    </row>
    <row r="6655" spans="23:23">
      <c r="W6655"/>
    </row>
    <row r="6656" spans="23:23">
      <c r="W6656"/>
    </row>
    <row r="6657" spans="23:23">
      <c r="W6657"/>
    </row>
    <row r="6658" spans="23:23">
      <c r="W6658"/>
    </row>
    <row r="6659" spans="23:23">
      <c r="W6659"/>
    </row>
    <row r="6660" spans="23:23">
      <c r="W6660"/>
    </row>
    <row r="6661" spans="23:23">
      <c r="W6661"/>
    </row>
    <row r="6662" spans="23:23">
      <c r="W6662"/>
    </row>
    <row r="6663" spans="23:23">
      <c r="W6663"/>
    </row>
    <row r="6664" spans="23:23">
      <c r="W6664"/>
    </row>
    <row r="6665" spans="23:23">
      <c r="W6665"/>
    </row>
    <row r="6666" spans="23:23">
      <c r="W6666"/>
    </row>
    <row r="6667" spans="23:23">
      <c r="W6667"/>
    </row>
    <row r="6668" spans="23:23">
      <c r="W6668"/>
    </row>
    <row r="6669" spans="23:23">
      <c r="W6669"/>
    </row>
    <row r="6670" spans="23:23">
      <c r="W6670"/>
    </row>
    <row r="6671" spans="23:23">
      <c r="W6671"/>
    </row>
    <row r="6672" spans="23:23">
      <c r="W6672"/>
    </row>
    <row r="6673" spans="23:23">
      <c r="W6673"/>
    </row>
    <row r="6674" spans="23:23">
      <c r="W6674"/>
    </row>
    <row r="6675" spans="23:23">
      <c r="W6675"/>
    </row>
    <row r="6676" spans="23:23">
      <c r="W6676"/>
    </row>
    <row r="6677" spans="23:23">
      <c r="W6677"/>
    </row>
    <row r="6678" spans="23:23">
      <c r="W6678"/>
    </row>
    <row r="6679" spans="23:23">
      <c r="W6679"/>
    </row>
    <row r="6680" spans="23:23">
      <c r="W6680"/>
    </row>
    <row r="6681" spans="23:23">
      <c r="W6681"/>
    </row>
    <row r="6682" spans="23:23">
      <c r="W6682"/>
    </row>
    <row r="6683" spans="23:23">
      <c r="W6683"/>
    </row>
    <row r="6684" spans="23:23">
      <c r="W6684"/>
    </row>
    <row r="6685" spans="23:23">
      <c r="W6685"/>
    </row>
    <row r="6686" spans="23:23">
      <c r="W6686"/>
    </row>
    <row r="6687" spans="23:23">
      <c r="W6687"/>
    </row>
    <row r="6688" spans="23:23">
      <c r="W6688"/>
    </row>
    <row r="6689" spans="23:23">
      <c r="W6689"/>
    </row>
    <row r="6690" spans="23:23">
      <c r="W6690"/>
    </row>
    <row r="6691" spans="23:23">
      <c r="W6691"/>
    </row>
    <row r="6692" spans="23:23">
      <c r="W6692"/>
    </row>
    <row r="6693" spans="23:23">
      <c r="W6693"/>
    </row>
    <row r="6694" spans="23:23">
      <c r="W6694"/>
    </row>
    <row r="6695" spans="23:23">
      <c r="W6695"/>
    </row>
    <row r="6696" spans="23:23">
      <c r="W6696"/>
    </row>
    <row r="6697" spans="23:23">
      <c r="W6697"/>
    </row>
    <row r="6698" spans="23:23">
      <c r="W6698"/>
    </row>
    <row r="6699" spans="23:23">
      <c r="W6699"/>
    </row>
    <row r="6700" spans="23:23">
      <c r="W6700"/>
    </row>
    <row r="6701" spans="23:23">
      <c r="W6701"/>
    </row>
    <row r="6702" spans="23:23">
      <c r="W6702"/>
    </row>
    <row r="6703" spans="23:23">
      <c r="W6703"/>
    </row>
    <row r="6704" spans="23:23">
      <c r="W6704"/>
    </row>
    <row r="6705" spans="23:23">
      <c r="W6705"/>
    </row>
    <row r="6706" spans="23:23">
      <c r="W6706"/>
    </row>
    <row r="6707" spans="23:23">
      <c r="W6707"/>
    </row>
    <row r="6708" spans="23:23">
      <c r="W6708"/>
    </row>
    <row r="6709" spans="23:23">
      <c r="W6709"/>
    </row>
    <row r="6710" spans="23:23">
      <c r="W6710"/>
    </row>
    <row r="6711" spans="23:23">
      <c r="W6711"/>
    </row>
    <row r="6712" spans="23:23">
      <c r="W6712"/>
    </row>
    <row r="6713" spans="23:23">
      <c r="W6713"/>
    </row>
    <row r="6714" spans="23:23">
      <c r="W6714"/>
    </row>
    <row r="6715" spans="23:23">
      <c r="W6715"/>
    </row>
    <row r="6716" spans="23:23">
      <c r="W6716"/>
    </row>
    <row r="6717" spans="23:23">
      <c r="W6717"/>
    </row>
    <row r="6718" spans="23:23">
      <c r="W6718"/>
    </row>
    <row r="6719" spans="23:23">
      <c r="W6719"/>
    </row>
    <row r="6720" spans="23:23">
      <c r="W6720"/>
    </row>
    <row r="6721" spans="23:23">
      <c r="W6721"/>
    </row>
    <row r="6722" spans="23:23">
      <c r="W6722"/>
    </row>
    <row r="6723" spans="23:23">
      <c r="W6723"/>
    </row>
    <row r="6724" spans="23:23">
      <c r="W6724"/>
    </row>
    <row r="6725" spans="23:23">
      <c r="W6725"/>
    </row>
    <row r="6726" spans="23:23">
      <c r="W6726"/>
    </row>
    <row r="6727" spans="23:23">
      <c r="W6727"/>
    </row>
    <row r="6728" spans="23:23">
      <c r="W6728"/>
    </row>
    <row r="6729" spans="23:23">
      <c r="W6729"/>
    </row>
    <row r="6730" spans="23:23">
      <c r="W6730"/>
    </row>
    <row r="6731" spans="23:23">
      <c r="W6731"/>
    </row>
    <row r="6732" spans="23:23">
      <c r="W6732"/>
    </row>
    <row r="6733" spans="23:23">
      <c r="W6733"/>
    </row>
    <row r="6734" spans="23:23">
      <c r="W6734"/>
    </row>
    <row r="6735" spans="23:23">
      <c r="W6735"/>
    </row>
    <row r="6736" spans="23:23">
      <c r="W6736"/>
    </row>
    <row r="6737" spans="23:23">
      <c r="W6737"/>
    </row>
    <row r="6738" spans="23:23">
      <c r="W6738"/>
    </row>
    <row r="6739" spans="23:23">
      <c r="W6739"/>
    </row>
    <row r="6740" spans="23:23">
      <c r="W6740"/>
    </row>
    <row r="6741" spans="23:23">
      <c r="W6741"/>
    </row>
    <row r="6742" spans="23:23">
      <c r="W6742"/>
    </row>
    <row r="6743" spans="23:23">
      <c r="W6743"/>
    </row>
    <row r="6744" spans="23:23">
      <c r="W6744"/>
    </row>
    <row r="6745" spans="23:23">
      <c r="W6745"/>
    </row>
    <row r="6746" spans="23:23">
      <c r="W6746"/>
    </row>
    <row r="6747" spans="23:23">
      <c r="W6747"/>
    </row>
    <row r="6748" spans="23:23">
      <c r="W6748"/>
    </row>
    <row r="6749" spans="23:23">
      <c r="W6749"/>
    </row>
    <row r="6750" spans="23:23">
      <c r="W6750"/>
    </row>
    <row r="6751" spans="23:23">
      <c r="W6751"/>
    </row>
    <row r="6752" spans="23:23">
      <c r="W6752"/>
    </row>
    <row r="6753" spans="23:23">
      <c r="W6753"/>
    </row>
    <row r="6754" spans="23:23">
      <c r="W6754"/>
    </row>
    <row r="6755" spans="23:23">
      <c r="W6755"/>
    </row>
    <row r="6756" spans="23:23">
      <c r="W6756"/>
    </row>
    <row r="6757" spans="23:23">
      <c r="W6757"/>
    </row>
    <row r="6758" spans="23:23">
      <c r="W6758"/>
    </row>
    <row r="6759" spans="23:23">
      <c r="W6759"/>
    </row>
    <row r="6760" spans="23:23">
      <c r="W6760"/>
    </row>
    <row r="6761" spans="23:23">
      <c r="W6761"/>
    </row>
    <row r="6762" spans="23:23">
      <c r="W6762"/>
    </row>
    <row r="6763" spans="23:23">
      <c r="W6763"/>
    </row>
    <row r="6764" spans="23:23">
      <c r="W6764"/>
    </row>
    <row r="6765" spans="23:23">
      <c r="W6765"/>
    </row>
    <row r="6766" spans="23:23">
      <c r="W6766"/>
    </row>
    <row r="6767" spans="23:23">
      <c r="W6767"/>
    </row>
    <row r="6768" spans="23:23">
      <c r="W6768"/>
    </row>
    <row r="6769" spans="23:23">
      <c r="W6769"/>
    </row>
    <row r="6770" spans="23:23">
      <c r="W6770"/>
    </row>
    <row r="6771" spans="23:23">
      <c r="W6771"/>
    </row>
    <row r="6772" spans="23:23">
      <c r="W6772"/>
    </row>
    <row r="6773" spans="23:23">
      <c r="W6773"/>
    </row>
    <row r="6774" spans="23:23">
      <c r="W6774"/>
    </row>
    <row r="6775" spans="23:23">
      <c r="W6775"/>
    </row>
    <row r="6776" spans="23:23">
      <c r="W6776"/>
    </row>
    <row r="6777" spans="23:23">
      <c r="W6777"/>
    </row>
    <row r="6778" spans="23:23">
      <c r="W6778"/>
    </row>
    <row r="6779" spans="23:23">
      <c r="W6779"/>
    </row>
    <row r="6780" spans="23:23">
      <c r="W6780"/>
    </row>
    <row r="6781" spans="23:23">
      <c r="W6781"/>
    </row>
    <row r="6782" spans="23:23">
      <c r="W6782"/>
    </row>
    <row r="6783" spans="23:23">
      <c r="W6783"/>
    </row>
    <row r="6784" spans="23:23">
      <c r="W6784"/>
    </row>
    <row r="6785" spans="23:23">
      <c r="W6785"/>
    </row>
    <row r="6786" spans="23:23">
      <c r="W6786"/>
    </row>
    <row r="6787" spans="23:23">
      <c r="W6787"/>
    </row>
    <row r="6788" spans="23:23">
      <c r="W6788"/>
    </row>
    <row r="6789" spans="23:23">
      <c r="W6789"/>
    </row>
    <row r="6790" spans="23:23">
      <c r="W6790"/>
    </row>
    <row r="6791" spans="23:23">
      <c r="W6791"/>
    </row>
    <row r="6792" spans="23:23">
      <c r="W6792"/>
    </row>
    <row r="6793" spans="23:23">
      <c r="W6793"/>
    </row>
    <row r="6794" spans="23:23">
      <c r="W6794"/>
    </row>
    <row r="6795" spans="23:23">
      <c r="W6795"/>
    </row>
    <row r="6796" spans="23:23">
      <c r="W6796"/>
    </row>
    <row r="6797" spans="23:23">
      <c r="W6797"/>
    </row>
    <row r="6798" spans="23:23">
      <c r="W6798"/>
    </row>
    <row r="6799" spans="23:23">
      <c r="W6799"/>
    </row>
    <row r="6800" spans="23:23">
      <c r="W6800"/>
    </row>
    <row r="6801" spans="23:23">
      <c r="W6801"/>
    </row>
    <row r="6802" spans="23:23">
      <c r="W6802"/>
    </row>
    <row r="6803" spans="23:23">
      <c r="W6803"/>
    </row>
    <row r="6804" spans="23:23">
      <c r="W6804"/>
    </row>
    <row r="6805" spans="23:23">
      <c r="W6805"/>
    </row>
    <row r="6806" spans="23:23">
      <c r="W6806"/>
    </row>
    <row r="6807" spans="23:23">
      <c r="W6807"/>
    </row>
    <row r="6808" spans="23:23">
      <c r="W6808"/>
    </row>
    <row r="6809" spans="23:23">
      <c r="W6809"/>
    </row>
    <row r="6810" spans="23:23">
      <c r="W6810"/>
    </row>
    <row r="6811" spans="23:23">
      <c r="W6811"/>
    </row>
    <row r="6812" spans="23:23">
      <c r="W6812"/>
    </row>
    <row r="6813" spans="23:23">
      <c r="W6813"/>
    </row>
    <row r="6814" spans="23:23">
      <c r="W6814"/>
    </row>
    <row r="6815" spans="23:23">
      <c r="W6815"/>
    </row>
    <row r="6816" spans="23:23">
      <c r="W6816"/>
    </row>
    <row r="6817" spans="23:23">
      <c r="W6817"/>
    </row>
    <row r="6818" spans="23:23">
      <c r="W6818"/>
    </row>
    <row r="6819" spans="23:23">
      <c r="W6819"/>
    </row>
    <row r="6820" spans="23:23">
      <c r="W6820"/>
    </row>
    <row r="6821" spans="23:23">
      <c r="W6821"/>
    </row>
    <row r="6822" spans="23:23">
      <c r="W6822"/>
    </row>
    <row r="6823" spans="23:23">
      <c r="W6823"/>
    </row>
    <row r="6824" spans="23:23">
      <c r="W6824"/>
    </row>
    <row r="6825" spans="23:23">
      <c r="W6825"/>
    </row>
    <row r="6826" spans="23:23">
      <c r="W6826"/>
    </row>
    <row r="6827" spans="23:23">
      <c r="W6827"/>
    </row>
    <row r="6828" spans="23:23">
      <c r="W6828"/>
    </row>
    <row r="6829" spans="23:23">
      <c r="W6829"/>
    </row>
    <row r="6830" spans="23:23">
      <c r="W6830"/>
    </row>
    <row r="6831" spans="23:23">
      <c r="W6831"/>
    </row>
    <row r="6832" spans="23:23">
      <c r="W6832"/>
    </row>
    <row r="6833" spans="23:23">
      <c r="W6833"/>
    </row>
    <row r="6834" spans="23:23">
      <c r="W6834"/>
    </row>
    <row r="6835" spans="23:23">
      <c r="W6835"/>
    </row>
    <row r="6836" spans="23:23">
      <c r="W6836"/>
    </row>
    <row r="6837" spans="23:23">
      <c r="W6837"/>
    </row>
    <row r="6838" spans="23:23">
      <c r="W6838"/>
    </row>
    <row r="6839" spans="23:23">
      <c r="W6839"/>
    </row>
    <row r="6840" spans="23:23">
      <c r="W6840"/>
    </row>
    <row r="6841" spans="23:23">
      <c r="W6841"/>
    </row>
    <row r="6842" spans="23:23">
      <c r="W6842"/>
    </row>
    <row r="6843" spans="23:23">
      <c r="W6843"/>
    </row>
    <row r="6844" spans="23:23">
      <c r="W6844"/>
    </row>
    <row r="6845" spans="23:23">
      <c r="W6845"/>
    </row>
    <row r="6846" spans="23:23">
      <c r="W6846"/>
    </row>
    <row r="6847" spans="23:23">
      <c r="W6847"/>
    </row>
    <row r="6848" spans="23:23">
      <c r="W6848"/>
    </row>
    <row r="6849" spans="23:23">
      <c r="W6849"/>
    </row>
    <row r="6850" spans="23:23">
      <c r="W6850"/>
    </row>
    <row r="6851" spans="23:23">
      <c r="W6851"/>
    </row>
    <row r="6852" spans="23:23">
      <c r="W6852"/>
    </row>
    <row r="6853" spans="23:23">
      <c r="W6853"/>
    </row>
    <row r="6854" spans="23:23">
      <c r="W6854"/>
    </row>
    <row r="6855" spans="23:23">
      <c r="W6855"/>
    </row>
    <row r="6856" spans="23:23">
      <c r="W6856"/>
    </row>
    <row r="6857" spans="23:23">
      <c r="W6857"/>
    </row>
    <row r="6858" spans="23:23">
      <c r="W6858"/>
    </row>
    <row r="6859" spans="23:23">
      <c r="W6859"/>
    </row>
    <row r="6860" spans="23:23">
      <c r="W6860"/>
    </row>
    <row r="6861" spans="23:23">
      <c r="W6861"/>
    </row>
    <row r="6862" spans="23:23">
      <c r="W6862"/>
    </row>
    <row r="6863" spans="23:23">
      <c r="W6863"/>
    </row>
    <row r="6864" spans="23:23">
      <c r="W6864"/>
    </row>
    <row r="6865" spans="23:23">
      <c r="W6865"/>
    </row>
    <row r="6866" spans="23:23">
      <c r="W6866"/>
    </row>
    <row r="6867" spans="23:23">
      <c r="W6867"/>
    </row>
    <row r="6868" spans="23:23">
      <c r="W6868"/>
    </row>
    <row r="6869" spans="23:23">
      <c r="W6869"/>
    </row>
    <row r="6870" spans="23:23">
      <c r="W6870"/>
    </row>
    <row r="6871" spans="23:23">
      <c r="W6871"/>
    </row>
    <row r="6872" spans="23:23">
      <c r="W6872"/>
    </row>
    <row r="6873" spans="23:23">
      <c r="W6873"/>
    </row>
    <row r="6874" spans="23:23">
      <c r="W6874"/>
    </row>
    <row r="6875" spans="23:23">
      <c r="W6875"/>
    </row>
    <row r="6876" spans="23:23">
      <c r="W6876"/>
    </row>
    <row r="6877" spans="23:23">
      <c r="W6877"/>
    </row>
    <row r="6878" spans="23:23">
      <c r="W6878"/>
    </row>
    <row r="6879" spans="23:23">
      <c r="W6879"/>
    </row>
    <row r="6880" spans="23:23">
      <c r="W6880"/>
    </row>
    <row r="6881" spans="23:23">
      <c r="W6881"/>
    </row>
    <row r="6882" spans="23:23">
      <c r="W6882"/>
    </row>
    <row r="6883" spans="23:23">
      <c r="W6883"/>
    </row>
    <row r="6884" spans="23:23">
      <c r="W6884"/>
    </row>
    <row r="6885" spans="23:23">
      <c r="W6885"/>
    </row>
    <row r="6886" spans="23:23">
      <c r="W6886"/>
    </row>
    <row r="6887" spans="23:23">
      <c r="W6887"/>
    </row>
    <row r="6888" spans="23:23">
      <c r="W6888"/>
    </row>
    <row r="6889" spans="23:23">
      <c r="W6889"/>
    </row>
    <row r="6890" spans="23:23">
      <c r="W6890"/>
    </row>
    <row r="6891" spans="23:23">
      <c r="W6891"/>
    </row>
    <row r="6892" spans="23:23">
      <c r="W6892"/>
    </row>
    <row r="6893" spans="23:23">
      <c r="W6893"/>
    </row>
    <row r="6894" spans="23:23">
      <c r="W6894"/>
    </row>
    <row r="6895" spans="23:23">
      <c r="W6895"/>
    </row>
    <row r="6896" spans="23:23">
      <c r="W6896"/>
    </row>
    <row r="6897" spans="23:23">
      <c r="W6897"/>
    </row>
    <row r="6898" spans="23:23">
      <c r="W6898"/>
    </row>
    <row r="6899" spans="23:23">
      <c r="W6899"/>
    </row>
    <row r="6900" spans="23:23">
      <c r="W6900"/>
    </row>
    <row r="6901" spans="23:23">
      <c r="W6901"/>
    </row>
    <row r="6902" spans="23:23">
      <c r="W6902"/>
    </row>
    <row r="6903" spans="23:23">
      <c r="W6903"/>
    </row>
    <row r="6904" spans="23:23">
      <c r="W6904"/>
    </row>
    <row r="6905" spans="23:23">
      <c r="W6905"/>
    </row>
    <row r="6906" spans="23:23">
      <c r="W6906"/>
    </row>
    <row r="6907" spans="23:23">
      <c r="W6907"/>
    </row>
    <row r="6908" spans="23:23">
      <c r="W6908"/>
    </row>
    <row r="6909" spans="23:23">
      <c r="W6909"/>
    </row>
    <row r="6910" spans="23:23">
      <c r="W6910"/>
    </row>
    <row r="6911" spans="23:23">
      <c r="W6911"/>
    </row>
    <row r="6912" spans="23:23">
      <c r="W6912"/>
    </row>
    <row r="6913" spans="23:23">
      <c r="W6913"/>
    </row>
    <row r="6914" spans="23:23">
      <c r="W6914"/>
    </row>
    <row r="6915" spans="23:23">
      <c r="W6915"/>
    </row>
    <row r="6916" spans="23:23">
      <c r="W6916"/>
    </row>
    <row r="6917" spans="23:23">
      <c r="W6917"/>
    </row>
    <row r="6918" spans="23:23">
      <c r="W6918"/>
    </row>
    <row r="6919" spans="23:23">
      <c r="W6919"/>
    </row>
    <row r="6920" spans="23:23">
      <c r="W6920"/>
    </row>
    <row r="6921" spans="23:23">
      <c r="W6921"/>
    </row>
    <row r="6922" spans="23:23">
      <c r="W6922"/>
    </row>
    <row r="6923" spans="23:23">
      <c r="W6923"/>
    </row>
    <row r="6924" spans="23:23">
      <c r="W6924"/>
    </row>
    <row r="6925" spans="23:23">
      <c r="W6925"/>
    </row>
    <row r="6926" spans="23:23">
      <c r="W6926"/>
    </row>
    <row r="6927" spans="23:23">
      <c r="W6927"/>
    </row>
    <row r="6928" spans="23:23">
      <c r="W6928"/>
    </row>
    <row r="6929" spans="23:23">
      <c r="W6929"/>
    </row>
    <row r="6930" spans="23:23">
      <c r="W6930"/>
    </row>
    <row r="6931" spans="23:23">
      <c r="W6931"/>
    </row>
    <row r="6932" spans="23:23">
      <c r="W6932"/>
    </row>
    <row r="6933" spans="23:23">
      <c r="W6933"/>
    </row>
    <row r="6934" spans="23:23">
      <c r="W6934"/>
    </row>
    <row r="6935" spans="23:23">
      <c r="W6935"/>
    </row>
    <row r="6936" spans="23:23">
      <c r="W6936"/>
    </row>
    <row r="6937" spans="23:23">
      <c r="W6937"/>
    </row>
    <row r="6938" spans="23:23">
      <c r="W6938"/>
    </row>
    <row r="6939" spans="23:23">
      <c r="W6939"/>
    </row>
    <row r="6940" spans="23:23">
      <c r="W6940"/>
    </row>
    <row r="6941" spans="23:23">
      <c r="W6941"/>
    </row>
    <row r="6942" spans="23:23">
      <c r="W6942"/>
    </row>
    <row r="6943" spans="23:23">
      <c r="W6943"/>
    </row>
    <row r="6944" spans="23:23">
      <c r="W6944"/>
    </row>
    <row r="6945" spans="23:23">
      <c r="W6945"/>
    </row>
    <row r="6946" spans="23:23">
      <c r="W6946"/>
    </row>
    <row r="6947" spans="23:23">
      <c r="W6947"/>
    </row>
    <row r="6948" spans="23:23">
      <c r="W6948"/>
    </row>
    <row r="6949" spans="23:23">
      <c r="W6949"/>
    </row>
    <row r="6950" spans="23:23">
      <c r="W6950"/>
    </row>
    <row r="6951" spans="23:23">
      <c r="W6951"/>
    </row>
    <row r="6952" spans="23:23">
      <c r="W6952"/>
    </row>
    <row r="6953" spans="23:23">
      <c r="W6953"/>
    </row>
    <row r="6954" spans="23:23">
      <c r="W6954"/>
    </row>
    <row r="6955" spans="23:23">
      <c r="W6955"/>
    </row>
    <row r="6956" spans="23:23">
      <c r="W6956"/>
    </row>
    <row r="6957" spans="23:23">
      <c r="W6957"/>
    </row>
    <row r="6958" spans="23:23">
      <c r="W6958"/>
    </row>
    <row r="6959" spans="23:23">
      <c r="W6959"/>
    </row>
    <row r="6960" spans="23:23">
      <c r="W6960"/>
    </row>
    <row r="6961" spans="23:23">
      <c r="W6961"/>
    </row>
    <row r="6962" spans="23:23">
      <c r="W6962"/>
    </row>
    <row r="6963" spans="23:23">
      <c r="W6963"/>
    </row>
    <row r="6964" spans="23:23">
      <c r="W6964"/>
    </row>
    <row r="6965" spans="23:23">
      <c r="W6965"/>
    </row>
    <row r="6966" spans="23:23">
      <c r="W6966"/>
    </row>
    <row r="6967" spans="23:23">
      <c r="W6967"/>
    </row>
    <row r="6968" spans="23:23">
      <c r="W6968"/>
    </row>
    <row r="6969" spans="23:23">
      <c r="W6969"/>
    </row>
    <row r="6970" spans="23:23">
      <c r="W6970"/>
    </row>
    <row r="6971" spans="23:23">
      <c r="W6971"/>
    </row>
    <row r="6972" spans="23:23">
      <c r="W6972"/>
    </row>
    <row r="6973" spans="23:23">
      <c r="W6973"/>
    </row>
    <row r="6974" spans="23:23">
      <c r="W6974"/>
    </row>
    <row r="6975" spans="23:23">
      <c r="W6975"/>
    </row>
    <row r="6976" spans="23:23">
      <c r="W6976"/>
    </row>
    <row r="6977" spans="23:23">
      <c r="W6977"/>
    </row>
    <row r="6978" spans="23:23">
      <c r="W6978"/>
    </row>
    <row r="6979" spans="23:23">
      <c r="W6979"/>
    </row>
    <row r="6980" spans="23:23">
      <c r="W6980"/>
    </row>
    <row r="6981" spans="23:23">
      <c r="W6981"/>
    </row>
    <row r="6982" spans="23:23">
      <c r="W6982"/>
    </row>
    <row r="6983" spans="23:23">
      <c r="W6983"/>
    </row>
    <row r="6984" spans="23:23">
      <c r="W6984"/>
    </row>
    <row r="6985" spans="23:23">
      <c r="W6985"/>
    </row>
    <row r="6986" spans="23:23">
      <c r="W6986"/>
    </row>
    <row r="6987" spans="23:23">
      <c r="W6987"/>
    </row>
    <row r="6988" spans="23:23">
      <c r="W6988"/>
    </row>
    <row r="6989" spans="23:23">
      <c r="W6989"/>
    </row>
    <row r="6990" spans="23:23">
      <c r="W6990"/>
    </row>
    <row r="6991" spans="23:23">
      <c r="W6991"/>
    </row>
    <row r="6992" spans="23:23">
      <c r="W6992"/>
    </row>
    <row r="6993" spans="23:23">
      <c r="W6993"/>
    </row>
    <row r="6994" spans="23:23">
      <c r="W6994"/>
    </row>
    <row r="6995" spans="23:23">
      <c r="W6995"/>
    </row>
    <row r="6996" spans="23:23">
      <c r="W6996"/>
    </row>
    <row r="6997" spans="23:23">
      <c r="W6997"/>
    </row>
    <row r="6998" spans="23:23">
      <c r="W6998"/>
    </row>
    <row r="6999" spans="23:23">
      <c r="W6999"/>
    </row>
    <row r="7000" spans="23:23">
      <c r="W7000"/>
    </row>
    <row r="7001" spans="23:23">
      <c r="W7001"/>
    </row>
    <row r="7002" spans="23:23">
      <c r="W7002"/>
    </row>
    <row r="7003" spans="23:23">
      <c r="W7003"/>
    </row>
    <row r="7004" spans="23:23">
      <c r="W7004"/>
    </row>
    <row r="7005" spans="23:23">
      <c r="W7005"/>
    </row>
    <row r="7006" spans="23:23">
      <c r="W7006"/>
    </row>
    <row r="7007" spans="23:23">
      <c r="W7007"/>
    </row>
    <row r="7008" spans="23:23">
      <c r="W7008"/>
    </row>
    <row r="7009" spans="23:23">
      <c r="W7009"/>
    </row>
    <row r="7010" spans="23:23">
      <c r="W7010"/>
    </row>
    <row r="7011" spans="23:23">
      <c r="W7011"/>
    </row>
    <row r="7012" spans="23:23">
      <c r="W7012"/>
    </row>
    <row r="7013" spans="23:23">
      <c r="W7013"/>
    </row>
    <row r="7014" spans="23:23">
      <c r="W7014"/>
    </row>
    <row r="7015" spans="23:23">
      <c r="W7015"/>
    </row>
    <row r="7016" spans="23:23">
      <c r="W7016"/>
    </row>
    <row r="7017" spans="23:23">
      <c r="W7017"/>
    </row>
    <row r="7018" spans="23:23">
      <c r="W7018"/>
    </row>
    <row r="7019" spans="23:23">
      <c r="W7019"/>
    </row>
    <row r="7020" spans="23:23">
      <c r="W7020"/>
    </row>
    <row r="7021" spans="23:23">
      <c r="W7021"/>
    </row>
    <row r="7022" spans="23:23">
      <c r="W7022"/>
    </row>
    <row r="7023" spans="23:23">
      <c r="W7023"/>
    </row>
    <row r="7024" spans="23:23">
      <c r="W7024"/>
    </row>
    <row r="7025" spans="23:23">
      <c r="W7025"/>
    </row>
    <row r="7026" spans="23:23">
      <c r="W7026"/>
    </row>
    <row r="7027" spans="23:23">
      <c r="W7027"/>
    </row>
    <row r="7028" spans="23:23">
      <c r="W7028"/>
    </row>
    <row r="7029" spans="23:23">
      <c r="W7029"/>
    </row>
    <row r="7030" spans="23:23">
      <c r="W7030"/>
    </row>
    <row r="7031" spans="23:23">
      <c r="W7031"/>
    </row>
    <row r="7032" spans="23:23">
      <c r="W7032"/>
    </row>
    <row r="7033" spans="23:23">
      <c r="W7033"/>
    </row>
    <row r="7034" spans="23:23">
      <c r="W7034"/>
    </row>
    <row r="7035" spans="23:23">
      <c r="W7035"/>
    </row>
    <row r="7036" spans="23:23">
      <c r="W7036"/>
    </row>
    <row r="7037" spans="23:23">
      <c r="W7037"/>
    </row>
    <row r="7038" spans="23:23">
      <c r="W7038"/>
    </row>
    <row r="7039" spans="23:23">
      <c r="W7039"/>
    </row>
    <row r="7040" spans="23:23">
      <c r="W7040"/>
    </row>
    <row r="7041" spans="23:23">
      <c r="W7041"/>
    </row>
    <row r="7042" spans="23:23">
      <c r="W7042"/>
    </row>
    <row r="7043" spans="23:23">
      <c r="W7043"/>
    </row>
    <row r="7044" spans="23:23">
      <c r="W7044"/>
    </row>
    <row r="7045" spans="23:23">
      <c r="W7045"/>
    </row>
    <row r="7046" spans="23:23">
      <c r="W7046"/>
    </row>
    <row r="7047" spans="23:23">
      <c r="W7047"/>
    </row>
    <row r="7048" spans="23:23">
      <c r="W7048"/>
    </row>
    <row r="7049" spans="23:23">
      <c r="W7049"/>
    </row>
    <row r="7050" spans="23:23">
      <c r="W7050"/>
    </row>
    <row r="7051" spans="23:23">
      <c r="W7051"/>
    </row>
    <row r="7052" spans="23:23">
      <c r="W7052"/>
    </row>
    <row r="7053" spans="23:23">
      <c r="W7053"/>
    </row>
    <row r="7054" spans="23:23">
      <c r="W7054"/>
    </row>
    <row r="7055" spans="23:23">
      <c r="W7055"/>
    </row>
    <row r="7056" spans="23:23">
      <c r="W7056"/>
    </row>
    <row r="7057" spans="23:23">
      <c r="W7057"/>
    </row>
    <row r="7058" spans="23:23">
      <c r="W7058"/>
    </row>
    <row r="7059" spans="23:23">
      <c r="W7059"/>
    </row>
    <row r="7060" spans="23:23">
      <c r="W7060"/>
    </row>
    <row r="7061" spans="23:23">
      <c r="W7061"/>
    </row>
    <row r="7062" spans="23:23">
      <c r="W7062"/>
    </row>
    <row r="7063" spans="23:23">
      <c r="W7063"/>
    </row>
    <row r="7064" spans="23:23">
      <c r="W7064"/>
    </row>
    <row r="7065" spans="23:23">
      <c r="W7065"/>
    </row>
    <row r="7066" spans="23:23">
      <c r="W7066"/>
    </row>
    <row r="7067" spans="23:23">
      <c r="W7067"/>
    </row>
    <row r="7068" spans="23:23">
      <c r="W7068"/>
    </row>
    <row r="7069" spans="23:23">
      <c r="W7069"/>
    </row>
    <row r="7070" spans="23:23">
      <c r="W7070"/>
    </row>
    <row r="7071" spans="23:23">
      <c r="W7071"/>
    </row>
    <row r="7072" spans="23:23">
      <c r="W7072"/>
    </row>
    <row r="7073" spans="23:23">
      <c r="W7073"/>
    </row>
    <row r="7074" spans="23:23">
      <c r="W7074"/>
    </row>
    <row r="7075" spans="23:23">
      <c r="W7075"/>
    </row>
    <row r="7076" spans="23:23">
      <c r="W7076"/>
    </row>
    <row r="7077" spans="23:23">
      <c r="W7077"/>
    </row>
    <row r="7078" spans="23:23">
      <c r="W7078"/>
    </row>
    <row r="7079" spans="23:23">
      <c r="W7079"/>
    </row>
    <row r="7080" spans="23:23">
      <c r="W7080"/>
    </row>
    <row r="7081" spans="23:23">
      <c r="W7081"/>
    </row>
    <row r="7082" spans="23:23">
      <c r="W7082"/>
    </row>
    <row r="7083" spans="23:23">
      <c r="W7083"/>
    </row>
    <row r="7084" spans="23:23">
      <c r="W7084"/>
    </row>
    <row r="7085" spans="23:23">
      <c r="W7085"/>
    </row>
    <row r="7086" spans="23:23">
      <c r="W7086"/>
    </row>
    <row r="7087" spans="23:23">
      <c r="W7087"/>
    </row>
    <row r="7088" spans="23:23">
      <c r="W7088"/>
    </row>
    <row r="7089" spans="23:23">
      <c r="W7089"/>
    </row>
    <row r="7090" spans="23:23">
      <c r="W7090"/>
    </row>
    <row r="7091" spans="23:23">
      <c r="W7091"/>
    </row>
    <row r="7092" spans="23:23">
      <c r="W7092"/>
    </row>
    <row r="7093" spans="23:23">
      <c r="W7093"/>
    </row>
    <row r="7094" spans="23:23">
      <c r="W7094"/>
    </row>
    <row r="7095" spans="23:23">
      <c r="W7095"/>
    </row>
    <row r="7096" spans="23:23">
      <c r="W7096"/>
    </row>
    <row r="7097" spans="23:23">
      <c r="W7097"/>
    </row>
    <row r="7098" spans="23:23">
      <c r="W7098"/>
    </row>
    <row r="7099" spans="23:23">
      <c r="W7099"/>
    </row>
    <row r="7100" spans="23:23">
      <c r="W7100"/>
    </row>
    <row r="7101" spans="23:23">
      <c r="W7101"/>
    </row>
    <row r="7102" spans="23:23">
      <c r="W7102"/>
    </row>
    <row r="7103" spans="23:23">
      <c r="W7103"/>
    </row>
    <row r="7104" spans="23:23">
      <c r="W7104"/>
    </row>
    <row r="7105" spans="23:23">
      <c r="W7105"/>
    </row>
    <row r="7106" spans="23:23">
      <c r="W7106"/>
    </row>
    <row r="7107" spans="23:23">
      <c r="W7107"/>
    </row>
    <row r="7108" spans="23:23">
      <c r="W7108"/>
    </row>
    <row r="7109" spans="23:23">
      <c r="W7109"/>
    </row>
    <row r="7110" spans="23:23">
      <c r="W7110"/>
    </row>
    <row r="7111" spans="23:23">
      <c r="W7111"/>
    </row>
    <row r="7112" spans="23:23">
      <c r="W7112"/>
    </row>
    <row r="7113" spans="23:23">
      <c r="W7113"/>
    </row>
    <row r="7114" spans="23:23">
      <c r="W7114"/>
    </row>
    <row r="7115" spans="23:23">
      <c r="W7115"/>
    </row>
    <row r="7116" spans="23:23">
      <c r="W7116"/>
    </row>
    <row r="7117" spans="23:23">
      <c r="W7117"/>
    </row>
    <row r="7118" spans="23:23">
      <c r="W7118"/>
    </row>
    <row r="7119" spans="23:23">
      <c r="W7119"/>
    </row>
    <row r="7120" spans="23:23">
      <c r="W7120"/>
    </row>
    <row r="7121" spans="23:23">
      <c r="W7121"/>
    </row>
    <row r="7122" spans="23:23">
      <c r="W7122"/>
    </row>
    <row r="7123" spans="23:23">
      <c r="W7123"/>
    </row>
    <row r="7124" spans="23:23">
      <c r="W7124"/>
    </row>
    <row r="7125" spans="23:23">
      <c r="W7125"/>
    </row>
    <row r="7126" spans="23:23">
      <c r="W7126"/>
    </row>
    <row r="7127" spans="23:23">
      <c r="W7127"/>
    </row>
    <row r="7128" spans="23:23">
      <c r="W7128"/>
    </row>
    <row r="7129" spans="23:23">
      <c r="W7129"/>
    </row>
    <row r="7130" spans="23:23">
      <c r="W7130"/>
    </row>
    <row r="7131" spans="23:23">
      <c r="W7131"/>
    </row>
    <row r="7132" spans="23:23">
      <c r="W7132"/>
    </row>
    <row r="7133" spans="23:23">
      <c r="W7133"/>
    </row>
    <row r="7134" spans="23:23">
      <c r="W7134"/>
    </row>
    <row r="7135" spans="23:23">
      <c r="W7135"/>
    </row>
    <row r="7136" spans="23:23">
      <c r="W7136"/>
    </row>
    <row r="7137" spans="23:23">
      <c r="W7137"/>
    </row>
    <row r="7138" spans="23:23">
      <c r="W7138"/>
    </row>
    <row r="7139" spans="23:23">
      <c r="W7139"/>
    </row>
    <row r="7140" spans="23:23">
      <c r="W7140"/>
    </row>
    <row r="7141" spans="23:23">
      <c r="W7141"/>
    </row>
    <row r="7142" spans="23:23">
      <c r="W7142"/>
    </row>
    <row r="7143" spans="23:23">
      <c r="W7143"/>
    </row>
    <row r="7144" spans="23:23">
      <c r="W7144"/>
    </row>
    <row r="7145" spans="23:23">
      <c r="W7145"/>
    </row>
    <row r="7146" spans="23:23">
      <c r="W7146"/>
    </row>
    <row r="7147" spans="23:23">
      <c r="W7147"/>
    </row>
    <row r="7148" spans="23:23">
      <c r="W7148"/>
    </row>
    <row r="7149" spans="23:23">
      <c r="W7149"/>
    </row>
    <row r="7150" spans="23:23">
      <c r="W7150"/>
    </row>
    <row r="7151" spans="23:23">
      <c r="W7151"/>
    </row>
    <row r="7152" spans="23:23">
      <c r="W7152"/>
    </row>
    <row r="7153" spans="23:23">
      <c r="W7153"/>
    </row>
    <row r="7154" spans="23:23">
      <c r="W7154"/>
    </row>
    <row r="7155" spans="23:23">
      <c r="W7155"/>
    </row>
    <row r="7156" spans="23:23">
      <c r="W7156"/>
    </row>
    <row r="7157" spans="23:23">
      <c r="W7157"/>
    </row>
    <row r="7158" spans="23:23">
      <c r="W7158"/>
    </row>
    <row r="7159" spans="23:23">
      <c r="W7159"/>
    </row>
    <row r="7160" spans="23:23">
      <c r="W7160"/>
    </row>
    <row r="7161" spans="23:23">
      <c r="W7161"/>
    </row>
    <row r="7162" spans="23:23">
      <c r="W7162"/>
    </row>
    <row r="7163" spans="23:23">
      <c r="W7163"/>
    </row>
    <row r="7164" spans="23:23">
      <c r="W7164"/>
    </row>
    <row r="7165" spans="23:23">
      <c r="W7165"/>
    </row>
    <row r="7166" spans="23:23">
      <c r="W7166"/>
    </row>
    <row r="7167" spans="23:23">
      <c r="W7167"/>
    </row>
    <row r="7168" spans="23:23">
      <c r="W7168"/>
    </row>
    <row r="7169" spans="23:23">
      <c r="W7169"/>
    </row>
    <row r="7170" spans="23:23">
      <c r="W7170"/>
    </row>
    <row r="7171" spans="23:23">
      <c r="W7171"/>
    </row>
    <row r="7172" spans="23:23">
      <c r="W7172"/>
    </row>
    <row r="7173" spans="23:23">
      <c r="W7173"/>
    </row>
    <row r="7174" spans="23:23">
      <c r="W7174"/>
    </row>
    <row r="7175" spans="23:23">
      <c r="W7175"/>
    </row>
    <row r="7176" spans="23:23">
      <c r="W7176"/>
    </row>
    <row r="7177" spans="23:23">
      <c r="W7177"/>
    </row>
    <row r="7178" spans="23:23">
      <c r="W7178"/>
    </row>
    <row r="7179" spans="23:23">
      <c r="W7179"/>
    </row>
    <row r="7180" spans="23:23">
      <c r="W7180"/>
    </row>
    <row r="7181" spans="23:23">
      <c r="W7181"/>
    </row>
    <row r="7182" spans="23:23">
      <c r="W7182"/>
    </row>
    <row r="7183" spans="23:23">
      <c r="W7183"/>
    </row>
    <row r="7184" spans="23:23">
      <c r="W7184"/>
    </row>
    <row r="7185" spans="23:23">
      <c r="W7185"/>
    </row>
    <row r="7186" spans="23:23">
      <c r="W7186"/>
    </row>
    <row r="7187" spans="23:23">
      <c r="W7187"/>
    </row>
    <row r="7188" spans="23:23">
      <c r="W7188"/>
    </row>
    <row r="7189" spans="23:23">
      <c r="W7189"/>
    </row>
    <row r="7190" spans="23:23">
      <c r="W7190"/>
    </row>
    <row r="7191" spans="23:23">
      <c r="W7191"/>
    </row>
    <row r="7192" spans="23:23">
      <c r="W7192"/>
    </row>
    <row r="7193" spans="23:23">
      <c r="W7193"/>
    </row>
    <row r="7194" spans="23:23">
      <c r="W7194"/>
    </row>
    <row r="7195" spans="23:23">
      <c r="W7195"/>
    </row>
    <row r="7196" spans="23:23">
      <c r="W7196"/>
    </row>
    <row r="7197" spans="23:23">
      <c r="W7197"/>
    </row>
    <row r="7198" spans="23:23">
      <c r="W7198"/>
    </row>
    <row r="7199" spans="23:23">
      <c r="W7199"/>
    </row>
    <row r="7200" spans="23:23">
      <c r="W7200"/>
    </row>
    <row r="7201" spans="23:23">
      <c r="W7201"/>
    </row>
    <row r="7202" spans="23:23">
      <c r="W7202"/>
    </row>
    <row r="7203" spans="23:23">
      <c r="W7203"/>
    </row>
    <row r="7204" spans="23:23">
      <c r="W7204"/>
    </row>
    <row r="7205" spans="23:23">
      <c r="W7205"/>
    </row>
    <row r="7206" spans="23:23">
      <c r="W7206"/>
    </row>
    <row r="7207" spans="23:23">
      <c r="W7207"/>
    </row>
    <row r="7208" spans="23:23">
      <c r="W7208"/>
    </row>
    <row r="7209" spans="23:23">
      <c r="W7209"/>
    </row>
    <row r="7210" spans="23:23">
      <c r="W7210"/>
    </row>
    <row r="7211" spans="23:23">
      <c r="W7211"/>
    </row>
    <row r="7212" spans="23:23">
      <c r="W7212"/>
    </row>
    <row r="7213" spans="23:23">
      <c r="W7213"/>
    </row>
    <row r="7214" spans="23:23">
      <c r="W7214"/>
    </row>
    <row r="7215" spans="23:23">
      <c r="W7215"/>
    </row>
    <row r="7216" spans="23:23">
      <c r="W7216"/>
    </row>
    <row r="7217" spans="23:23">
      <c r="W7217"/>
    </row>
    <row r="7218" spans="23:23">
      <c r="W7218"/>
    </row>
    <row r="7219" spans="23:23">
      <c r="W7219"/>
    </row>
    <row r="7220" spans="23:23">
      <c r="W7220"/>
    </row>
    <row r="7221" spans="23:23">
      <c r="W7221"/>
    </row>
    <row r="7222" spans="23:23">
      <c r="W7222"/>
    </row>
    <row r="7223" spans="23:23">
      <c r="W7223"/>
    </row>
    <row r="7224" spans="23:23">
      <c r="W7224"/>
    </row>
    <row r="7225" spans="23:23">
      <c r="W7225"/>
    </row>
    <row r="7226" spans="23:23">
      <c r="W7226"/>
    </row>
    <row r="7227" spans="23:23">
      <c r="W7227"/>
    </row>
    <row r="7228" spans="23:23">
      <c r="W7228"/>
    </row>
    <row r="7229" spans="23:23">
      <c r="W7229"/>
    </row>
    <row r="7230" spans="23:23">
      <c r="W7230"/>
    </row>
    <row r="7231" spans="23:23">
      <c r="W7231"/>
    </row>
    <row r="7232" spans="23:23">
      <c r="W7232"/>
    </row>
    <row r="7233" spans="23:23">
      <c r="W7233"/>
    </row>
    <row r="7234" spans="23:23">
      <c r="W7234"/>
    </row>
    <row r="7235" spans="23:23">
      <c r="W7235"/>
    </row>
    <row r="7236" spans="23:23">
      <c r="W7236"/>
    </row>
    <row r="7237" spans="23:23">
      <c r="W7237"/>
    </row>
    <row r="7238" spans="23:23">
      <c r="W7238"/>
    </row>
    <row r="7239" spans="23:23">
      <c r="W7239"/>
    </row>
    <row r="7240" spans="23:23">
      <c r="W7240"/>
    </row>
    <row r="7241" spans="23:23">
      <c r="W7241"/>
    </row>
    <row r="7242" spans="23:23">
      <c r="W7242"/>
    </row>
    <row r="7243" spans="23:23">
      <c r="W7243"/>
    </row>
    <row r="7244" spans="23:23">
      <c r="W7244"/>
    </row>
    <row r="7245" spans="23:23">
      <c r="W7245"/>
    </row>
    <row r="7246" spans="23:23">
      <c r="W7246"/>
    </row>
    <row r="7247" spans="23:23">
      <c r="W7247"/>
    </row>
    <row r="7248" spans="23:23">
      <c r="W7248"/>
    </row>
    <row r="7249" spans="23:23">
      <c r="W7249"/>
    </row>
    <row r="7250" spans="23:23">
      <c r="W7250"/>
    </row>
    <row r="7251" spans="23:23">
      <c r="W7251"/>
    </row>
    <row r="7252" spans="23:23">
      <c r="W7252"/>
    </row>
    <row r="7253" spans="23:23">
      <c r="W7253"/>
    </row>
    <row r="7254" spans="23:23">
      <c r="W7254"/>
    </row>
    <row r="7255" spans="23:23">
      <c r="W7255"/>
    </row>
    <row r="7256" spans="23:23">
      <c r="W7256"/>
    </row>
    <row r="7257" spans="23:23">
      <c r="W7257"/>
    </row>
    <row r="7258" spans="23:23">
      <c r="W7258"/>
    </row>
    <row r="7259" spans="23:23">
      <c r="W7259"/>
    </row>
    <row r="7260" spans="23:23">
      <c r="W7260"/>
    </row>
    <row r="7261" spans="23:23">
      <c r="W7261"/>
    </row>
    <row r="7262" spans="23:23">
      <c r="W7262"/>
    </row>
    <row r="7263" spans="23:23">
      <c r="W7263"/>
    </row>
    <row r="7264" spans="23:23">
      <c r="W7264"/>
    </row>
    <row r="7265" spans="23:23">
      <c r="W7265"/>
    </row>
    <row r="7266" spans="23:23">
      <c r="W7266"/>
    </row>
    <row r="7267" spans="23:23">
      <c r="W7267"/>
    </row>
    <row r="7268" spans="23:23">
      <c r="W7268"/>
    </row>
    <row r="7269" spans="23:23">
      <c r="W7269"/>
    </row>
    <row r="7270" spans="23:23">
      <c r="W7270"/>
    </row>
    <row r="7271" spans="23:23">
      <c r="W7271"/>
    </row>
    <row r="7272" spans="23:23">
      <c r="W7272"/>
    </row>
    <row r="7273" spans="23:23">
      <c r="W7273"/>
    </row>
    <row r="7274" spans="23:23">
      <c r="W7274"/>
    </row>
    <row r="7275" spans="23:23">
      <c r="W7275"/>
    </row>
    <row r="7276" spans="23:23">
      <c r="W7276"/>
    </row>
    <row r="7277" spans="23:23">
      <c r="W7277"/>
    </row>
    <row r="7278" spans="23:23">
      <c r="W7278"/>
    </row>
    <row r="7279" spans="23:23">
      <c r="W7279"/>
    </row>
    <row r="7280" spans="23:23">
      <c r="W7280"/>
    </row>
    <row r="7281" spans="23:23">
      <c r="W7281"/>
    </row>
    <row r="7282" spans="23:23">
      <c r="W7282"/>
    </row>
    <row r="7283" spans="23:23">
      <c r="W7283"/>
    </row>
    <row r="7284" spans="23:23">
      <c r="W7284"/>
    </row>
    <row r="7285" spans="23:23">
      <c r="W7285"/>
    </row>
    <row r="7286" spans="23:23">
      <c r="W7286"/>
    </row>
    <row r="7287" spans="23:23">
      <c r="W7287"/>
    </row>
    <row r="7288" spans="23:23">
      <c r="W7288"/>
    </row>
    <row r="7289" spans="23:23">
      <c r="W7289"/>
    </row>
    <row r="7290" spans="23:23">
      <c r="W7290"/>
    </row>
    <row r="7291" spans="23:23">
      <c r="W7291"/>
    </row>
    <row r="7292" spans="23:23">
      <c r="W7292"/>
    </row>
    <row r="7293" spans="23:23">
      <c r="W7293"/>
    </row>
    <row r="7294" spans="23:23">
      <c r="W7294"/>
    </row>
    <row r="7295" spans="23:23">
      <c r="W7295"/>
    </row>
    <row r="7296" spans="23:23">
      <c r="W7296"/>
    </row>
    <row r="7297" spans="23:23">
      <c r="W7297"/>
    </row>
    <row r="7298" spans="23:23">
      <c r="W7298"/>
    </row>
    <row r="7299" spans="23:23">
      <c r="W7299"/>
    </row>
    <row r="7300" spans="23:23">
      <c r="W7300"/>
    </row>
    <row r="7301" spans="23:23">
      <c r="W7301"/>
    </row>
    <row r="7302" spans="23:23">
      <c r="W7302"/>
    </row>
    <row r="7303" spans="23:23">
      <c r="W7303"/>
    </row>
    <row r="7304" spans="23:23">
      <c r="W7304"/>
    </row>
    <row r="7305" spans="23:23">
      <c r="W7305"/>
    </row>
    <row r="7306" spans="23:23">
      <c r="W7306"/>
    </row>
    <row r="7307" spans="23:23">
      <c r="W7307"/>
    </row>
    <row r="7308" spans="23:23">
      <c r="W7308"/>
    </row>
    <row r="7309" spans="23:23">
      <c r="W7309"/>
    </row>
    <row r="7310" spans="23:23">
      <c r="W7310"/>
    </row>
    <row r="7311" spans="23:23">
      <c r="W7311"/>
    </row>
    <row r="7312" spans="23:23">
      <c r="W7312"/>
    </row>
    <row r="7313" spans="23:23">
      <c r="W7313"/>
    </row>
    <row r="7314" spans="23:23">
      <c r="W7314"/>
    </row>
    <row r="7315" spans="23:23">
      <c r="W7315"/>
    </row>
    <row r="7316" spans="23:23">
      <c r="W7316"/>
    </row>
    <row r="7317" spans="23:23">
      <c r="W7317"/>
    </row>
    <row r="7318" spans="23:23">
      <c r="W7318"/>
    </row>
    <row r="7319" spans="23:23">
      <c r="W7319"/>
    </row>
    <row r="7320" spans="23:23">
      <c r="W7320"/>
    </row>
    <row r="7321" spans="23:23">
      <c r="W7321"/>
    </row>
    <row r="7322" spans="23:23">
      <c r="W7322"/>
    </row>
    <row r="7323" spans="23:23">
      <c r="W7323"/>
    </row>
    <row r="7324" spans="23:23">
      <c r="W7324"/>
    </row>
    <row r="7325" spans="23:23">
      <c r="W7325"/>
    </row>
    <row r="7326" spans="23:23">
      <c r="W7326"/>
    </row>
    <row r="7327" spans="23:23">
      <c r="W7327"/>
    </row>
    <row r="7328" spans="23:23">
      <c r="W7328"/>
    </row>
    <row r="7329" spans="23:23">
      <c r="W7329"/>
    </row>
    <row r="7330" spans="23:23">
      <c r="W7330"/>
    </row>
    <row r="7331" spans="23:23">
      <c r="W7331"/>
    </row>
    <row r="7332" spans="23:23">
      <c r="W7332"/>
    </row>
    <row r="7333" spans="23:23">
      <c r="W7333"/>
    </row>
    <row r="7334" spans="23:23">
      <c r="W7334"/>
    </row>
    <row r="7335" spans="23:23">
      <c r="W7335"/>
    </row>
    <row r="7336" spans="23:23">
      <c r="W7336"/>
    </row>
    <row r="7337" spans="23:23">
      <c r="W7337"/>
    </row>
    <row r="7338" spans="23:23">
      <c r="W7338"/>
    </row>
    <row r="7339" spans="23:23">
      <c r="W7339"/>
    </row>
    <row r="7340" spans="23:23">
      <c r="W7340"/>
    </row>
    <row r="7341" spans="23:23">
      <c r="W7341"/>
    </row>
    <row r="7342" spans="23:23">
      <c r="W7342"/>
    </row>
    <row r="7343" spans="23:23">
      <c r="W7343"/>
    </row>
    <row r="7344" spans="23:23">
      <c r="W7344"/>
    </row>
    <row r="7345" spans="23:23">
      <c r="W7345"/>
    </row>
    <row r="7346" spans="23:23">
      <c r="W7346"/>
    </row>
    <row r="7347" spans="23:23">
      <c r="W7347"/>
    </row>
    <row r="7348" spans="23:23">
      <c r="W7348"/>
    </row>
    <row r="7349" spans="23:23">
      <c r="W7349"/>
    </row>
    <row r="7350" spans="23:23">
      <c r="W7350"/>
    </row>
    <row r="7351" spans="23:23">
      <c r="W7351"/>
    </row>
    <row r="7352" spans="23:23">
      <c r="W7352"/>
    </row>
    <row r="7353" spans="23:23">
      <c r="W7353"/>
    </row>
    <row r="7354" spans="23:23">
      <c r="W7354"/>
    </row>
    <row r="7355" spans="23:23">
      <c r="W7355"/>
    </row>
    <row r="7356" spans="23:23">
      <c r="W7356"/>
    </row>
    <row r="7357" spans="23:23">
      <c r="W7357"/>
    </row>
    <row r="7358" spans="23:23">
      <c r="W7358"/>
    </row>
    <row r="7359" spans="23:23">
      <c r="W7359"/>
    </row>
    <row r="7360" spans="23:23">
      <c r="W7360"/>
    </row>
    <row r="7361" spans="23:23">
      <c r="W7361"/>
    </row>
    <row r="7362" spans="23:23">
      <c r="W7362"/>
    </row>
    <row r="7363" spans="23:23">
      <c r="W7363"/>
    </row>
    <row r="7364" spans="23:23">
      <c r="W7364"/>
    </row>
    <row r="7365" spans="23:23">
      <c r="W7365"/>
    </row>
    <row r="7366" spans="23:23">
      <c r="W7366"/>
    </row>
    <row r="7367" spans="23:23">
      <c r="W7367"/>
    </row>
    <row r="7368" spans="23:23">
      <c r="W7368"/>
    </row>
    <row r="7369" spans="23:23">
      <c r="W7369"/>
    </row>
    <row r="7370" spans="23:23">
      <c r="W7370"/>
    </row>
    <row r="7371" spans="23:23">
      <c r="W7371"/>
    </row>
    <row r="7372" spans="23:23">
      <c r="W7372"/>
    </row>
    <row r="7373" spans="23:23">
      <c r="W7373"/>
    </row>
    <row r="7374" spans="23:23">
      <c r="W7374"/>
    </row>
    <row r="7375" spans="23:23">
      <c r="W7375"/>
    </row>
    <row r="7376" spans="23:23">
      <c r="W7376"/>
    </row>
    <row r="7377" spans="23:23">
      <c r="W7377"/>
    </row>
    <row r="7378" spans="23:23">
      <c r="W7378"/>
    </row>
    <row r="7379" spans="23:23">
      <c r="W7379"/>
    </row>
    <row r="7380" spans="23:23">
      <c r="W7380"/>
    </row>
    <row r="7381" spans="23:23">
      <c r="W7381"/>
    </row>
    <row r="7382" spans="23:23">
      <c r="W7382"/>
    </row>
    <row r="7383" spans="23:23">
      <c r="W7383"/>
    </row>
    <row r="7384" spans="23:23">
      <c r="W7384"/>
    </row>
    <row r="7385" spans="23:23">
      <c r="W7385"/>
    </row>
    <row r="7386" spans="23:23">
      <c r="W7386"/>
    </row>
    <row r="7387" spans="23:23">
      <c r="W7387"/>
    </row>
    <row r="7388" spans="23:23">
      <c r="W7388"/>
    </row>
    <row r="7389" spans="23:23">
      <c r="W7389"/>
    </row>
    <row r="7390" spans="23:23">
      <c r="W7390"/>
    </row>
    <row r="7391" spans="23:23">
      <c r="W7391"/>
    </row>
    <row r="7392" spans="23:23">
      <c r="W7392"/>
    </row>
    <row r="7393" spans="23:23">
      <c r="W7393"/>
    </row>
    <row r="7394" spans="23:23">
      <c r="W7394"/>
    </row>
    <row r="7395" spans="23:23">
      <c r="W7395"/>
    </row>
    <row r="7396" spans="23:23">
      <c r="W7396"/>
    </row>
    <row r="7397" spans="23:23">
      <c r="W7397"/>
    </row>
    <row r="7398" spans="23:23">
      <c r="W7398"/>
    </row>
    <row r="7399" spans="23:23">
      <c r="W7399"/>
    </row>
    <row r="7400" spans="23:23">
      <c r="W7400"/>
    </row>
    <row r="7401" spans="23:23">
      <c r="W7401"/>
    </row>
    <row r="7402" spans="23:23">
      <c r="W7402"/>
    </row>
    <row r="7403" spans="23:23">
      <c r="W7403"/>
    </row>
    <row r="7404" spans="23:23">
      <c r="W7404"/>
    </row>
    <row r="7405" spans="23:23">
      <c r="W7405"/>
    </row>
    <row r="7406" spans="23:23">
      <c r="W7406"/>
    </row>
    <row r="7407" spans="23:23">
      <c r="W7407"/>
    </row>
    <row r="7408" spans="23:23">
      <c r="W7408"/>
    </row>
    <row r="7409" spans="23:23">
      <c r="W7409"/>
    </row>
    <row r="7410" spans="23:23">
      <c r="W7410"/>
    </row>
    <row r="7411" spans="23:23">
      <c r="W7411"/>
    </row>
    <row r="7412" spans="23:23">
      <c r="W7412"/>
    </row>
    <row r="7413" spans="23:23">
      <c r="W7413"/>
    </row>
    <row r="7414" spans="23:23">
      <c r="W7414"/>
    </row>
    <row r="7415" spans="23:23">
      <c r="W7415"/>
    </row>
    <row r="7416" spans="23:23">
      <c r="W7416"/>
    </row>
    <row r="7417" spans="23:23">
      <c r="W7417"/>
    </row>
    <row r="7418" spans="23:23">
      <c r="W7418"/>
    </row>
    <row r="7419" spans="23:23">
      <c r="W7419"/>
    </row>
    <row r="7420" spans="23:23">
      <c r="W7420"/>
    </row>
    <row r="7421" spans="23:23">
      <c r="W7421"/>
    </row>
    <row r="7422" spans="23:23">
      <c r="W7422"/>
    </row>
    <row r="7423" spans="23:23">
      <c r="W7423"/>
    </row>
    <row r="7424" spans="23:23">
      <c r="W7424"/>
    </row>
    <row r="7425" spans="23:23">
      <c r="W7425"/>
    </row>
    <row r="7426" spans="23:23">
      <c r="W7426"/>
    </row>
    <row r="7427" spans="23:23">
      <c r="W7427"/>
    </row>
    <row r="7428" spans="23:23">
      <c r="W7428"/>
    </row>
    <row r="7429" spans="23:23">
      <c r="W7429"/>
    </row>
    <row r="7430" spans="23:23">
      <c r="W7430"/>
    </row>
    <row r="7431" spans="23:23">
      <c r="W7431"/>
    </row>
    <row r="7432" spans="23:23">
      <c r="W7432"/>
    </row>
    <row r="7433" spans="23:23">
      <c r="W7433"/>
    </row>
    <row r="7434" spans="23:23">
      <c r="W7434"/>
    </row>
    <row r="7435" spans="23:23">
      <c r="W7435"/>
    </row>
    <row r="7436" spans="23:23">
      <c r="W7436"/>
    </row>
    <row r="7437" spans="23:23">
      <c r="W7437"/>
    </row>
    <row r="7438" spans="23:23">
      <c r="W7438"/>
    </row>
    <row r="7439" spans="23:23">
      <c r="W7439"/>
    </row>
    <row r="7440" spans="23:23">
      <c r="W7440"/>
    </row>
    <row r="7441" spans="23:23">
      <c r="W7441"/>
    </row>
    <row r="7442" spans="23:23">
      <c r="W7442"/>
    </row>
    <row r="7443" spans="23:23">
      <c r="W7443"/>
    </row>
    <row r="7444" spans="23:23">
      <c r="W7444"/>
    </row>
    <row r="7445" spans="23:23">
      <c r="W7445"/>
    </row>
    <row r="7446" spans="23:23">
      <c r="W7446"/>
    </row>
    <row r="7447" spans="23:23">
      <c r="W7447"/>
    </row>
    <row r="7448" spans="23:23">
      <c r="W7448"/>
    </row>
    <row r="7449" spans="23:23">
      <c r="W7449"/>
    </row>
    <row r="7450" spans="23:23">
      <c r="W7450"/>
    </row>
    <row r="7451" spans="23:23">
      <c r="W7451"/>
    </row>
    <row r="7452" spans="23:23">
      <c r="W7452"/>
    </row>
    <row r="7453" spans="23:23">
      <c r="W7453"/>
    </row>
    <row r="7454" spans="23:23">
      <c r="W7454"/>
    </row>
    <row r="7455" spans="23:23">
      <c r="W7455"/>
    </row>
    <row r="7456" spans="23:23">
      <c r="W7456"/>
    </row>
    <row r="7457" spans="23:23">
      <c r="W7457"/>
    </row>
    <row r="7458" spans="23:23">
      <c r="W7458"/>
    </row>
    <row r="7459" spans="23:23">
      <c r="W7459"/>
    </row>
    <row r="7460" spans="23:23">
      <c r="W7460"/>
    </row>
    <row r="7461" spans="23:23">
      <c r="W7461"/>
    </row>
    <row r="7462" spans="23:23">
      <c r="W7462"/>
    </row>
    <row r="7463" spans="23:23">
      <c r="W7463"/>
    </row>
    <row r="7464" spans="23:23">
      <c r="W7464"/>
    </row>
    <row r="7465" spans="23:23">
      <c r="W7465"/>
    </row>
    <row r="7466" spans="23:23">
      <c r="W7466"/>
    </row>
    <row r="7467" spans="23:23">
      <c r="W7467"/>
    </row>
    <row r="7468" spans="23:23">
      <c r="W7468"/>
    </row>
    <row r="7469" spans="23:23">
      <c r="W7469"/>
    </row>
    <row r="7470" spans="23:23">
      <c r="W7470"/>
    </row>
    <row r="7471" spans="23:23">
      <c r="W7471"/>
    </row>
    <row r="7472" spans="23:23">
      <c r="W7472"/>
    </row>
    <row r="7473" spans="23:23">
      <c r="W7473"/>
    </row>
    <row r="7474" spans="23:23">
      <c r="W7474"/>
    </row>
    <row r="7475" spans="23:23">
      <c r="W7475"/>
    </row>
    <row r="7476" spans="23:23">
      <c r="W7476"/>
    </row>
    <row r="7477" spans="23:23">
      <c r="W7477"/>
    </row>
    <row r="7478" spans="23:23">
      <c r="W7478"/>
    </row>
    <row r="7479" spans="23:23">
      <c r="W7479"/>
    </row>
    <row r="7480" spans="23:23">
      <c r="W7480"/>
    </row>
    <row r="7481" spans="23:23">
      <c r="W7481"/>
    </row>
    <row r="7482" spans="23:23">
      <c r="W7482"/>
    </row>
    <row r="7483" spans="23:23">
      <c r="W7483"/>
    </row>
    <row r="7484" spans="23:23">
      <c r="W7484"/>
    </row>
    <row r="7485" spans="23:23">
      <c r="W7485"/>
    </row>
    <row r="7486" spans="23:23">
      <c r="W7486"/>
    </row>
    <row r="7487" spans="23:23">
      <c r="W7487"/>
    </row>
    <row r="7488" spans="23:23">
      <c r="W7488"/>
    </row>
    <row r="7489" spans="23:23">
      <c r="W7489"/>
    </row>
    <row r="7490" spans="23:23">
      <c r="W7490"/>
    </row>
    <row r="7491" spans="23:23">
      <c r="W7491"/>
    </row>
    <row r="7492" spans="23:23">
      <c r="W7492"/>
    </row>
    <row r="7493" spans="23:23">
      <c r="W7493"/>
    </row>
    <row r="7494" spans="23:23">
      <c r="W7494"/>
    </row>
    <row r="7495" spans="23:23">
      <c r="W7495"/>
    </row>
    <row r="7496" spans="23:23">
      <c r="W7496"/>
    </row>
    <row r="7497" spans="23:23">
      <c r="W7497"/>
    </row>
    <row r="7498" spans="23:23">
      <c r="W7498"/>
    </row>
    <row r="7499" spans="23:23">
      <c r="W7499"/>
    </row>
    <row r="7500" spans="23:23">
      <c r="W7500"/>
    </row>
    <row r="7501" spans="23:23">
      <c r="W7501"/>
    </row>
    <row r="7502" spans="23:23">
      <c r="W7502"/>
    </row>
    <row r="7503" spans="23:23">
      <c r="W7503"/>
    </row>
    <row r="7504" spans="23:23">
      <c r="W7504"/>
    </row>
    <row r="7505" spans="23:23">
      <c r="W7505"/>
    </row>
    <row r="7506" spans="23:23">
      <c r="W7506"/>
    </row>
    <row r="7507" spans="23:23">
      <c r="W7507"/>
    </row>
    <row r="7508" spans="23:23">
      <c r="W7508"/>
    </row>
    <row r="7509" spans="23:23">
      <c r="W7509"/>
    </row>
    <row r="7510" spans="23:23">
      <c r="W7510"/>
    </row>
    <row r="7511" spans="23:23">
      <c r="W7511"/>
    </row>
    <row r="7512" spans="23:23">
      <c r="W7512"/>
    </row>
    <row r="7513" spans="23:23">
      <c r="W7513"/>
    </row>
    <row r="7514" spans="23:23">
      <c r="W7514"/>
    </row>
    <row r="7515" spans="23:23">
      <c r="W7515"/>
    </row>
    <row r="7516" spans="23:23">
      <c r="W7516"/>
    </row>
    <row r="7517" spans="23:23">
      <c r="W7517"/>
    </row>
    <row r="7518" spans="23:23">
      <c r="W7518"/>
    </row>
    <row r="7519" spans="23:23">
      <c r="W7519"/>
    </row>
    <row r="7520" spans="23:23">
      <c r="W7520"/>
    </row>
    <row r="7521" spans="23:23">
      <c r="W7521"/>
    </row>
    <row r="7522" spans="23:23">
      <c r="W7522"/>
    </row>
    <row r="7523" spans="23:23">
      <c r="W7523"/>
    </row>
    <row r="7524" spans="23:23">
      <c r="W7524"/>
    </row>
    <row r="7525" spans="23:23">
      <c r="W7525"/>
    </row>
    <row r="7526" spans="23:23">
      <c r="W7526"/>
    </row>
    <row r="7527" spans="23:23">
      <c r="W7527"/>
    </row>
    <row r="7528" spans="23:23">
      <c r="W7528"/>
    </row>
    <row r="7529" spans="23:23">
      <c r="W7529"/>
    </row>
    <row r="7530" spans="23:23">
      <c r="W7530"/>
    </row>
    <row r="7531" spans="23:23">
      <c r="W7531"/>
    </row>
    <row r="7532" spans="23:23">
      <c r="W7532"/>
    </row>
    <row r="7533" spans="23:23">
      <c r="W7533"/>
    </row>
    <row r="7534" spans="23:23">
      <c r="W7534"/>
    </row>
    <row r="7535" spans="23:23">
      <c r="W7535"/>
    </row>
    <row r="7536" spans="23:23">
      <c r="W7536"/>
    </row>
    <row r="7537" spans="23:23">
      <c r="W7537"/>
    </row>
    <row r="7538" spans="23:23">
      <c r="W7538"/>
    </row>
    <row r="7539" spans="23:23">
      <c r="W7539"/>
    </row>
    <row r="7540" spans="23:23">
      <c r="W7540"/>
    </row>
    <row r="7541" spans="23:23">
      <c r="W7541"/>
    </row>
    <row r="7542" spans="23:23">
      <c r="W7542"/>
    </row>
    <row r="7543" spans="23:23">
      <c r="W7543"/>
    </row>
    <row r="7544" spans="23:23">
      <c r="W7544"/>
    </row>
    <row r="7545" spans="23:23">
      <c r="W7545"/>
    </row>
    <row r="7546" spans="23:23">
      <c r="W7546"/>
    </row>
    <row r="7547" spans="23:23">
      <c r="W7547"/>
    </row>
    <row r="7548" spans="23:23">
      <c r="W7548"/>
    </row>
    <row r="7549" spans="23:23">
      <c r="W7549"/>
    </row>
    <row r="7550" spans="23:23">
      <c r="W7550"/>
    </row>
    <row r="7551" spans="23:23">
      <c r="W7551"/>
    </row>
    <row r="7552" spans="23:23">
      <c r="W7552"/>
    </row>
    <row r="7553" spans="23:23">
      <c r="W7553"/>
    </row>
    <row r="7554" spans="23:23">
      <c r="W7554"/>
    </row>
    <row r="7555" spans="23:23">
      <c r="W7555"/>
    </row>
    <row r="7556" spans="23:23">
      <c r="W7556"/>
    </row>
    <row r="7557" spans="23:23">
      <c r="W7557"/>
    </row>
    <row r="7558" spans="23:23">
      <c r="W7558"/>
    </row>
    <row r="7559" spans="23:23">
      <c r="W7559"/>
    </row>
    <row r="7560" spans="23:23">
      <c r="W7560"/>
    </row>
    <row r="7561" spans="23:23">
      <c r="W7561"/>
    </row>
    <row r="7562" spans="23:23">
      <c r="W7562"/>
    </row>
    <row r="7563" spans="23:23">
      <c r="W7563"/>
    </row>
    <row r="7564" spans="23:23">
      <c r="W7564"/>
    </row>
    <row r="7565" spans="23:23">
      <c r="W7565"/>
    </row>
    <row r="7566" spans="23:23">
      <c r="W7566"/>
    </row>
    <row r="7567" spans="23:23">
      <c r="W7567"/>
    </row>
    <row r="7568" spans="23:23">
      <c r="W7568"/>
    </row>
    <row r="7569" spans="23:23">
      <c r="W7569"/>
    </row>
    <row r="7570" spans="23:23">
      <c r="W7570"/>
    </row>
    <row r="7571" spans="23:23">
      <c r="W7571"/>
    </row>
    <row r="7572" spans="23:23">
      <c r="W7572"/>
    </row>
    <row r="7573" spans="23:23">
      <c r="W7573"/>
    </row>
    <row r="7574" spans="23:23">
      <c r="W7574"/>
    </row>
    <row r="7575" spans="23:23">
      <c r="W7575"/>
    </row>
    <row r="7576" spans="23:23">
      <c r="W7576"/>
    </row>
    <row r="7577" spans="23:23">
      <c r="W7577"/>
    </row>
    <row r="7578" spans="23:23">
      <c r="W7578"/>
    </row>
    <row r="7579" spans="23:23">
      <c r="W7579"/>
    </row>
    <row r="7580" spans="23:23">
      <c r="W7580"/>
    </row>
    <row r="7581" spans="23:23">
      <c r="W7581"/>
    </row>
    <row r="7582" spans="23:23">
      <c r="W7582"/>
    </row>
    <row r="7583" spans="23:23">
      <c r="W7583"/>
    </row>
    <row r="7584" spans="23:23">
      <c r="W7584"/>
    </row>
    <row r="7585" spans="23:23">
      <c r="W7585"/>
    </row>
    <row r="7586" spans="23:23">
      <c r="W7586"/>
    </row>
    <row r="7587" spans="23:23">
      <c r="W7587"/>
    </row>
    <row r="7588" spans="23:23">
      <c r="W7588"/>
    </row>
    <row r="7589" spans="23:23">
      <c r="W7589"/>
    </row>
    <row r="7590" spans="23:23">
      <c r="W7590"/>
    </row>
    <row r="7591" spans="23:23">
      <c r="W7591"/>
    </row>
    <row r="7592" spans="23:23">
      <c r="W7592"/>
    </row>
    <row r="7593" spans="23:23">
      <c r="W7593"/>
    </row>
    <row r="7594" spans="23:23">
      <c r="W7594"/>
    </row>
    <row r="7595" spans="23:23">
      <c r="W7595"/>
    </row>
    <row r="7596" spans="23:23">
      <c r="W7596"/>
    </row>
    <row r="7597" spans="23:23">
      <c r="W7597"/>
    </row>
    <row r="7598" spans="23:23">
      <c r="W7598"/>
    </row>
    <row r="7599" spans="23:23">
      <c r="W7599"/>
    </row>
    <row r="7600" spans="23:23">
      <c r="W7600"/>
    </row>
    <row r="7601" spans="23:23">
      <c r="W7601"/>
    </row>
    <row r="7602" spans="23:23">
      <c r="W7602"/>
    </row>
    <row r="7603" spans="23:23">
      <c r="W7603"/>
    </row>
    <row r="7604" spans="23:23">
      <c r="W7604"/>
    </row>
    <row r="7605" spans="23:23">
      <c r="W7605"/>
    </row>
    <row r="7606" spans="23:23">
      <c r="W7606"/>
    </row>
    <row r="7607" spans="23:23">
      <c r="W7607"/>
    </row>
    <row r="7608" spans="23:23">
      <c r="W7608"/>
    </row>
    <row r="7609" spans="23:23">
      <c r="W7609"/>
    </row>
    <row r="7610" spans="23:23">
      <c r="W7610"/>
    </row>
    <row r="7611" spans="23:23">
      <c r="W7611"/>
    </row>
    <row r="7612" spans="23:23">
      <c r="W7612"/>
    </row>
    <row r="7613" spans="23:23">
      <c r="W7613"/>
    </row>
    <row r="7614" spans="23:23">
      <c r="W7614"/>
    </row>
    <row r="7615" spans="23:23">
      <c r="W7615"/>
    </row>
    <row r="7616" spans="23:23">
      <c r="W7616"/>
    </row>
    <row r="7617" spans="23:23">
      <c r="W7617"/>
    </row>
    <row r="7618" spans="23:23">
      <c r="W7618"/>
    </row>
    <row r="7619" spans="23:23">
      <c r="W7619"/>
    </row>
    <row r="7620" spans="23:23">
      <c r="W7620"/>
    </row>
    <row r="7621" spans="23:23">
      <c r="W7621"/>
    </row>
    <row r="7622" spans="23:23">
      <c r="W7622"/>
    </row>
    <row r="7623" spans="23:23">
      <c r="W7623"/>
    </row>
    <row r="7624" spans="23:23">
      <c r="W7624"/>
    </row>
    <row r="7625" spans="23:23">
      <c r="W7625"/>
    </row>
    <row r="7626" spans="23:23">
      <c r="W7626"/>
    </row>
    <row r="7627" spans="23:23">
      <c r="W7627"/>
    </row>
    <row r="7628" spans="23:23">
      <c r="W7628"/>
    </row>
    <row r="7629" spans="23:23">
      <c r="W7629"/>
    </row>
    <row r="7630" spans="23:23">
      <c r="W7630"/>
    </row>
    <row r="7631" spans="23:23">
      <c r="W7631"/>
    </row>
    <row r="7632" spans="23:23">
      <c r="W7632"/>
    </row>
    <row r="7633" spans="23:23">
      <c r="W7633"/>
    </row>
    <row r="7634" spans="23:23">
      <c r="W7634"/>
    </row>
    <row r="7635" spans="23:23">
      <c r="W7635"/>
    </row>
    <row r="7636" spans="23:23">
      <c r="W7636"/>
    </row>
    <row r="7637" spans="23:23">
      <c r="W7637"/>
    </row>
    <row r="7638" spans="23:23">
      <c r="W7638"/>
    </row>
    <row r="7639" spans="23:23">
      <c r="W7639"/>
    </row>
    <row r="7640" spans="23:23">
      <c r="W7640"/>
    </row>
    <row r="7641" spans="23:23">
      <c r="W7641"/>
    </row>
    <row r="7642" spans="23:23">
      <c r="W7642"/>
    </row>
    <row r="7643" spans="23:23">
      <c r="W7643"/>
    </row>
    <row r="7644" spans="23:23">
      <c r="W7644"/>
    </row>
    <row r="7645" spans="23:23">
      <c r="W7645"/>
    </row>
    <row r="7646" spans="23:23">
      <c r="W7646"/>
    </row>
    <row r="7647" spans="23:23">
      <c r="W7647"/>
    </row>
    <row r="7648" spans="23:23">
      <c r="W7648"/>
    </row>
    <row r="7649" spans="23:23">
      <c r="W7649"/>
    </row>
    <row r="7650" spans="23:23">
      <c r="W7650"/>
    </row>
    <row r="7651" spans="23:23">
      <c r="W7651"/>
    </row>
    <row r="7652" spans="23:23">
      <c r="W7652"/>
    </row>
    <row r="7653" spans="23:23">
      <c r="W7653"/>
    </row>
    <row r="7654" spans="23:23">
      <c r="W7654"/>
    </row>
    <row r="7655" spans="23:23">
      <c r="W7655"/>
    </row>
    <row r="7656" spans="23:23">
      <c r="W7656"/>
    </row>
    <row r="7657" spans="23:23">
      <c r="W7657"/>
    </row>
    <row r="7658" spans="23:23">
      <c r="W7658"/>
    </row>
    <row r="7659" spans="23:23">
      <c r="W7659"/>
    </row>
    <row r="7660" spans="23:23">
      <c r="W7660"/>
    </row>
    <row r="7661" spans="23:23">
      <c r="W7661"/>
    </row>
    <row r="7662" spans="23:23">
      <c r="W7662"/>
    </row>
    <row r="7663" spans="23:23">
      <c r="W7663"/>
    </row>
    <row r="7664" spans="23:23">
      <c r="W7664"/>
    </row>
    <row r="7665" spans="23:23">
      <c r="W7665"/>
    </row>
    <row r="7666" spans="23:23">
      <c r="W7666"/>
    </row>
    <row r="7667" spans="23:23">
      <c r="W7667"/>
    </row>
    <row r="7668" spans="23:23">
      <c r="W7668"/>
    </row>
    <row r="7669" spans="23:23">
      <c r="W7669"/>
    </row>
    <row r="7670" spans="23:23">
      <c r="W7670"/>
    </row>
    <row r="7671" spans="23:23">
      <c r="W7671"/>
    </row>
    <row r="7672" spans="23:23">
      <c r="W7672"/>
    </row>
    <row r="7673" spans="23:23">
      <c r="W7673"/>
    </row>
    <row r="7674" spans="23:23">
      <c r="W7674"/>
    </row>
    <row r="7675" spans="23:23">
      <c r="W7675"/>
    </row>
    <row r="7676" spans="23:23">
      <c r="W7676"/>
    </row>
    <row r="7677" spans="23:23">
      <c r="W7677"/>
    </row>
    <row r="7678" spans="23:23">
      <c r="W7678"/>
    </row>
    <row r="7679" spans="23:23">
      <c r="W7679"/>
    </row>
    <row r="7680" spans="23:23">
      <c r="W7680"/>
    </row>
    <row r="7681" spans="23:23">
      <c r="W7681"/>
    </row>
    <row r="7682" spans="23:23">
      <c r="W7682"/>
    </row>
    <row r="7683" spans="23:23">
      <c r="W7683"/>
    </row>
    <row r="7684" spans="23:23">
      <c r="W7684"/>
    </row>
    <row r="7685" spans="23:23">
      <c r="W7685"/>
    </row>
    <row r="7686" spans="23:23">
      <c r="W7686"/>
    </row>
    <row r="7687" spans="23:23">
      <c r="W7687"/>
    </row>
    <row r="7688" spans="23:23">
      <c r="W7688"/>
    </row>
    <row r="7689" spans="23:23">
      <c r="W7689"/>
    </row>
    <row r="7690" spans="23:23">
      <c r="W7690"/>
    </row>
    <row r="7691" spans="23:23">
      <c r="W7691"/>
    </row>
    <row r="7692" spans="23:23">
      <c r="W7692"/>
    </row>
    <row r="7693" spans="23:23">
      <c r="W7693"/>
    </row>
    <row r="7694" spans="23:23">
      <c r="W7694"/>
    </row>
    <row r="7695" spans="23:23">
      <c r="W7695"/>
    </row>
    <row r="7696" spans="23:23">
      <c r="W7696"/>
    </row>
    <row r="7697" spans="23:23">
      <c r="W7697"/>
    </row>
    <row r="7698" spans="23:23">
      <c r="W7698"/>
    </row>
    <row r="7699" spans="23:23">
      <c r="W7699"/>
    </row>
    <row r="7700" spans="23:23">
      <c r="W7700"/>
    </row>
    <row r="7701" spans="23:23">
      <c r="W7701"/>
    </row>
    <row r="7702" spans="23:23">
      <c r="W7702"/>
    </row>
    <row r="7703" spans="23:23">
      <c r="W7703"/>
    </row>
    <row r="7704" spans="23:23">
      <c r="W7704"/>
    </row>
    <row r="7705" spans="23:23">
      <c r="W7705"/>
    </row>
    <row r="7706" spans="23:23">
      <c r="W7706"/>
    </row>
    <row r="7707" spans="23:23">
      <c r="W7707"/>
    </row>
    <row r="7708" spans="23:23">
      <c r="W7708"/>
    </row>
    <row r="7709" spans="23:23">
      <c r="W7709"/>
    </row>
    <row r="7710" spans="23:23">
      <c r="W7710"/>
    </row>
    <row r="7711" spans="23:23">
      <c r="W7711"/>
    </row>
    <row r="7712" spans="23:23">
      <c r="W7712"/>
    </row>
    <row r="7713" spans="23:23">
      <c r="W7713"/>
    </row>
    <row r="7714" spans="23:23">
      <c r="W7714"/>
    </row>
    <row r="7715" spans="23:23">
      <c r="W7715"/>
    </row>
    <row r="7716" spans="23:23">
      <c r="W7716"/>
    </row>
    <row r="7717" spans="23:23">
      <c r="W7717"/>
    </row>
    <row r="7718" spans="23:23">
      <c r="W7718"/>
    </row>
    <row r="7719" spans="23:23">
      <c r="W7719"/>
    </row>
    <row r="7720" spans="23:23">
      <c r="W7720"/>
    </row>
    <row r="7721" spans="23:23">
      <c r="W7721"/>
    </row>
    <row r="7722" spans="23:23">
      <c r="W7722"/>
    </row>
    <row r="7723" spans="23:23">
      <c r="W7723"/>
    </row>
    <row r="7724" spans="23:23">
      <c r="W7724"/>
    </row>
    <row r="7725" spans="23:23">
      <c r="W7725"/>
    </row>
    <row r="7726" spans="23:23">
      <c r="W7726"/>
    </row>
    <row r="7727" spans="23:23">
      <c r="W7727"/>
    </row>
    <row r="7728" spans="23:23">
      <c r="W7728"/>
    </row>
    <row r="7729" spans="23:23">
      <c r="W7729"/>
    </row>
    <row r="7730" spans="23:23">
      <c r="W7730"/>
    </row>
    <row r="7731" spans="23:23">
      <c r="W7731"/>
    </row>
    <row r="7732" spans="23:23">
      <c r="W7732"/>
    </row>
    <row r="7733" spans="23:23">
      <c r="W7733"/>
    </row>
    <row r="7734" spans="23:23">
      <c r="W7734"/>
    </row>
    <row r="7735" spans="23:23">
      <c r="W7735"/>
    </row>
    <row r="7736" spans="23:23">
      <c r="W7736"/>
    </row>
    <row r="7737" spans="23:23">
      <c r="W7737"/>
    </row>
    <row r="7738" spans="23:23">
      <c r="W7738"/>
    </row>
    <row r="7739" spans="23:23">
      <c r="W7739"/>
    </row>
    <row r="7740" spans="23:23">
      <c r="W7740"/>
    </row>
    <row r="7741" spans="23:23">
      <c r="W7741"/>
    </row>
    <row r="7742" spans="23:23">
      <c r="W7742"/>
    </row>
    <row r="7743" spans="23:23">
      <c r="W7743"/>
    </row>
    <row r="7744" spans="23:23">
      <c r="W7744"/>
    </row>
    <row r="7745" spans="23:23">
      <c r="W7745"/>
    </row>
    <row r="7746" spans="23:23">
      <c r="W7746"/>
    </row>
    <row r="7747" spans="23:23">
      <c r="W7747"/>
    </row>
    <row r="7748" spans="23:23">
      <c r="W7748"/>
    </row>
    <row r="7749" spans="23:23">
      <c r="W7749"/>
    </row>
    <row r="7750" spans="23:23">
      <c r="W7750"/>
    </row>
    <row r="7751" spans="23:23">
      <c r="W7751"/>
    </row>
    <row r="7752" spans="23:23">
      <c r="W7752"/>
    </row>
    <row r="7753" spans="23:23">
      <c r="W7753"/>
    </row>
    <row r="7754" spans="23:23">
      <c r="W7754"/>
    </row>
    <row r="7755" spans="23:23">
      <c r="W7755"/>
    </row>
    <row r="7756" spans="23:23">
      <c r="W7756"/>
    </row>
    <row r="7757" spans="23:23">
      <c r="W7757"/>
    </row>
    <row r="7758" spans="23:23">
      <c r="W7758"/>
    </row>
    <row r="7759" spans="23:23">
      <c r="W7759"/>
    </row>
    <row r="7760" spans="23:23">
      <c r="W7760"/>
    </row>
    <row r="7761" spans="23:23">
      <c r="W7761"/>
    </row>
    <row r="7762" spans="23:23">
      <c r="W7762"/>
    </row>
    <row r="7763" spans="23:23">
      <c r="W7763"/>
    </row>
    <row r="7764" spans="23:23">
      <c r="W7764"/>
    </row>
    <row r="7765" spans="23:23">
      <c r="W7765"/>
    </row>
    <row r="7766" spans="23:23">
      <c r="W7766"/>
    </row>
    <row r="7767" spans="23:23">
      <c r="W7767"/>
    </row>
    <row r="7768" spans="23:23">
      <c r="W7768"/>
    </row>
    <row r="7769" spans="23:23">
      <c r="W7769"/>
    </row>
    <row r="7770" spans="23:23">
      <c r="W7770"/>
    </row>
    <row r="7771" spans="23:23">
      <c r="W7771"/>
    </row>
    <row r="7772" spans="23:23">
      <c r="W7772"/>
    </row>
    <row r="7773" spans="23:23">
      <c r="W7773"/>
    </row>
    <row r="7774" spans="23:23">
      <c r="W7774"/>
    </row>
    <row r="7775" spans="23:23">
      <c r="W7775"/>
    </row>
    <row r="7776" spans="23:23">
      <c r="W7776"/>
    </row>
    <row r="7777" spans="23:23">
      <c r="W7777"/>
    </row>
    <row r="7778" spans="23:23">
      <c r="W7778"/>
    </row>
    <row r="7779" spans="23:23">
      <c r="W7779"/>
    </row>
    <row r="7780" spans="23:23">
      <c r="W7780"/>
    </row>
    <row r="7781" spans="23:23">
      <c r="W7781"/>
    </row>
    <row r="7782" spans="23:23">
      <c r="W7782"/>
    </row>
    <row r="7783" spans="23:23">
      <c r="W7783"/>
    </row>
    <row r="7784" spans="23:23">
      <c r="W7784"/>
    </row>
    <row r="7785" spans="23:23">
      <c r="W7785"/>
    </row>
    <row r="7786" spans="23:23">
      <c r="W7786"/>
    </row>
    <row r="7787" spans="23:23">
      <c r="W7787"/>
    </row>
    <row r="7788" spans="23:23">
      <c r="W7788"/>
    </row>
    <row r="7789" spans="23:23">
      <c r="W7789"/>
    </row>
    <row r="7790" spans="23:23">
      <c r="W7790"/>
    </row>
    <row r="7791" spans="23:23">
      <c r="W7791"/>
    </row>
    <row r="7792" spans="23:23">
      <c r="W7792"/>
    </row>
    <row r="7793" spans="23:23">
      <c r="W7793"/>
    </row>
    <row r="7794" spans="23:23">
      <c r="W7794"/>
    </row>
    <row r="7795" spans="23:23">
      <c r="W7795"/>
    </row>
    <row r="7796" spans="23:23">
      <c r="W7796"/>
    </row>
    <row r="7797" spans="23:23">
      <c r="W7797"/>
    </row>
    <row r="7798" spans="23:23">
      <c r="W7798"/>
    </row>
    <row r="7799" spans="23:23">
      <c r="W7799"/>
    </row>
    <row r="7800" spans="23:23">
      <c r="W7800"/>
    </row>
    <row r="7801" spans="23:23">
      <c r="W7801"/>
    </row>
    <row r="7802" spans="23:23">
      <c r="W7802"/>
    </row>
    <row r="7803" spans="23:23">
      <c r="W7803"/>
    </row>
    <row r="7804" spans="23:23">
      <c r="W7804"/>
    </row>
    <row r="7805" spans="23:23">
      <c r="W7805"/>
    </row>
    <row r="7806" spans="23:23">
      <c r="W7806"/>
    </row>
    <row r="7807" spans="23:23">
      <c r="W7807"/>
    </row>
    <row r="7808" spans="23:23">
      <c r="W7808"/>
    </row>
    <row r="7809" spans="23:23">
      <c r="W7809"/>
    </row>
    <row r="7810" spans="23:23">
      <c r="W7810"/>
    </row>
    <row r="7811" spans="23:23">
      <c r="W7811"/>
    </row>
    <row r="7812" spans="23:23">
      <c r="W7812"/>
    </row>
    <row r="7813" spans="23:23">
      <c r="W7813"/>
    </row>
    <row r="7814" spans="23:23">
      <c r="W7814"/>
    </row>
    <row r="7815" spans="23:23">
      <c r="W7815"/>
    </row>
    <row r="7816" spans="23:23">
      <c r="W7816"/>
    </row>
    <row r="7817" spans="23:23">
      <c r="W7817"/>
    </row>
    <row r="7818" spans="23:23">
      <c r="W7818"/>
    </row>
    <row r="7819" spans="23:23">
      <c r="W7819"/>
    </row>
    <row r="7820" spans="23:23">
      <c r="W7820"/>
    </row>
    <row r="7821" spans="23:23">
      <c r="W7821"/>
    </row>
    <row r="7822" spans="23:23">
      <c r="W7822"/>
    </row>
    <row r="7823" spans="23:23">
      <c r="W7823"/>
    </row>
    <row r="7824" spans="23:23">
      <c r="W7824"/>
    </row>
    <row r="7825" spans="23:23">
      <c r="W7825"/>
    </row>
    <row r="7826" spans="23:23">
      <c r="W7826"/>
    </row>
    <row r="7827" spans="23:23">
      <c r="W7827"/>
    </row>
    <row r="7828" spans="23:23">
      <c r="W7828"/>
    </row>
    <row r="7829" spans="23:23">
      <c r="W7829"/>
    </row>
    <row r="7830" spans="23:23">
      <c r="W7830"/>
    </row>
    <row r="7831" spans="23:23">
      <c r="W7831"/>
    </row>
    <row r="7832" spans="23:23">
      <c r="W7832"/>
    </row>
    <row r="7833" spans="23:23">
      <c r="W7833"/>
    </row>
    <row r="7834" spans="23:23">
      <c r="W7834"/>
    </row>
    <row r="7835" spans="23:23">
      <c r="W7835"/>
    </row>
    <row r="7836" spans="23:23">
      <c r="W7836"/>
    </row>
    <row r="7837" spans="23:23">
      <c r="W7837"/>
    </row>
    <row r="7838" spans="23:23">
      <c r="W7838"/>
    </row>
    <row r="7839" spans="23:23">
      <c r="W7839"/>
    </row>
    <row r="7840" spans="23:23">
      <c r="W7840"/>
    </row>
    <row r="7841" spans="23:23">
      <c r="W7841"/>
    </row>
    <row r="7842" spans="23:23">
      <c r="W7842"/>
    </row>
    <row r="7843" spans="23:23">
      <c r="W7843"/>
    </row>
    <row r="7844" spans="23:23">
      <c r="W7844"/>
    </row>
    <row r="7845" spans="23:23">
      <c r="W7845"/>
    </row>
    <row r="7846" spans="23:23">
      <c r="W7846"/>
    </row>
    <row r="7847" spans="23:23">
      <c r="W7847"/>
    </row>
    <row r="7848" spans="23:23">
      <c r="W7848"/>
    </row>
    <row r="7849" spans="23:23">
      <c r="W7849"/>
    </row>
    <row r="7850" spans="23:23">
      <c r="W7850"/>
    </row>
    <row r="7851" spans="23:23">
      <c r="W7851"/>
    </row>
    <row r="7852" spans="23:23">
      <c r="W7852"/>
    </row>
    <row r="7853" spans="23:23">
      <c r="W7853"/>
    </row>
    <row r="7854" spans="23:23">
      <c r="W7854"/>
    </row>
    <row r="7855" spans="23:23">
      <c r="W7855"/>
    </row>
    <row r="7856" spans="23:23">
      <c r="W7856"/>
    </row>
    <row r="7857" spans="23:23">
      <c r="W7857"/>
    </row>
    <row r="7858" spans="23:23">
      <c r="W7858"/>
    </row>
    <row r="7859" spans="23:23">
      <c r="W7859"/>
    </row>
    <row r="7860" spans="23:23">
      <c r="W7860"/>
    </row>
    <row r="7861" spans="23:23">
      <c r="W7861"/>
    </row>
    <row r="7862" spans="23:23">
      <c r="W7862"/>
    </row>
    <row r="7863" spans="23:23">
      <c r="W7863"/>
    </row>
    <row r="7864" spans="23:23">
      <c r="W7864"/>
    </row>
    <row r="7865" spans="23:23">
      <c r="W7865"/>
    </row>
    <row r="7866" spans="23:23">
      <c r="W7866"/>
    </row>
    <row r="7867" spans="23:23">
      <c r="W7867"/>
    </row>
    <row r="7868" spans="23:23">
      <c r="W7868"/>
    </row>
    <row r="7869" spans="23:23">
      <c r="W7869"/>
    </row>
    <row r="7870" spans="23:23">
      <c r="W7870"/>
    </row>
    <row r="7871" spans="23:23">
      <c r="W7871"/>
    </row>
    <row r="7872" spans="23:23">
      <c r="W7872"/>
    </row>
    <row r="7873" spans="23:23">
      <c r="W7873"/>
    </row>
    <row r="7874" spans="23:23">
      <c r="W7874"/>
    </row>
    <row r="7875" spans="23:23">
      <c r="W7875"/>
    </row>
    <row r="7876" spans="23:23">
      <c r="W7876"/>
    </row>
    <row r="7877" spans="23:23">
      <c r="W7877"/>
    </row>
    <row r="7878" spans="23:23">
      <c r="W7878"/>
    </row>
    <row r="7879" spans="23:23">
      <c r="W7879"/>
    </row>
    <row r="7880" spans="23:23">
      <c r="W7880"/>
    </row>
    <row r="7881" spans="23:23">
      <c r="W7881"/>
    </row>
    <row r="7882" spans="23:23">
      <c r="W7882"/>
    </row>
    <row r="7883" spans="23:23">
      <c r="W7883"/>
    </row>
    <row r="7884" spans="23:23">
      <c r="W7884"/>
    </row>
    <row r="7885" spans="23:23">
      <c r="W7885"/>
    </row>
    <row r="7886" spans="23:23">
      <c r="W7886"/>
    </row>
    <row r="7887" spans="23:23">
      <c r="W7887"/>
    </row>
    <row r="7888" spans="23:23">
      <c r="W7888"/>
    </row>
    <row r="7889" spans="23:23">
      <c r="W7889"/>
    </row>
    <row r="7890" spans="23:23">
      <c r="W7890"/>
    </row>
    <row r="7891" spans="23:23">
      <c r="W7891"/>
    </row>
    <row r="7892" spans="23:23">
      <c r="W7892"/>
    </row>
    <row r="7893" spans="23:23">
      <c r="W7893"/>
    </row>
    <row r="7894" spans="23:23">
      <c r="W7894"/>
    </row>
    <row r="7895" spans="23:23">
      <c r="W7895"/>
    </row>
    <row r="7896" spans="23:23">
      <c r="W7896"/>
    </row>
    <row r="7897" spans="23:23">
      <c r="W7897"/>
    </row>
    <row r="7898" spans="23:23">
      <c r="W7898"/>
    </row>
    <row r="7899" spans="23:23">
      <c r="W7899"/>
    </row>
    <row r="7900" spans="23:23">
      <c r="W7900"/>
    </row>
    <row r="7901" spans="23:23">
      <c r="W7901"/>
    </row>
    <row r="7902" spans="23:23">
      <c r="W7902"/>
    </row>
    <row r="7903" spans="23:23">
      <c r="W7903"/>
    </row>
    <row r="7904" spans="23:23">
      <c r="W7904"/>
    </row>
    <row r="7905" spans="23:23">
      <c r="W7905"/>
    </row>
    <row r="7906" spans="23:23">
      <c r="W7906"/>
    </row>
    <row r="7907" spans="23:23">
      <c r="W7907"/>
    </row>
    <row r="7908" spans="23:23">
      <c r="W7908"/>
    </row>
    <row r="7909" spans="23:23">
      <c r="W7909"/>
    </row>
    <row r="7910" spans="23:23">
      <c r="W7910"/>
    </row>
    <row r="7911" spans="23:23">
      <c r="W7911"/>
    </row>
    <row r="7912" spans="23:23">
      <c r="W7912"/>
    </row>
    <row r="7913" spans="23:23">
      <c r="W7913"/>
    </row>
    <row r="7914" spans="23:23">
      <c r="W7914"/>
    </row>
    <row r="7915" spans="23:23">
      <c r="W7915"/>
    </row>
    <row r="7916" spans="23:23">
      <c r="W7916"/>
    </row>
    <row r="7917" spans="23:23">
      <c r="W7917"/>
    </row>
    <row r="7918" spans="23:23">
      <c r="W7918"/>
    </row>
    <row r="7919" spans="23:23">
      <c r="W7919"/>
    </row>
    <row r="7920" spans="23:23">
      <c r="W7920"/>
    </row>
    <row r="7921" spans="23:23">
      <c r="W7921"/>
    </row>
    <row r="7922" spans="23:23">
      <c r="W7922"/>
    </row>
    <row r="7923" spans="23:23">
      <c r="W7923"/>
    </row>
    <row r="7924" spans="23:23">
      <c r="W7924"/>
    </row>
    <row r="7925" spans="23:23">
      <c r="W7925"/>
    </row>
    <row r="7926" spans="23:23">
      <c r="W7926"/>
    </row>
    <row r="7927" spans="23:23">
      <c r="W7927"/>
    </row>
    <row r="7928" spans="23:23">
      <c r="W7928"/>
    </row>
    <row r="7929" spans="23:23">
      <c r="W7929"/>
    </row>
    <row r="7930" spans="23:23">
      <c r="W7930"/>
    </row>
    <row r="7931" spans="23:23">
      <c r="W7931"/>
    </row>
    <row r="7932" spans="23:23">
      <c r="W7932"/>
    </row>
    <row r="7933" spans="23:23">
      <c r="W7933"/>
    </row>
    <row r="7934" spans="23:23">
      <c r="W7934"/>
    </row>
    <row r="7935" spans="23:23">
      <c r="W7935"/>
    </row>
    <row r="7936" spans="23:23">
      <c r="W7936"/>
    </row>
    <row r="7937" spans="23:23">
      <c r="W7937"/>
    </row>
    <row r="7938" spans="23:23">
      <c r="W7938"/>
    </row>
    <row r="7939" spans="23:23">
      <c r="W7939"/>
    </row>
    <row r="7940" spans="23:23">
      <c r="W7940"/>
    </row>
    <row r="7941" spans="23:23">
      <c r="W7941"/>
    </row>
    <row r="7942" spans="23:23">
      <c r="W7942"/>
    </row>
    <row r="7943" spans="23:23">
      <c r="W7943"/>
    </row>
    <row r="7944" spans="23:23">
      <c r="W7944"/>
    </row>
    <row r="7945" spans="23:23">
      <c r="W7945"/>
    </row>
    <row r="7946" spans="23:23">
      <c r="W7946"/>
    </row>
    <row r="7947" spans="23:23">
      <c r="W7947"/>
    </row>
    <row r="7948" spans="23:23">
      <c r="W7948"/>
    </row>
    <row r="7949" spans="23:23">
      <c r="W7949"/>
    </row>
    <row r="7950" spans="23:23">
      <c r="W7950"/>
    </row>
    <row r="7951" spans="23:23">
      <c r="W7951"/>
    </row>
    <row r="7952" spans="23:23">
      <c r="W7952"/>
    </row>
    <row r="7953" spans="23:23">
      <c r="W7953"/>
    </row>
    <row r="7954" spans="23:23">
      <c r="W7954"/>
    </row>
    <row r="7955" spans="23:23">
      <c r="W7955"/>
    </row>
    <row r="7956" spans="23:23">
      <c r="W7956"/>
    </row>
    <row r="7957" spans="23:23">
      <c r="W7957"/>
    </row>
    <row r="7958" spans="23:23">
      <c r="W7958"/>
    </row>
    <row r="7959" spans="23:23">
      <c r="W7959"/>
    </row>
    <row r="7960" spans="23:23">
      <c r="W7960"/>
    </row>
    <row r="7961" spans="23:23">
      <c r="W7961"/>
    </row>
    <row r="7962" spans="23:23">
      <c r="W7962"/>
    </row>
    <row r="7963" spans="23:23">
      <c r="W7963"/>
    </row>
    <row r="7964" spans="23:23">
      <c r="W7964"/>
    </row>
    <row r="7965" spans="23:23">
      <c r="W7965"/>
    </row>
    <row r="7966" spans="23:23">
      <c r="W7966"/>
    </row>
    <row r="7967" spans="23:23">
      <c r="W7967"/>
    </row>
    <row r="7968" spans="23:23">
      <c r="W7968"/>
    </row>
    <row r="7969" spans="23:23">
      <c r="W7969"/>
    </row>
    <row r="7970" spans="23:23">
      <c r="W7970"/>
    </row>
    <row r="7971" spans="23:23">
      <c r="W7971"/>
    </row>
    <row r="7972" spans="23:23">
      <c r="W7972"/>
    </row>
    <row r="7973" spans="23:23">
      <c r="W7973"/>
    </row>
    <row r="7974" spans="23:23">
      <c r="W7974"/>
    </row>
    <row r="7975" spans="23:23">
      <c r="W7975"/>
    </row>
    <row r="7976" spans="23:23">
      <c r="W7976"/>
    </row>
    <row r="7977" spans="23:23">
      <c r="W7977"/>
    </row>
    <row r="7978" spans="23:23">
      <c r="W7978"/>
    </row>
    <row r="7979" spans="23:23">
      <c r="W7979"/>
    </row>
    <row r="7980" spans="23:23">
      <c r="W7980"/>
    </row>
    <row r="7981" spans="23:23">
      <c r="W7981"/>
    </row>
    <row r="7982" spans="23:23">
      <c r="W7982"/>
    </row>
    <row r="7983" spans="23:23">
      <c r="W7983"/>
    </row>
    <row r="7984" spans="23:23">
      <c r="W7984"/>
    </row>
    <row r="7985" spans="23:23">
      <c r="W7985"/>
    </row>
    <row r="7986" spans="23:23">
      <c r="W7986"/>
    </row>
    <row r="7987" spans="23:23">
      <c r="W7987"/>
    </row>
    <row r="7988" spans="23:23">
      <c r="W7988"/>
    </row>
    <row r="7989" spans="23:23">
      <c r="W7989"/>
    </row>
    <row r="7990" spans="23:23">
      <c r="W7990"/>
    </row>
    <row r="7991" spans="23:23">
      <c r="W7991"/>
    </row>
    <row r="7992" spans="23:23">
      <c r="W7992"/>
    </row>
    <row r="7993" spans="23:23">
      <c r="W7993"/>
    </row>
    <row r="7994" spans="23:23">
      <c r="W7994"/>
    </row>
    <row r="7995" spans="23:23">
      <c r="W7995"/>
    </row>
    <row r="7996" spans="23:23">
      <c r="W7996"/>
    </row>
    <row r="7997" spans="23:23">
      <c r="W7997"/>
    </row>
    <row r="7998" spans="23:23">
      <c r="W7998"/>
    </row>
    <row r="7999" spans="23:23">
      <c r="W7999"/>
    </row>
    <row r="8000" spans="23:23">
      <c r="W8000"/>
    </row>
    <row r="8001" spans="23:23">
      <c r="W8001"/>
    </row>
    <row r="8002" spans="23:23">
      <c r="W8002"/>
    </row>
    <row r="8003" spans="23:23">
      <c r="W8003"/>
    </row>
    <row r="8004" spans="23:23">
      <c r="W8004"/>
    </row>
    <row r="8005" spans="23:23">
      <c r="W8005"/>
    </row>
    <row r="8006" spans="23:23">
      <c r="W8006"/>
    </row>
    <row r="8007" spans="23:23">
      <c r="W8007"/>
    </row>
    <row r="8008" spans="23:23">
      <c r="W8008"/>
    </row>
    <row r="8009" spans="23:23">
      <c r="W8009"/>
    </row>
    <row r="8010" spans="23:23">
      <c r="W8010"/>
    </row>
    <row r="8011" spans="23:23">
      <c r="W8011"/>
    </row>
    <row r="8012" spans="23:23">
      <c r="W8012"/>
    </row>
    <row r="8013" spans="23:23">
      <c r="W8013"/>
    </row>
    <row r="8014" spans="23:23">
      <c r="W8014"/>
    </row>
    <row r="8015" spans="23:23">
      <c r="W8015"/>
    </row>
    <row r="8016" spans="23:23">
      <c r="W8016"/>
    </row>
    <row r="8017" spans="23:23">
      <c r="W8017"/>
    </row>
    <row r="8018" spans="23:23">
      <c r="W8018"/>
    </row>
    <row r="8019" spans="23:23">
      <c r="W8019"/>
    </row>
    <row r="8020" spans="23:23">
      <c r="W8020"/>
    </row>
    <row r="8021" spans="23:23">
      <c r="W8021"/>
    </row>
    <row r="8022" spans="23:23">
      <c r="W8022"/>
    </row>
    <row r="8023" spans="23:23">
      <c r="W8023"/>
    </row>
    <row r="8024" spans="23:23">
      <c r="W8024"/>
    </row>
    <row r="8025" spans="23:23">
      <c r="W8025"/>
    </row>
    <row r="8026" spans="23:23">
      <c r="W8026"/>
    </row>
    <row r="8027" spans="23:23">
      <c r="W8027"/>
    </row>
    <row r="8028" spans="23:23">
      <c r="W8028"/>
    </row>
    <row r="8029" spans="23:23">
      <c r="W8029"/>
    </row>
    <row r="8030" spans="23:23">
      <c r="W8030"/>
    </row>
    <row r="8031" spans="23:23">
      <c r="W8031"/>
    </row>
    <row r="8032" spans="23:23">
      <c r="W8032"/>
    </row>
    <row r="8033" spans="23:23">
      <c r="W8033"/>
    </row>
    <row r="8034" spans="23:23">
      <c r="W8034"/>
    </row>
    <row r="8035" spans="23:23">
      <c r="W8035"/>
    </row>
    <row r="8036" spans="23:23">
      <c r="W8036"/>
    </row>
    <row r="8037" spans="23:23">
      <c r="W8037"/>
    </row>
    <row r="8038" spans="23:23">
      <c r="W8038"/>
    </row>
    <row r="8039" spans="23:23">
      <c r="W8039"/>
    </row>
    <row r="8040" spans="23:23">
      <c r="W8040"/>
    </row>
    <row r="8041" spans="23:23">
      <c r="W8041"/>
    </row>
    <row r="8042" spans="23:23">
      <c r="W8042"/>
    </row>
    <row r="8043" spans="23:23">
      <c r="W8043"/>
    </row>
    <row r="8044" spans="23:23">
      <c r="W8044"/>
    </row>
    <row r="8045" spans="23:23">
      <c r="W8045"/>
    </row>
    <row r="8046" spans="23:23">
      <c r="W8046"/>
    </row>
    <row r="8047" spans="23:23">
      <c r="W8047"/>
    </row>
    <row r="8048" spans="23:23">
      <c r="W8048"/>
    </row>
    <row r="8049" spans="23:23">
      <c r="W8049"/>
    </row>
    <row r="8050" spans="23:23">
      <c r="W8050"/>
    </row>
    <row r="8051" spans="23:23">
      <c r="W8051"/>
    </row>
    <row r="8052" spans="23:23">
      <c r="W8052"/>
    </row>
    <row r="8053" spans="23:23">
      <c r="W8053"/>
    </row>
    <row r="8054" spans="23:23">
      <c r="W8054"/>
    </row>
    <row r="8055" spans="23:23">
      <c r="W8055"/>
    </row>
    <row r="8056" spans="23:23">
      <c r="W8056"/>
    </row>
    <row r="8057" spans="23:23">
      <c r="W8057"/>
    </row>
    <row r="8058" spans="23:23">
      <c r="W8058"/>
    </row>
    <row r="8059" spans="23:23">
      <c r="W8059"/>
    </row>
    <row r="8060" spans="23:23">
      <c r="W8060"/>
    </row>
    <row r="8061" spans="23:23">
      <c r="W8061"/>
    </row>
    <row r="8062" spans="23:23">
      <c r="W8062"/>
    </row>
    <row r="8063" spans="23:23">
      <c r="W8063"/>
    </row>
    <row r="8064" spans="23:23">
      <c r="W8064"/>
    </row>
    <row r="8065" spans="23:23">
      <c r="W8065"/>
    </row>
    <row r="8066" spans="23:23">
      <c r="W8066"/>
    </row>
    <row r="8067" spans="23:23">
      <c r="W8067"/>
    </row>
    <row r="8068" spans="23:23">
      <c r="W8068"/>
    </row>
    <row r="8069" spans="23:23">
      <c r="W8069"/>
    </row>
    <row r="8070" spans="23:23">
      <c r="W8070"/>
    </row>
    <row r="8071" spans="23:23">
      <c r="W8071"/>
    </row>
    <row r="8072" spans="23:23">
      <c r="W8072"/>
    </row>
    <row r="8073" spans="23:23">
      <c r="W8073"/>
    </row>
    <row r="8074" spans="23:23">
      <c r="W8074"/>
    </row>
    <row r="8075" spans="23:23">
      <c r="W8075"/>
    </row>
    <row r="8076" spans="23:23">
      <c r="W8076"/>
    </row>
    <row r="8077" spans="23:23">
      <c r="W8077"/>
    </row>
    <row r="8078" spans="23:23">
      <c r="W8078"/>
    </row>
    <row r="8079" spans="23:23">
      <c r="W8079"/>
    </row>
    <row r="8080" spans="23:23">
      <c r="W8080"/>
    </row>
    <row r="8081" spans="23:23">
      <c r="W8081"/>
    </row>
    <row r="8082" spans="23:23">
      <c r="W8082"/>
    </row>
    <row r="8083" spans="23:23">
      <c r="W8083"/>
    </row>
    <row r="8084" spans="23:23">
      <c r="W8084"/>
    </row>
    <row r="8085" spans="23:23">
      <c r="W8085"/>
    </row>
    <row r="8086" spans="23:23">
      <c r="W8086"/>
    </row>
    <row r="8087" spans="23:23">
      <c r="W8087"/>
    </row>
    <row r="8088" spans="23:23">
      <c r="W8088"/>
    </row>
    <row r="8089" spans="23:23">
      <c r="W8089"/>
    </row>
    <row r="8090" spans="23:23">
      <c r="W8090"/>
    </row>
    <row r="8091" spans="23:23">
      <c r="W8091"/>
    </row>
    <row r="8092" spans="23:23">
      <c r="W8092"/>
    </row>
    <row r="8093" spans="23:23">
      <c r="W8093"/>
    </row>
    <row r="8094" spans="23:23">
      <c r="W8094"/>
    </row>
    <row r="8095" spans="23:23">
      <c r="W8095"/>
    </row>
    <row r="8096" spans="23:23">
      <c r="W8096"/>
    </row>
    <row r="8097" spans="23:23">
      <c r="W8097"/>
    </row>
    <row r="8098" spans="23:23">
      <c r="W8098"/>
    </row>
    <row r="8099" spans="23:23">
      <c r="W8099"/>
    </row>
    <row r="8100" spans="23:23">
      <c r="W8100"/>
    </row>
    <row r="8101" spans="23:23">
      <c r="W8101"/>
    </row>
    <row r="8102" spans="23:23">
      <c r="W8102"/>
    </row>
    <row r="8103" spans="23:23">
      <c r="W8103"/>
    </row>
    <row r="8104" spans="23:23">
      <c r="W8104"/>
    </row>
    <row r="8105" spans="23:23">
      <c r="W8105"/>
    </row>
    <row r="8106" spans="23:23">
      <c r="W8106"/>
    </row>
    <row r="8107" spans="23:23">
      <c r="W8107"/>
    </row>
    <row r="8108" spans="23:23">
      <c r="W8108"/>
    </row>
    <row r="8109" spans="23:23">
      <c r="W8109"/>
    </row>
    <row r="8110" spans="23:23">
      <c r="W8110"/>
    </row>
    <row r="8111" spans="23:23">
      <c r="W8111"/>
    </row>
    <row r="8112" spans="23:23">
      <c r="W8112"/>
    </row>
    <row r="8113" spans="23:23">
      <c r="W8113"/>
    </row>
    <row r="8114" spans="23:23">
      <c r="W8114"/>
    </row>
    <row r="8115" spans="23:23">
      <c r="W8115"/>
    </row>
    <row r="8116" spans="23:23">
      <c r="W8116"/>
    </row>
    <row r="8117" spans="23:23">
      <c r="W8117"/>
    </row>
    <row r="8118" spans="23:23">
      <c r="W8118"/>
    </row>
    <row r="8119" spans="23:23">
      <c r="W8119"/>
    </row>
    <row r="8120" spans="23:23">
      <c r="W8120"/>
    </row>
    <row r="8121" spans="23:23">
      <c r="W8121"/>
    </row>
    <row r="8122" spans="23:23">
      <c r="W8122"/>
    </row>
    <row r="8123" spans="23:23">
      <c r="W8123"/>
    </row>
    <row r="8124" spans="23:23">
      <c r="W8124"/>
    </row>
    <row r="8125" spans="23:23">
      <c r="W8125"/>
    </row>
    <row r="8126" spans="23:23">
      <c r="W8126"/>
    </row>
    <row r="8127" spans="23:23">
      <c r="W8127"/>
    </row>
    <row r="8128" spans="23:23">
      <c r="W8128"/>
    </row>
    <row r="8129" spans="23:23">
      <c r="W8129"/>
    </row>
    <row r="8130" spans="23:23">
      <c r="W8130"/>
    </row>
    <row r="8131" spans="23:23">
      <c r="W8131"/>
    </row>
    <row r="8132" spans="23:23">
      <c r="W8132"/>
    </row>
    <row r="8133" spans="23:23">
      <c r="W8133"/>
    </row>
    <row r="8134" spans="23:23">
      <c r="W8134"/>
    </row>
    <row r="8135" spans="23:23">
      <c r="W8135"/>
    </row>
    <row r="8136" spans="23:23">
      <c r="W8136"/>
    </row>
    <row r="8137" spans="23:23">
      <c r="W8137"/>
    </row>
    <row r="8138" spans="23:23">
      <c r="W8138"/>
    </row>
    <row r="8139" spans="23:23">
      <c r="W8139"/>
    </row>
    <row r="8140" spans="23:23">
      <c r="W8140"/>
    </row>
    <row r="8141" spans="23:23">
      <c r="W8141"/>
    </row>
    <row r="8142" spans="23:23">
      <c r="W8142"/>
    </row>
    <row r="8143" spans="23:23">
      <c r="W8143"/>
    </row>
    <row r="8144" spans="23:23">
      <c r="W8144"/>
    </row>
    <row r="8145" spans="23:23">
      <c r="W8145"/>
    </row>
    <row r="8146" spans="23:23">
      <c r="W8146"/>
    </row>
    <row r="8147" spans="23:23">
      <c r="W8147"/>
    </row>
    <row r="8148" spans="23:23">
      <c r="W8148"/>
    </row>
    <row r="8149" spans="23:23">
      <c r="W8149"/>
    </row>
    <row r="8150" spans="23:23">
      <c r="W8150"/>
    </row>
    <row r="8151" spans="23:23">
      <c r="W8151"/>
    </row>
    <row r="8152" spans="23:23">
      <c r="W8152"/>
    </row>
    <row r="8153" spans="23:23">
      <c r="W8153"/>
    </row>
    <row r="8154" spans="23:23">
      <c r="W8154"/>
    </row>
    <row r="8155" spans="23:23">
      <c r="W8155"/>
    </row>
    <row r="8156" spans="23:23">
      <c r="W8156"/>
    </row>
    <row r="8157" spans="23:23">
      <c r="W8157"/>
    </row>
    <row r="8158" spans="23:23">
      <c r="W8158"/>
    </row>
    <row r="8159" spans="23:23">
      <c r="W8159"/>
    </row>
    <row r="8160" spans="23:23">
      <c r="W8160"/>
    </row>
    <row r="8161" spans="23:23">
      <c r="W8161"/>
    </row>
    <row r="8162" spans="23:23">
      <c r="W8162"/>
    </row>
    <row r="8163" spans="23:23">
      <c r="W8163"/>
    </row>
    <row r="8164" spans="23:23">
      <c r="W8164"/>
    </row>
    <row r="8165" spans="23:23">
      <c r="W8165"/>
    </row>
    <row r="8166" spans="23:23">
      <c r="W8166"/>
    </row>
    <row r="8167" spans="23:23">
      <c r="W8167"/>
    </row>
    <row r="8168" spans="23:23">
      <c r="W8168"/>
    </row>
    <row r="8169" spans="23:23">
      <c r="W8169"/>
    </row>
    <row r="8170" spans="23:23">
      <c r="W8170"/>
    </row>
    <row r="8171" spans="23:23">
      <c r="W8171"/>
    </row>
    <row r="8172" spans="23:23">
      <c r="W8172"/>
    </row>
    <row r="8173" spans="23:23">
      <c r="W8173"/>
    </row>
    <row r="8174" spans="23:23">
      <c r="W8174"/>
    </row>
    <row r="8175" spans="23:23">
      <c r="W8175"/>
    </row>
    <row r="8176" spans="23:23">
      <c r="W8176"/>
    </row>
    <row r="8177" spans="23:23">
      <c r="W8177"/>
    </row>
    <row r="8178" spans="23:23">
      <c r="W8178"/>
    </row>
    <row r="8179" spans="23:23">
      <c r="W8179"/>
    </row>
    <row r="8180" spans="23:23">
      <c r="W8180"/>
    </row>
    <row r="8181" spans="23:23">
      <c r="W8181"/>
    </row>
    <row r="8182" spans="23:23">
      <c r="W8182"/>
    </row>
    <row r="8183" spans="23:23">
      <c r="W8183"/>
    </row>
    <row r="8184" spans="23:23">
      <c r="W8184"/>
    </row>
    <row r="8185" spans="23:23">
      <c r="W8185"/>
    </row>
    <row r="8186" spans="23:23">
      <c r="W8186"/>
    </row>
    <row r="8187" spans="23:23">
      <c r="W8187"/>
    </row>
    <row r="8188" spans="23:23">
      <c r="W8188"/>
    </row>
    <row r="8189" spans="23:23">
      <c r="W8189"/>
    </row>
    <row r="8190" spans="23:23">
      <c r="W8190"/>
    </row>
    <row r="8191" spans="23:23">
      <c r="W8191"/>
    </row>
    <row r="8192" spans="23:23">
      <c r="W8192"/>
    </row>
    <row r="8193" spans="23:23">
      <c r="W8193"/>
    </row>
    <row r="8194" spans="23:23">
      <c r="W8194"/>
    </row>
    <row r="8195" spans="23:23">
      <c r="W8195"/>
    </row>
    <row r="8196" spans="23:23">
      <c r="W8196"/>
    </row>
    <row r="8197" spans="23:23">
      <c r="W8197"/>
    </row>
    <row r="8198" spans="23:23">
      <c r="W8198"/>
    </row>
    <row r="8199" spans="23:23">
      <c r="W8199"/>
    </row>
    <row r="8200" spans="23:23">
      <c r="W8200"/>
    </row>
    <row r="8201" spans="23:23">
      <c r="W8201"/>
    </row>
    <row r="8202" spans="23:23">
      <c r="W8202"/>
    </row>
    <row r="8203" spans="23:23">
      <c r="W8203"/>
    </row>
    <row r="8204" spans="23:23">
      <c r="W8204"/>
    </row>
    <row r="8205" spans="23:23">
      <c r="W8205"/>
    </row>
    <row r="8206" spans="23:23">
      <c r="W8206"/>
    </row>
    <row r="8207" spans="23:23">
      <c r="W8207"/>
    </row>
    <row r="8208" spans="23:23">
      <c r="W8208"/>
    </row>
    <row r="8209" spans="23:23">
      <c r="W8209"/>
    </row>
    <row r="8210" spans="23:23">
      <c r="W8210"/>
    </row>
    <row r="8211" spans="23:23">
      <c r="W8211"/>
    </row>
    <row r="8212" spans="23:23">
      <c r="W8212"/>
    </row>
    <row r="8213" spans="23:23">
      <c r="W8213"/>
    </row>
    <row r="8214" spans="23:23">
      <c r="W8214"/>
    </row>
    <row r="8215" spans="23:23">
      <c r="W8215"/>
    </row>
    <row r="8216" spans="23:23">
      <c r="W8216"/>
    </row>
    <row r="8217" spans="23:23">
      <c r="W8217"/>
    </row>
    <row r="8218" spans="23:23">
      <c r="W8218"/>
    </row>
    <row r="8219" spans="23:23">
      <c r="W8219"/>
    </row>
    <row r="8220" spans="23:23">
      <c r="W8220"/>
    </row>
    <row r="8221" spans="23:23">
      <c r="W8221"/>
    </row>
    <row r="8222" spans="23:23">
      <c r="W8222"/>
    </row>
    <row r="8223" spans="23:23">
      <c r="W8223"/>
    </row>
    <row r="8224" spans="23:23">
      <c r="W8224"/>
    </row>
    <row r="8225" spans="23:23">
      <c r="W8225"/>
    </row>
    <row r="8226" spans="23:23">
      <c r="W8226"/>
    </row>
    <row r="8227" spans="23:23">
      <c r="W8227"/>
    </row>
    <row r="8228" spans="23:23">
      <c r="W8228"/>
    </row>
    <row r="8229" spans="23:23">
      <c r="W8229"/>
    </row>
    <row r="8230" spans="23:23">
      <c r="W8230"/>
    </row>
    <row r="8231" spans="23:23">
      <c r="W8231"/>
    </row>
    <row r="8232" spans="23:23">
      <c r="W8232"/>
    </row>
    <row r="8233" spans="23:23">
      <c r="W8233"/>
    </row>
    <row r="8234" spans="23:23">
      <c r="W8234"/>
    </row>
    <row r="8235" spans="23:23">
      <c r="W8235"/>
    </row>
    <row r="8236" spans="23:23">
      <c r="W8236"/>
    </row>
    <row r="8237" spans="23:23">
      <c r="W8237"/>
    </row>
    <row r="8238" spans="23:23">
      <c r="W8238"/>
    </row>
    <row r="8239" spans="23:23">
      <c r="W8239"/>
    </row>
    <row r="8240" spans="23:23">
      <c r="W8240"/>
    </row>
    <row r="8241" spans="23:23">
      <c r="W8241"/>
    </row>
    <row r="8242" spans="23:23">
      <c r="W8242"/>
    </row>
    <row r="8243" spans="23:23">
      <c r="W8243"/>
    </row>
    <row r="8244" spans="23:23">
      <c r="W8244"/>
    </row>
    <row r="8245" spans="23:23">
      <c r="W8245"/>
    </row>
    <row r="8246" spans="23:23">
      <c r="W8246"/>
    </row>
    <row r="8247" spans="23:23">
      <c r="W8247"/>
    </row>
    <row r="8248" spans="23:23">
      <c r="W8248"/>
    </row>
    <row r="8249" spans="23:23">
      <c r="W8249"/>
    </row>
    <row r="8250" spans="23:23">
      <c r="W8250"/>
    </row>
    <row r="8251" spans="23:23">
      <c r="W8251"/>
    </row>
    <row r="8252" spans="23:23">
      <c r="W8252"/>
    </row>
    <row r="8253" spans="23:23">
      <c r="W8253"/>
    </row>
    <row r="8254" spans="23:23">
      <c r="W8254"/>
    </row>
    <row r="8255" spans="23:23">
      <c r="W8255"/>
    </row>
    <row r="8256" spans="23:23">
      <c r="W8256"/>
    </row>
    <row r="8257" spans="23:23">
      <c r="W8257"/>
    </row>
    <row r="8258" spans="23:23">
      <c r="W8258"/>
    </row>
    <row r="8259" spans="23:23">
      <c r="W8259"/>
    </row>
    <row r="8260" spans="23:23">
      <c r="W8260"/>
    </row>
    <row r="8261" spans="23:23">
      <c r="W8261"/>
    </row>
    <row r="8262" spans="23:23">
      <c r="W8262"/>
    </row>
    <row r="8263" spans="23:23">
      <c r="W8263"/>
    </row>
    <row r="8264" spans="23:23">
      <c r="W8264"/>
    </row>
    <row r="8265" spans="23:23">
      <c r="W8265"/>
    </row>
    <row r="8266" spans="23:23">
      <c r="W8266"/>
    </row>
    <row r="8267" spans="23:23">
      <c r="W8267"/>
    </row>
    <row r="8268" spans="23:23">
      <c r="W8268"/>
    </row>
    <row r="8269" spans="23:23">
      <c r="W8269"/>
    </row>
    <row r="8270" spans="23:23">
      <c r="W8270"/>
    </row>
    <row r="8271" spans="23:23">
      <c r="W8271"/>
    </row>
    <row r="8272" spans="23:23">
      <c r="W8272"/>
    </row>
    <row r="8273" spans="23:23">
      <c r="W8273"/>
    </row>
    <row r="8274" spans="23:23">
      <c r="W8274"/>
    </row>
    <row r="8275" spans="23:23">
      <c r="W8275"/>
    </row>
    <row r="8276" spans="23:23">
      <c r="W8276"/>
    </row>
    <row r="8277" spans="23:23">
      <c r="W8277"/>
    </row>
    <row r="8278" spans="23:23">
      <c r="W8278"/>
    </row>
    <row r="8279" spans="23:23">
      <c r="W8279"/>
    </row>
    <row r="8280" spans="23:23">
      <c r="W8280"/>
    </row>
    <row r="8281" spans="23:23">
      <c r="W8281"/>
    </row>
    <row r="8282" spans="23:23">
      <c r="W8282"/>
    </row>
    <row r="8283" spans="23:23">
      <c r="W8283"/>
    </row>
    <row r="8284" spans="23:23">
      <c r="W8284"/>
    </row>
    <row r="8285" spans="23:23">
      <c r="W8285"/>
    </row>
    <row r="8286" spans="23:23">
      <c r="W8286"/>
    </row>
    <row r="8287" spans="23:23">
      <c r="W8287"/>
    </row>
    <row r="8288" spans="23:23">
      <c r="W8288"/>
    </row>
    <row r="8289" spans="23:23">
      <c r="W8289"/>
    </row>
    <row r="8290" spans="23:23">
      <c r="W8290"/>
    </row>
    <row r="8291" spans="23:23">
      <c r="W8291"/>
    </row>
    <row r="8292" spans="23:23">
      <c r="W8292"/>
    </row>
    <row r="8293" spans="23:23">
      <c r="W8293"/>
    </row>
    <row r="8294" spans="23:23">
      <c r="W8294"/>
    </row>
    <row r="8295" spans="23:23">
      <c r="W8295"/>
    </row>
    <row r="8296" spans="23:23">
      <c r="W8296"/>
    </row>
    <row r="8297" spans="23:23">
      <c r="W8297"/>
    </row>
    <row r="8298" spans="23:23">
      <c r="W8298"/>
    </row>
    <row r="8299" spans="23:23">
      <c r="W8299"/>
    </row>
    <row r="8300" spans="23:23">
      <c r="W8300"/>
    </row>
    <row r="8301" spans="23:23">
      <c r="W8301"/>
    </row>
    <row r="8302" spans="23:23">
      <c r="W8302"/>
    </row>
    <row r="8303" spans="23:23">
      <c r="W8303"/>
    </row>
    <row r="8304" spans="23:23">
      <c r="W8304"/>
    </row>
    <row r="8305" spans="23:23">
      <c r="W8305"/>
    </row>
    <row r="8306" spans="23:23">
      <c r="W8306"/>
    </row>
    <row r="8307" spans="23:23">
      <c r="W8307"/>
    </row>
    <row r="8308" spans="23:23">
      <c r="W8308"/>
    </row>
    <row r="8309" spans="23:23">
      <c r="W8309"/>
    </row>
    <row r="8310" spans="23:23">
      <c r="W8310"/>
    </row>
    <row r="8311" spans="23:23">
      <c r="W8311"/>
    </row>
    <row r="8312" spans="23:23">
      <c r="W8312"/>
    </row>
    <row r="8313" spans="23:23">
      <c r="W8313"/>
    </row>
    <row r="8314" spans="23:23">
      <c r="W8314"/>
    </row>
    <row r="8315" spans="23:23">
      <c r="W8315"/>
    </row>
    <row r="8316" spans="23:23">
      <c r="W8316"/>
    </row>
    <row r="8317" spans="23:23">
      <c r="W8317"/>
    </row>
    <row r="8318" spans="23:23">
      <c r="W8318"/>
    </row>
    <row r="8319" spans="23:23">
      <c r="W8319"/>
    </row>
    <row r="8320" spans="23:23">
      <c r="W8320"/>
    </row>
    <row r="8321" spans="23:23">
      <c r="W8321"/>
    </row>
    <row r="8322" spans="23:23">
      <c r="W8322"/>
    </row>
    <row r="8323" spans="23:23">
      <c r="W8323"/>
    </row>
    <row r="8324" spans="23:23">
      <c r="W8324"/>
    </row>
    <row r="8325" spans="23:23">
      <c r="W8325"/>
    </row>
    <row r="8326" spans="23:23">
      <c r="W8326"/>
    </row>
    <row r="8327" spans="23:23">
      <c r="W8327"/>
    </row>
    <row r="8328" spans="23:23">
      <c r="W8328"/>
    </row>
    <row r="8329" spans="23:23">
      <c r="W8329"/>
    </row>
    <row r="8330" spans="23:23">
      <c r="W8330"/>
    </row>
    <row r="8331" spans="23:23">
      <c r="W8331"/>
    </row>
    <row r="8332" spans="23:23">
      <c r="W8332"/>
    </row>
    <row r="8333" spans="23:23">
      <c r="W8333"/>
    </row>
    <row r="8334" spans="23:23">
      <c r="W8334"/>
    </row>
    <row r="8335" spans="23:23">
      <c r="W8335"/>
    </row>
    <row r="8336" spans="23:23">
      <c r="W8336"/>
    </row>
    <row r="8337" spans="23:23">
      <c r="W8337"/>
    </row>
    <row r="8338" spans="23:23">
      <c r="W8338"/>
    </row>
    <row r="8339" spans="23:23">
      <c r="W8339"/>
    </row>
    <row r="8340" spans="23:23">
      <c r="W8340"/>
    </row>
    <row r="8341" spans="23:23">
      <c r="W8341"/>
    </row>
    <row r="8342" spans="23:23">
      <c r="W8342"/>
    </row>
    <row r="8343" spans="23:23">
      <c r="W8343"/>
    </row>
    <row r="8344" spans="23:23">
      <c r="W8344"/>
    </row>
    <row r="8345" spans="23:23">
      <c r="W8345"/>
    </row>
    <row r="8346" spans="23:23">
      <c r="W8346"/>
    </row>
    <row r="8347" spans="23:23">
      <c r="W8347"/>
    </row>
    <row r="8348" spans="23:23">
      <c r="W8348"/>
    </row>
    <row r="8349" spans="23:23">
      <c r="W8349"/>
    </row>
    <row r="8350" spans="23:23">
      <c r="W8350"/>
    </row>
    <row r="8351" spans="23:23">
      <c r="W8351"/>
    </row>
    <row r="8352" spans="23:23">
      <c r="W8352"/>
    </row>
    <row r="8353" spans="23:23">
      <c r="W8353"/>
    </row>
    <row r="8354" spans="23:23">
      <c r="W8354"/>
    </row>
    <row r="8355" spans="23:23">
      <c r="W8355"/>
    </row>
    <row r="8356" spans="23:23">
      <c r="W8356"/>
    </row>
    <row r="8357" spans="23:23">
      <c r="W8357"/>
    </row>
    <row r="8358" spans="23:23">
      <c r="W8358"/>
    </row>
    <row r="8359" spans="23:23">
      <c r="W8359"/>
    </row>
    <row r="8360" spans="23:23">
      <c r="W8360"/>
    </row>
    <row r="8361" spans="23:23">
      <c r="W8361"/>
    </row>
    <row r="8362" spans="23:23">
      <c r="W8362"/>
    </row>
    <row r="8363" spans="23:23">
      <c r="W8363"/>
    </row>
    <row r="8364" spans="23:23">
      <c r="W8364"/>
    </row>
    <row r="8365" spans="23:23">
      <c r="W8365"/>
    </row>
    <row r="8366" spans="23:23">
      <c r="W8366"/>
    </row>
    <row r="8367" spans="23:23">
      <c r="W8367"/>
    </row>
    <row r="8368" spans="23:23">
      <c r="W8368"/>
    </row>
    <row r="8369" spans="23:23">
      <c r="W8369"/>
    </row>
    <row r="8370" spans="23:23">
      <c r="W8370"/>
    </row>
    <row r="8371" spans="23:23">
      <c r="W8371"/>
    </row>
    <row r="8372" spans="23:23">
      <c r="W8372"/>
    </row>
    <row r="8373" spans="23:23">
      <c r="W8373"/>
    </row>
    <row r="8374" spans="23:23">
      <c r="W8374"/>
    </row>
    <row r="8375" spans="23:23">
      <c r="W8375"/>
    </row>
    <row r="8376" spans="23:23">
      <c r="W8376"/>
    </row>
    <row r="8377" spans="23:23">
      <c r="W8377"/>
    </row>
    <row r="8378" spans="23:23">
      <c r="W8378"/>
    </row>
    <row r="8379" spans="23:23">
      <c r="W8379"/>
    </row>
    <row r="8380" spans="23:23">
      <c r="W8380"/>
    </row>
    <row r="8381" spans="23:23">
      <c r="W8381"/>
    </row>
    <row r="8382" spans="23:23">
      <c r="W8382"/>
    </row>
    <row r="8383" spans="23:23">
      <c r="W8383"/>
    </row>
    <row r="8384" spans="23:23">
      <c r="W8384"/>
    </row>
    <row r="8385" spans="23:23">
      <c r="W8385"/>
    </row>
    <row r="8386" spans="23:23">
      <c r="W8386"/>
    </row>
    <row r="8387" spans="23:23">
      <c r="W8387"/>
    </row>
    <row r="8388" spans="23:23">
      <c r="W8388"/>
    </row>
    <row r="8389" spans="23:23">
      <c r="W8389"/>
    </row>
    <row r="8390" spans="23:23">
      <c r="W8390"/>
    </row>
    <row r="8391" spans="23:23">
      <c r="W8391"/>
    </row>
    <row r="8392" spans="23:23">
      <c r="W8392"/>
    </row>
    <row r="8393" spans="23:23">
      <c r="W8393"/>
    </row>
    <row r="8394" spans="23:23">
      <c r="W8394"/>
    </row>
    <row r="8395" spans="23:23">
      <c r="W8395"/>
    </row>
    <row r="8396" spans="23:23">
      <c r="W8396"/>
    </row>
    <row r="8397" spans="23:23">
      <c r="W8397"/>
    </row>
    <row r="8398" spans="23:23">
      <c r="W8398"/>
    </row>
    <row r="8399" spans="23:23">
      <c r="W8399"/>
    </row>
    <row r="8400" spans="23:23">
      <c r="W8400"/>
    </row>
    <row r="8401" spans="23:23">
      <c r="W8401"/>
    </row>
    <row r="8402" spans="23:23">
      <c r="W8402"/>
    </row>
    <row r="8403" spans="23:23">
      <c r="W8403"/>
    </row>
    <row r="8404" spans="23:23">
      <c r="W8404"/>
    </row>
    <row r="8405" spans="23:23">
      <c r="W8405"/>
    </row>
    <row r="8406" spans="23:23">
      <c r="W8406"/>
    </row>
    <row r="8407" spans="23:23">
      <c r="W8407"/>
    </row>
    <row r="8408" spans="23:23">
      <c r="W8408"/>
    </row>
    <row r="8409" spans="23:23">
      <c r="W8409"/>
    </row>
    <row r="8410" spans="23:23">
      <c r="W8410"/>
    </row>
    <row r="8411" spans="23:23">
      <c r="W8411"/>
    </row>
    <row r="8412" spans="23:23">
      <c r="W8412"/>
    </row>
    <row r="8413" spans="23:23">
      <c r="W8413"/>
    </row>
    <row r="8414" spans="23:23">
      <c r="W8414"/>
    </row>
    <row r="8415" spans="23:23">
      <c r="W8415"/>
    </row>
    <row r="8416" spans="23:23">
      <c r="W8416"/>
    </row>
    <row r="8417" spans="23:23">
      <c r="W8417"/>
    </row>
    <row r="8418" spans="23:23">
      <c r="W8418"/>
    </row>
    <row r="8419" spans="23:23">
      <c r="W8419"/>
    </row>
    <row r="8420" spans="23:23">
      <c r="W8420"/>
    </row>
    <row r="8421" spans="23:23">
      <c r="W8421"/>
    </row>
    <row r="8422" spans="23:23">
      <c r="W8422"/>
    </row>
    <row r="8423" spans="23:23">
      <c r="W8423"/>
    </row>
    <row r="8424" spans="23:23">
      <c r="W8424"/>
    </row>
    <row r="8425" spans="23:23">
      <c r="W8425"/>
    </row>
    <row r="8426" spans="23:23">
      <c r="W8426"/>
    </row>
    <row r="8427" spans="23:23">
      <c r="W8427"/>
    </row>
    <row r="8428" spans="23:23">
      <c r="W8428"/>
    </row>
    <row r="8429" spans="23:23">
      <c r="W8429"/>
    </row>
    <row r="8430" spans="23:23">
      <c r="W8430"/>
    </row>
    <row r="8431" spans="23:23">
      <c r="W8431"/>
    </row>
    <row r="8432" spans="23:23">
      <c r="W8432"/>
    </row>
    <row r="8433" spans="23:23">
      <c r="W8433"/>
    </row>
    <row r="8434" spans="23:23">
      <c r="W8434"/>
    </row>
    <row r="8435" spans="23:23">
      <c r="W8435"/>
    </row>
    <row r="8436" spans="23:23">
      <c r="W8436"/>
    </row>
    <row r="8437" spans="23:23">
      <c r="W8437"/>
    </row>
    <row r="8438" spans="23:23">
      <c r="W8438"/>
    </row>
    <row r="8439" spans="23:23">
      <c r="W8439"/>
    </row>
    <row r="8440" spans="23:23">
      <c r="W8440"/>
    </row>
    <row r="8441" spans="23:23">
      <c r="W8441"/>
    </row>
    <row r="8442" spans="23:23">
      <c r="W8442"/>
    </row>
    <row r="8443" spans="23:23">
      <c r="W8443"/>
    </row>
    <row r="8444" spans="23:23">
      <c r="W8444"/>
    </row>
    <row r="8445" spans="23:23">
      <c r="W8445"/>
    </row>
    <row r="8446" spans="23:23">
      <c r="W8446"/>
    </row>
    <row r="8447" spans="23:23">
      <c r="W8447"/>
    </row>
    <row r="8448" spans="23:23">
      <c r="W8448"/>
    </row>
    <row r="8449" spans="23:23">
      <c r="W8449"/>
    </row>
    <row r="8450" spans="23:23">
      <c r="W8450"/>
    </row>
    <row r="8451" spans="23:23">
      <c r="W8451"/>
    </row>
    <row r="8452" spans="23:23">
      <c r="W8452"/>
    </row>
    <row r="8453" spans="23:23">
      <c r="W8453"/>
    </row>
    <row r="8454" spans="23:23">
      <c r="W8454"/>
    </row>
    <row r="8455" spans="23:23">
      <c r="W8455"/>
    </row>
    <row r="8456" spans="23:23">
      <c r="W8456"/>
    </row>
    <row r="8457" spans="23:23">
      <c r="W8457"/>
    </row>
    <row r="8458" spans="23:23">
      <c r="W8458"/>
    </row>
    <row r="8459" spans="23:23">
      <c r="W8459"/>
    </row>
    <row r="8460" spans="23:23">
      <c r="W8460"/>
    </row>
    <row r="8461" spans="23:23">
      <c r="W8461"/>
    </row>
    <row r="8462" spans="23:23">
      <c r="W8462"/>
    </row>
    <row r="8463" spans="23:23">
      <c r="W8463"/>
    </row>
    <row r="8464" spans="23:23">
      <c r="W8464"/>
    </row>
    <row r="8465" spans="23:23">
      <c r="W8465"/>
    </row>
    <row r="8466" spans="23:23">
      <c r="W8466"/>
    </row>
    <row r="8467" spans="23:23">
      <c r="W8467"/>
    </row>
    <row r="8468" spans="23:23">
      <c r="W8468"/>
    </row>
    <row r="8469" spans="23:23">
      <c r="W8469"/>
    </row>
    <row r="8470" spans="23:23">
      <c r="W8470"/>
    </row>
    <row r="8471" spans="23:23">
      <c r="W8471"/>
    </row>
    <row r="8472" spans="23:23">
      <c r="W8472"/>
    </row>
    <row r="8473" spans="23:23">
      <c r="W8473"/>
    </row>
    <row r="8474" spans="23:23">
      <c r="W8474"/>
    </row>
    <row r="8475" spans="23:23">
      <c r="W8475"/>
    </row>
    <row r="8476" spans="23:23">
      <c r="W8476"/>
    </row>
    <row r="8477" spans="23:23">
      <c r="W8477"/>
    </row>
    <row r="8478" spans="23:23">
      <c r="W8478"/>
    </row>
    <row r="8479" spans="23:23">
      <c r="W8479"/>
    </row>
    <row r="8480" spans="23:23">
      <c r="W8480"/>
    </row>
    <row r="8481" spans="23:23">
      <c r="W8481"/>
    </row>
    <row r="8482" spans="23:23">
      <c r="W8482"/>
    </row>
    <row r="8483" spans="23:23">
      <c r="W8483"/>
    </row>
    <row r="8484" spans="23:23">
      <c r="W8484"/>
    </row>
    <row r="8485" spans="23:23">
      <c r="W8485"/>
    </row>
    <row r="8486" spans="23:23">
      <c r="W8486"/>
    </row>
    <row r="8487" spans="23:23">
      <c r="W8487"/>
    </row>
    <row r="8488" spans="23:23">
      <c r="W8488"/>
    </row>
    <row r="8489" spans="23:23">
      <c r="W8489"/>
    </row>
    <row r="8490" spans="23:23">
      <c r="W8490"/>
    </row>
    <row r="8491" spans="23:23">
      <c r="W8491"/>
    </row>
    <row r="8492" spans="23:23">
      <c r="W8492"/>
    </row>
    <row r="8493" spans="23:23">
      <c r="W8493"/>
    </row>
    <row r="8494" spans="23:23">
      <c r="W8494"/>
    </row>
    <row r="8495" spans="23:23">
      <c r="W8495"/>
    </row>
    <row r="8496" spans="23:23">
      <c r="W8496"/>
    </row>
    <row r="8497" spans="23:23">
      <c r="W8497"/>
    </row>
    <row r="8498" spans="23:23">
      <c r="W8498"/>
    </row>
    <row r="8499" spans="23:23">
      <c r="W8499"/>
    </row>
    <row r="8500" spans="23:23">
      <c r="W8500"/>
    </row>
    <row r="8501" spans="23:23">
      <c r="W8501"/>
    </row>
    <row r="8502" spans="23:23">
      <c r="W8502"/>
    </row>
    <row r="8503" spans="23:23">
      <c r="W8503"/>
    </row>
    <row r="8504" spans="23:23">
      <c r="W8504"/>
    </row>
    <row r="8505" spans="23:23">
      <c r="W8505"/>
    </row>
    <row r="8506" spans="23:23">
      <c r="W8506"/>
    </row>
    <row r="8507" spans="23:23">
      <c r="W8507"/>
    </row>
    <row r="8508" spans="23:23">
      <c r="W8508"/>
    </row>
    <row r="8509" spans="23:23">
      <c r="W8509"/>
    </row>
    <row r="8510" spans="23:23">
      <c r="W8510"/>
    </row>
    <row r="8511" spans="23:23">
      <c r="W8511"/>
    </row>
    <row r="8512" spans="23:23">
      <c r="W8512"/>
    </row>
    <row r="8513" spans="23:23">
      <c r="W8513"/>
    </row>
    <row r="8514" spans="23:23">
      <c r="W8514"/>
    </row>
    <row r="8515" spans="23:23">
      <c r="W8515"/>
    </row>
    <row r="8516" spans="23:23">
      <c r="W8516"/>
    </row>
    <row r="8517" spans="23:23">
      <c r="W8517"/>
    </row>
    <row r="8518" spans="23:23">
      <c r="W8518"/>
    </row>
    <row r="8519" spans="23:23">
      <c r="W8519"/>
    </row>
    <row r="8520" spans="23:23">
      <c r="W8520"/>
    </row>
    <row r="8521" spans="23:23">
      <c r="W8521"/>
    </row>
    <row r="8522" spans="23:23">
      <c r="W8522"/>
    </row>
    <row r="8523" spans="23:23">
      <c r="W8523"/>
    </row>
    <row r="8524" spans="23:23">
      <c r="W8524"/>
    </row>
    <row r="8525" spans="23:23">
      <c r="W8525"/>
    </row>
    <row r="8526" spans="23:23">
      <c r="W8526"/>
    </row>
    <row r="8527" spans="23:23">
      <c r="W8527"/>
    </row>
    <row r="8528" spans="23:23">
      <c r="W8528"/>
    </row>
    <row r="8529" spans="23:23">
      <c r="W8529"/>
    </row>
    <row r="8530" spans="23:23">
      <c r="W8530"/>
    </row>
    <row r="8531" spans="23:23">
      <c r="W8531"/>
    </row>
    <row r="8532" spans="23:23">
      <c r="W8532"/>
    </row>
    <row r="8533" spans="23:23">
      <c r="W8533"/>
    </row>
    <row r="8534" spans="23:23">
      <c r="W8534"/>
    </row>
    <row r="8535" spans="23:23">
      <c r="W8535"/>
    </row>
    <row r="8536" spans="23:23">
      <c r="W8536"/>
    </row>
    <row r="8537" spans="23:23">
      <c r="W8537"/>
    </row>
    <row r="8538" spans="23:23">
      <c r="W8538"/>
    </row>
    <row r="8539" spans="23:23">
      <c r="W8539"/>
    </row>
    <row r="8540" spans="23:23">
      <c r="W8540"/>
    </row>
    <row r="8541" spans="23:23">
      <c r="W8541"/>
    </row>
    <row r="8542" spans="23:23">
      <c r="W8542"/>
    </row>
    <row r="8543" spans="23:23">
      <c r="W8543"/>
    </row>
    <row r="8544" spans="23:23">
      <c r="W8544"/>
    </row>
    <row r="8545" spans="23:23">
      <c r="W8545"/>
    </row>
    <row r="8546" spans="23:23">
      <c r="W8546"/>
    </row>
    <row r="8547" spans="23:23">
      <c r="W8547"/>
    </row>
    <row r="8548" spans="23:23">
      <c r="W8548"/>
    </row>
    <row r="8549" spans="23:23">
      <c r="W8549"/>
    </row>
    <row r="8550" spans="23:23">
      <c r="W8550"/>
    </row>
    <row r="8551" spans="23:23">
      <c r="W8551"/>
    </row>
    <row r="8552" spans="23:23">
      <c r="W8552"/>
    </row>
    <row r="8553" spans="23:23">
      <c r="W8553"/>
    </row>
    <row r="8554" spans="23:23">
      <c r="W8554"/>
    </row>
    <row r="8555" spans="23:23">
      <c r="W8555"/>
    </row>
    <row r="8556" spans="23:23">
      <c r="W8556"/>
    </row>
    <row r="8557" spans="23:23">
      <c r="W8557"/>
    </row>
    <row r="8558" spans="23:23">
      <c r="W8558"/>
    </row>
    <row r="8559" spans="23:23">
      <c r="W8559"/>
    </row>
    <row r="8560" spans="23:23">
      <c r="W8560"/>
    </row>
    <row r="8561" spans="23:23">
      <c r="W8561"/>
    </row>
    <row r="8562" spans="23:23">
      <c r="W8562"/>
    </row>
    <row r="8563" spans="23:23">
      <c r="W8563"/>
    </row>
    <row r="8564" spans="23:23">
      <c r="W8564"/>
    </row>
    <row r="8565" spans="23:23">
      <c r="W8565"/>
    </row>
    <row r="8566" spans="23:23">
      <c r="W8566"/>
    </row>
    <row r="8567" spans="23:23">
      <c r="W8567"/>
    </row>
    <row r="8568" spans="23:23">
      <c r="W8568"/>
    </row>
    <row r="8569" spans="23:23">
      <c r="W8569"/>
    </row>
    <row r="8570" spans="23:23">
      <c r="W8570"/>
    </row>
    <row r="8571" spans="23:23">
      <c r="W8571"/>
    </row>
    <row r="8572" spans="23:23">
      <c r="W8572"/>
    </row>
    <row r="8573" spans="23:23">
      <c r="W8573"/>
    </row>
    <row r="8574" spans="23:23">
      <c r="W8574"/>
    </row>
    <row r="8575" spans="23:23">
      <c r="W8575"/>
    </row>
    <row r="8576" spans="23:23">
      <c r="W8576"/>
    </row>
    <row r="8577" spans="23:23">
      <c r="W8577"/>
    </row>
    <row r="8578" spans="23:23">
      <c r="W8578"/>
    </row>
    <row r="8579" spans="23:23">
      <c r="W8579"/>
    </row>
    <row r="8580" spans="23:23">
      <c r="W8580"/>
    </row>
    <row r="8581" spans="23:23">
      <c r="W8581"/>
    </row>
    <row r="8582" spans="23:23">
      <c r="W8582"/>
    </row>
    <row r="8583" spans="23:23">
      <c r="W8583"/>
    </row>
    <row r="8584" spans="23:23">
      <c r="W8584"/>
    </row>
    <row r="8585" spans="23:23">
      <c r="W8585"/>
    </row>
    <row r="8586" spans="23:23">
      <c r="W8586"/>
    </row>
    <row r="8587" spans="23:23">
      <c r="W8587"/>
    </row>
    <row r="8588" spans="23:23">
      <c r="W8588"/>
    </row>
    <row r="8589" spans="23:23">
      <c r="W8589"/>
    </row>
    <row r="8590" spans="23:23">
      <c r="W8590"/>
    </row>
    <row r="8591" spans="23:23">
      <c r="W8591"/>
    </row>
    <row r="8592" spans="23:23">
      <c r="W8592"/>
    </row>
    <row r="8593" spans="23:23">
      <c r="W8593"/>
    </row>
    <row r="8594" spans="23:23">
      <c r="W8594"/>
    </row>
    <row r="8595" spans="23:23">
      <c r="W8595"/>
    </row>
    <row r="8596" spans="23:23">
      <c r="W8596"/>
    </row>
    <row r="8597" spans="23:23">
      <c r="W8597"/>
    </row>
    <row r="8598" spans="23:23">
      <c r="W8598"/>
    </row>
    <row r="8599" spans="23:23">
      <c r="W8599"/>
    </row>
    <row r="8600" spans="23:23">
      <c r="W8600"/>
    </row>
    <row r="8601" spans="23:23">
      <c r="W8601"/>
    </row>
    <row r="8602" spans="23:23">
      <c r="W8602"/>
    </row>
    <row r="8603" spans="23:23">
      <c r="W8603"/>
    </row>
    <row r="8604" spans="23:23">
      <c r="W8604"/>
    </row>
    <row r="8605" spans="23:23">
      <c r="W8605"/>
    </row>
    <row r="8606" spans="23:23">
      <c r="W8606"/>
    </row>
    <row r="8607" spans="23:23">
      <c r="W8607"/>
    </row>
    <row r="8608" spans="23:23">
      <c r="W8608"/>
    </row>
    <row r="8609" spans="23:23">
      <c r="W8609"/>
    </row>
    <row r="8610" spans="23:23">
      <c r="W8610"/>
    </row>
    <row r="8611" spans="23:23">
      <c r="W8611"/>
    </row>
    <row r="8612" spans="23:23">
      <c r="W8612"/>
    </row>
    <row r="8613" spans="23:23">
      <c r="W8613"/>
    </row>
    <row r="8614" spans="23:23">
      <c r="W8614"/>
    </row>
    <row r="8615" spans="23:23">
      <c r="W8615"/>
    </row>
    <row r="8616" spans="23:23">
      <c r="W8616"/>
    </row>
    <row r="8617" spans="23:23">
      <c r="W8617"/>
    </row>
    <row r="8618" spans="23:23">
      <c r="W8618"/>
    </row>
    <row r="8619" spans="23:23">
      <c r="W8619"/>
    </row>
    <row r="8620" spans="23:23">
      <c r="W8620"/>
    </row>
    <row r="8621" spans="23:23">
      <c r="W8621"/>
    </row>
    <row r="8622" spans="23:23">
      <c r="W8622"/>
    </row>
    <row r="8623" spans="23:23">
      <c r="W8623"/>
    </row>
    <row r="8624" spans="23:23">
      <c r="W8624"/>
    </row>
    <row r="8625" spans="23:23">
      <c r="W8625"/>
    </row>
    <row r="8626" spans="23:23">
      <c r="W8626"/>
    </row>
    <row r="8627" spans="23:23">
      <c r="W8627"/>
    </row>
    <row r="8628" spans="23:23">
      <c r="W8628"/>
    </row>
    <row r="8629" spans="23:23">
      <c r="W8629"/>
    </row>
    <row r="8630" spans="23:23">
      <c r="W8630"/>
    </row>
    <row r="8631" spans="23:23">
      <c r="W8631"/>
    </row>
    <row r="8632" spans="23:23">
      <c r="W8632"/>
    </row>
    <row r="8633" spans="23:23">
      <c r="W8633"/>
    </row>
    <row r="8634" spans="23:23">
      <c r="W8634"/>
    </row>
    <row r="8635" spans="23:23">
      <c r="W8635"/>
    </row>
    <row r="8636" spans="23:23">
      <c r="W8636"/>
    </row>
    <row r="8637" spans="23:23">
      <c r="W8637"/>
    </row>
    <row r="8638" spans="23:23">
      <c r="W8638"/>
    </row>
    <row r="8639" spans="23:23">
      <c r="W8639"/>
    </row>
    <row r="8640" spans="23:23">
      <c r="W8640"/>
    </row>
    <row r="8641" spans="23:23">
      <c r="W8641"/>
    </row>
    <row r="8642" spans="23:23">
      <c r="W8642"/>
    </row>
    <row r="8643" spans="23:23">
      <c r="W8643"/>
    </row>
    <row r="8644" spans="23:23">
      <c r="W8644"/>
    </row>
    <row r="8645" spans="23:23">
      <c r="W8645"/>
    </row>
    <row r="8646" spans="23:23">
      <c r="W8646"/>
    </row>
    <row r="8647" spans="23:23">
      <c r="W8647"/>
    </row>
    <row r="8648" spans="23:23">
      <c r="W8648"/>
    </row>
    <row r="8649" spans="23:23">
      <c r="W8649"/>
    </row>
    <row r="8650" spans="23:23">
      <c r="W8650"/>
    </row>
    <row r="8651" spans="23:23">
      <c r="W8651"/>
    </row>
    <row r="8652" spans="23:23">
      <c r="W8652"/>
    </row>
    <row r="8653" spans="23:23">
      <c r="W8653"/>
    </row>
    <row r="8654" spans="23:23">
      <c r="W8654"/>
    </row>
    <row r="8655" spans="23:23">
      <c r="W8655"/>
    </row>
    <row r="8656" spans="23:23">
      <c r="W8656"/>
    </row>
    <row r="8657" spans="23:23">
      <c r="W8657"/>
    </row>
    <row r="8658" spans="23:23">
      <c r="W8658"/>
    </row>
    <row r="8659" spans="23:23">
      <c r="W8659"/>
    </row>
    <row r="8660" spans="23:23">
      <c r="W8660"/>
    </row>
    <row r="8661" spans="23:23">
      <c r="W8661"/>
    </row>
    <row r="8662" spans="23:23">
      <c r="W8662"/>
    </row>
    <row r="8663" spans="23:23">
      <c r="W8663"/>
    </row>
    <row r="8664" spans="23:23">
      <c r="W8664"/>
    </row>
    <row r="8665" spans="23:23">
      <c r="W8665"/>
    </row>
    <row r="8666" spans="23:23">
      <c r="W8666"/>
    </row>
    <row r="8667" spans="23:23">
      <c r="W8667"/>
    </row>
    <row r="8668" spans="23:23">
      <c r="W8668"/>
    </row>
    <row r="8669" spans="23:23">
      <c r="W8669"/>
    </row>
    <row r="8670" spans="23:23">
      <c r="W8670"/>
    </row>
    <row r="8671" spans="23:23">
      <c r="W8671"/>
    </row>
    <row r="8672" spans="23:23">
      <c r="W8672"/>
    </row>
    <row r="8673" spans="23:23">
      <c r="W8673"/>
    </row>
    <row r="8674" spans="23:23">
      <c r="W8674"/>
    </row>
    <row r="8675" spans="23:23">
      <c r="W8675"/>
    </row>
    <row r="8676" spans="23:23">
      <c r="W8676"/>
    </row>
    <row r="8677" spans="23:23">
      <c r="W8677"/>
    </row>
    <row r="8678" spans="23:23">
      <c r="W8678"/>
    </row>
    <row r="8679" spans="23:23">
      <c r="W8679"/>
    </row>
    <row r="8680" spans="23:23">
      <c r="W8680"/>
    </row>
    <row r="8681" spans="23:23">
      <c r="W8681"/>
    </row>
    <row r="8682" spans="23:23">
      <c r="W8682"/>
    </row>
    <row r="8683" spans="23:23">
      <c r="W8683"/>
    </row>
    <row r="8684" spans="23:23">
      <c r="W8684"/>
    </row>
    <row r="8685" spans="23:23">
      <c r="W8685"/>
    </row>
    <row r="8686" spans="23:23">
      <c r="W8686"/>
    </row>
    <row r="8687" spans="23:23">
      <c r="W8687"/>
    </row>
    <row r="8688" spans="23:23">
      <c r="W8688"/>
    </row>
    <row r="8689" spans="23:23">
      <c r="W8689"/>
    </row>
    <row r="8690" spans="23:23">
      <c r="W8690"/>
    </row>
    <row r="8691" spans="23:23">
      <c r="W8691"/>
    </row>
    <row r="8692" spans="23:23">
      <c r="W8692"/>
    </row>
    <row r="8693" spans="23:23">
      <c r="W8693"/>
    </row>
    <row r="8694" spans="23:23">
      <c r="W8694"/>
    </row>
    <row r="8695" spans="23:23">
      <c r="W8695"/>
    </row>
    <row r="8696" spans="23:23">
      <c r="W8696"/>
    </row>
    <row r="8697" spans="23:23">
      <c r="W8697"/>
    </row>
    <row r="8698" spans="23:23">
      <c r="W8698"/>
    </row>
    <row r="8699" spans="23:23">
      <c r="W8699"/>
    </row>
    <row r="8700" spans="23:23">
      <c r="W8700"/>
    </row>
    <row r="8701" spans="23:23">
      <c r="W8701"/>
    </row>
    <row r="8702" spans="23:23">
      <c r="W8702"/>
    </row>
    <row r="8703" spans="23:23">
      <c r="W8703"/>
    </row>
    <row r="8704" spans="23:23">
      <c r="W8704"/>
    </row>
    <row r="8705" spans="23:23">
      <c r="W8705"/>
    </row>
    <row r="8706" spans="23:23">
      <c r="W8706"/>
    </row>
    <row r="8707" spans="23:23">
      <c r="W8707"/>
    </row>
    <row r="8708" spans="23:23">
      <c r="W8708"/>
    </row>
    <row r="8709" spans="23:23">
      <c r="W8709"/>
    </row>
    <row r="8710" spans="23:23">
      <c r="W8710"/>
    </row>
    <row r="8711" spans="23:23">
      <c r="W8711"/>
    </row>
    <row r="8712" spans="23:23">
      <c r="W8712"/>
    </row>
    <row r="8713" spans="23:23">
      <c r="W8713"/>
    </row>
    <row r="8714" spans="23:23">
      <c r="W8714"/>
    </row>
    <row r="8715" spans="23:23">
      <c r="W8715"/>
    </row>
    <row r="8716" spans="23:23">
      <c r="W8716"/>
    </row>
    <row r="8717" spans="23:23">
      <c r="W8717"/>
    </row>
    <row r="8718" spans="23:23">
      <c r="W8718"/>
    </row>
    <row r="8719" spans="23:23">
      <c r="W8719"/>
    </row>
    <row r="8720" spans="23:23">
      <c r="W8720"/>
    </row>
    <row r="8721" spans="23:23">
      <c r="W8721"/>
    </row>
    <row r="8722" spans="23:23">
      <c r="W8722"/>
    </row>
    <row r="8723" spans="23:23">
      <c r="W8723"/>
    </row>
    <row r="8724" spans="23:23">
      <c r="W8724"/>
    </row>
    <row r="8725" spans="23:23">
      <c r="W8725"/>
    </row>
    <row r="8726" spans="23:23">
      <c r="W8726"/>
    </row>
    <row r="8727" spans="23:23">
      <c r="W8727"/>
    </row>
    <row r="8728" spans="23:23">
      <c r="W8728"/>
    </row>
    <row r="8729" spans="23:23">
      <c r="W8729"/>
    </row>
    <row r="8730" spans="23:23">
      <c r="W8730"/>
    </row>
    <row r="8731" spans="23:23">
      <c r="W8731"/>
    </row>
    <row r="8732" spans="23:23">
      <c r="W8732"/>
    </row>
    <row r="8733" spans="23:23">
      <c r="W8733"/>
    </row>
    <row r="8734" spans="23:23">
      <c r="W8734"/>
    </row>
    <row r="8735" spans="23:23">
      <c r="W8735"/>
    </row>
    <row r="8736" spans="23:23">
      <c r="W8736"/>
    </row>
    <row r="8737" spans="23:23">
      <c r="W8737"/>
    </row>
    <row r="8738" spans="23:23">
      <c r="W8738"/>
    </row>
    <row r="8739" spans="23:23">
      <c r="W8739"/>
    </row>
    <row r="8740" spans="23:23">
      <c r="W8740"/>
    </row>
    <row r="8741" spans="23:23">
      <c r="W8741"/>
    </row>
    <row r="8742" spans="23:23">
      <c r="W8742"/>
    </row>
    <row r="8743" spans="23:23">
      <c r="W8743"/>
    </row>
    <row r="8744" spans="23:23">
      <c r="W8744"/>
    </row>
    <row r="8745" spans="23:23">
      <c r="W8745"/>
    </row>
    <row r="8746" spans="23:23">
      <c r="W8746"/>
    </row>
    <row r="8747" spans="23:23">
      <c r="W8747"/>
    </row>
    <row r="8748" spans="23:23">
      <c r="W8748"/>
    </row>
    <row r="8749" spans="23:23">
      <c r="W8749"/>
    </row>
    <row r="8750" spans="23:23">
      <c r="W8750"/>
    </row>
    <row r="8751" spans="23:23">
      <c r="W8751"/>
    </row>
    <row r="8752" spans="23:23">
      <c r="W8752"/>
    </row>
    <row r="8753" spans="23:23">
      <c r="W8753"/>
    </row>
    <row r="8754" spans="23:23">
      <c r="W8754"/>
    </row>
    <row r="8755" spans="23:23">
      <c r="W8755"/>
    </row>
    <row r="8756" spans="23:23">
      <c r="W8756"/>
    </row>
    <row r="8757" spans="23:23">
      <c r="W8757"/>
    </row>
    <row r="8758" spans="23:23">
      <c r="W8758"/>
    </row>
    <row r="8759" spans="23:23">
      <c r="W8759"/>
    </row>
    <row r="8760" spans="23:23">
      <c r="W8760"/>
    </row>
    <row r="8761" spans="23:23">
      <c r="W8761"/>
    </row>
    <row r="8762" spans="23:23">
      <c r="W8762"/>
    </row>
    <row r="8763" spans="23:23">
      <c r="W8763"/>
    </row>
    <row r="8764" spans="23:23">
      <c r="W8764"/>
    </row>
    <row r="8765" spans="23:23">
      <c r="W8765"/>
    </row>
    <row r="8766" spans="23:23">
      <c r="W8766"/>
    </row>
    <row r="8767" spans="23:23">
      <c r="W8767"/>
    </row>
    <row r="8768" spans="23:23">
      <c r="W8768"/>
    </row>
    <row r="8769" spans="23:23">
      <c r="W8769"/>
    </row>
    <row r="8770" spans="23:23">
      <c r="W8770"/>
    </row>
    <row r="8771" spans="23:23">
      <c r="W8771"/>
    </row>
    <row r="8772" spans="23:23">
      <c r="W8772"/>
    </row>
    <row r="8773" spans="23:23">
      <c r="W8773"/>
    </row>
    <row r="8774" spans="23:23">
      <c r="W8774"/>
    </row>
    <row r="8775" spans="23:23">
      <c r="W8775"/>
    </row>
    <row r="8776" spans="23:23">
      <c r="W8776"/>
    </row>
    <row r="8777" spans="23:23">
      <c r="W8777"/>
    </row>
    <row r="8778" spans="23:23">
      <c r="W8778"/>
    </row>
    <row r="8779" spans="23:23">
      <c r="W8779"/>
    </row>
    <row r="8780" spans="23:23">
      <c r="W8780"/>
    </row>
    <row r="8781" spans="23:23">
      <c r="W8781"/>
    </row>
    <row r="8782" spans="23:23">
      <c r="W8782"/>
    </row>
    <row r="8783" spans="23:23">
      <c r="W8783"/>
    </row>
    <row r="8784" spans="23:23">
      <c r="W8784"/>
    </row>
    <row r="8785" spans="23:23">
      <c r="W8785"/>
    </row>
    <row r="8786" spans="23:23">
      <c r="W8786"/>
    </row>
    <row r="8787" spans="23:23">
      <c r="W8787"/>
    </row>
    <row r="8788" spans="23:23">
      <c r="W8788"/>
    </row>
    <row r="8789" spans="23:23">
      <c r="W8789"/>
    </row>
    <row r="8790" spans="23:23">
      <c r="W8790"/>
    </row>
    <row r="8791" spans="23:23">
      <c r="W8791"/>
    </row>
    <row r="8792" spans="23:23">
      <c r="W8792"/>
    </row>
    <row r="8793" spans="23:23">
      <c r="W8793"/>
    </row>
    <row r="8794" spans="23:23">
      <c r="W8794"/>
    </row>
    <row r="8795" spans="23:23">
      <c r="W8795"/>
    </row>
    <row r="8796" spans="23:23">
      <c r="W8796"/>
    </row>
    <row r="8797" spans="23:23">
      <c r="W8797"/>
    </row>
    <row r="8798" spans="23:23">
      <c r="W8798"/>
    </row>
    <row r="8799" spans="23:23">
      <c r="W8799"/>
    </row>
    <row r="8800" spans="23:23">
      <c r="W8800"/>
    </row>
    <row r="8801" spans="23:23">
      <c r="W8801"/>
    </row>
    <row r="8802" spans="23:23">
      <c r="W8802"/>
    </row>
    <row r="8803" spans="23:23">
      <c r="W8803"/>
    </row>
    <row r="8804" spans="23:23">
      <c r="W8804"/>
    </row>
    <row r="8805" spans="23:23">
      <c r="W8805"/>
    </row>
    <row r="8806" spans="23:23">
      <c r="W8806"/>
    </row>
    <row r="8807" spans="23:23">
      <c r="W8807"/>
    </row>
    <row r="8808" spans="23:23">
      <c r="W8808"/>
    </row>
    <row r="8809" spans="23:23">
      <c r="W8809"/>
    </row>
    <row r="8810" spans="23:23">
      <c r="W8810"/>
    </row>
    <row r="8811" spans="23:23">
      <c r="W8811"/>
    </row>
    <row r="8812" spans="23:23">
      <c r="W8812"/>
    </row>
    <row r="8813" spans="23:23">
      <c r="W8813"/>
    </row>
    <row r="8814" spans="23:23">
      <c r="W8814"/>
    </row>
    <row r="8815" spans="23:23">
      <c r="W8815"/>
    </row>
    <row r="8816" spans="23:23">
      <c r="W8816"/>
    </row>
    <row r="8817" spans="23:23">
      <c r="W8817"/>
    </row>
    <row r="8818" spans="23:23">
      <c r="W8818"/>
    </row>
    <row r="8819" spans="23:23">
      <c r="W8819"/>
    </row>
    <row r="8820" spans="23:23">
      <c r="W8820"/>
    </row>
    <row r="8821" spans="23:23">
      <c r="W8821"/>
    </row>
    <row r="8822" spans="23:23">
      <c r="W8822"/>
    </row>
    <row r="8823" spans="23:23">
      <c r="W8823"/>
    </row>
    <row r="8824" spans="23:23">
      <c r="W8824"/>
    </row>
    <row r="8825" spans="23:23">
      <c r="W8825"/>
    </row>
    <row r="8826" spans="23:23">
      <c r="W8826"/>
    </row>
    <row r="8827" spans="23:23">
      <c r="W8827"/>
    </row>
    <row r="8828" spans="23:23">
      <c r="W8828"/>
    </row>
    <row r="8829" spans="23:23">
      <c r="W8829"/>
    </row>
    <row r="8830" spans="23:23">
      <c r="W8830"/>
    </row>
    <row r="8831" spans="23:23">
      <c r="W8831"/>
    </row>
    <row r="8832" spans="23:23">
      <c r="W8832"/>
    </row>
    <row r="8833" spans="23:23">
      <c r="W8833"/>
    </row>
    <row r="8834" spans="23:23">
      <c r="W8834"/>
    </row>
    <row r="8835" spans="23:23">
      <c r="W8835"/>
    </row>
    <row r="8836" spans="23:23">
      <c r="W8836"/>
    </row>
    <row r="8837" spans="23:23">
      <c r="W8837"/>
    </row>
    <row r="8838" spans="23:23">
      <c r="W8838"/>
    </row>
    <row r="8839" spans="23:23">
      <c r="W8839"/>
    </row>
    <row r="8840" spans="23:23">
      <c r="W8840"/>
    </row>
    <row r="8841" spans="23:23">
      <c r="W8841"/>
    </row>
    <row r="8842" spans="23:23">
      <c r="W8842"/>
    </row>
    <row r="8843" spans="23:23">
      <c r="W8843"/>
    </row>
    <row r="8844" spans="23:23">
      <c r="W8844"/>
    </row>
    <row r="8845" spans="23:23">
      <c r="W8845"/>
    </row>
    <row r="8846" spans="23:23">
      <c r="W8846"/>
    </row>
    <row r="8847" spans="23:23">
      <c r="W8847"/>
    </row>
    <row r="8848" spans="23:23">
      <c r="W8848"/>
    </row>
    <row r="8849" spans="23:23">
      <c r="W8849"/>
    </row>
    <row r="8850" spans="23:23">
      <c r="W8850"/>
    </row>
    <row r="8851" spans="23:23">
      <c r="W8851"/>
    </row>
    <row r="8852" spans="23:23">
      <c r="W8852"/>
    </row>
    <row r="8853" spans="23:23">
      <c r="W8853"/>
    </row>
    <row r="8854" spans="23:23">
      <c r="W8854"/>
    </row>
    <row r="8855" spans="23:23">
      <c r="W8855"/>
    </row>
    <row r="8856" spans="23:23">
      <c r="W8856"/>
    </row>
    <row r="8857" spans="23:23">
      <c r="W8857"/>
    </row>
    <row r="8858" spans="23:23">
      <c r="W8858"/>
    </row>
    <row r="8859" spans="23:23">
      <c r="W8859"/>
    </row>
    <row r="8860" spans="23:23">
      <c r="W8860"/>
    </row>
    <row r="8861" spans="23:23">
      <c r="W8861"/>
    </row>
    <row r="8862" spans="23:23">
      <c r="W8862"/>
    </row>
    <row r="8863" spans="23:23">
      <c r="W8863"/>
    </row>
    <row r="8864" spans="23:23">
      <c r="W8864"/>
    </row>
    <row r="8865" spans="23:23">
      <c r="W8865"/>
    </row>
    <row r="8866" spans="23:23">
      <c r="W8866"/>
    </row>
    <row r="8867" spans="23:23">
      <c r="W8867"/>
    </row>
    <row r="8868" spans="23:23">
      <c r="W8868"/>
    </row>
    <row r="8869" spans="23:23">
      <c r="W8869"/>
    </row>
    <row r="8870" spans="23:23">
      <c r="W8870"/>
    </row>
    <row r="8871" spans="23:23">
      <c r="W8871"/>
    </row>
    <row r="8872" spans="23:23">
      <c r="W8872"/>
    </row>
    <row r="8873" spans="23:23">
      <c r="W8873"/>
    </row>
    <row r="8874" spans="23:23">
      <c r="W8874"/>
    </row>
    <row r="8875" spans="23:23">
      <c r="W8875"/>
    </row>
    <row r="8876" spans="23:23">
      <c r="W8876"/>
    </row>
    <row r="8877" spans="23:23">
      <c r="W8877"/>
    </row>
    <row r="8878" spans="23:23">
      <c r="W8878"/>
    </row>
    <row r="8879" spans="23:23">
      <c r="W8879"/>
    </row>
    <row r="8880" spans="23:23">
      <c r="W8880"/>
    </row>
    <row r="8881" spans="23:23">
      <c r="W8881"/>
    </row>
    <row r="8882" spans="23:23">
      <c r="W8882"/>
    </row>
    <row r="8883" spans="23:23">
      <c r="W8883"/>
    </row>
    <row r="8884" spans="23:23">
      <c r="W8884"/>
    </row>
    <row r="8885" spans="23:23">
      <c r="W8885"/>
    </row>
    <row r="8886" spans="23:23">
      <c r="W8886"/>
    </row>
    <row r="8887" spans="23:23">
      <c r="W8887"/>
    </row>
    <row r="8888" spans="23:23">
      <c r="W8888"/>
    </row>
    <row r="8889" spans="23:23">
      <c r="W8889"/>
    </row>
    <row r="8890" spans="23:23">
      <c r="W8890"/>
    </row>
    <row r="8891" spans="23:23">
      <c r="W8891"/>
    </row>
    <row r="8892" spans="23:23">
      <c r="W8892"/>
    </row>
    <row r="8893" spans="23:23">
      <c r="W8893"/>
    </row>
    <row r="8894" spans="23:23">
      <c r="W8894"/>
    </row>
    <row r="8895" spans="23:23">
      <c r="W8895"/>
    </row>
    <row r="8896" spans="23:23">
      <c r="W8896"/>
    </row>
    <row r="8897" spans="23:23">
      <c r="W8897"/>
    </row>
    <row r="8898" spans="23:23">
      <c r="W8898"/>
    </row>
    <row r="8899" spans="23:23">
      <c r="W8899"/>
    </row>
    <row r="8900" spans="23:23">
      <c r="W8900"/>
    </row>
    <row r="8901" spans="23:23">
      <c r="W8901"/>
    </row>
    <row r="8902" spans="23:23">
      <c r="W8902"/>
    </row>
    <row r="8903" spans="23:23">
      <c r="W8903"/>
    </row>
    <row r="8904" spans="23:23">
      <c r="W8904"/>
    </row>
    <row r="8905" spans="23:23">
      <c r="W8905"/>
    </row>
    <row r="8906" spans="23:23">
      <c r="W8906"/>
    </row>
    <row r="8907" spans="23:23">
      <c r="W8907"/>
    </row>
    <row r="8908" spans="23:23">
      <c r="W8908"/>
    </row>
    <row r="8909" spans="23:23">
      <c r="W8909"/>
    </row>
    <row r="8910" spans="23:23">
      <c r="W8910"/>
    </row>
    <row r="8911" spans="23:23">
      <c r="W8911"/>
    </row>
    <row r="8912" spans="23:23">
      <c r="W8912"/>
    </row>
    <row r="8913" spans="23:23">
      <c r="W8913"/>
    </row>
    <row r="8914" spans="23:23">
      <c r="W8914"/>
    </row>
    <row r="8915" spans="23:23">
      <c r="W8915"/>
    </row>
    <row r="8916" spans="23:23">
      <c r="W8916"/>
    </row>
    <row r="8917" spans="23:23">
      <c r="W8917"/>
    </row>
    <row r="8918" spans="23:23">
      <c r="W8918"/>
    </row>
    <row r="8919" spans="23:23">
      <c r="W8919"/>
    </row>
    <row r="8920" spans="23:23">
      <c r="W8920"/>
    </row>
    <row r="8921" spans="23:23">
      <c r="W8921"/>
    </row>
    <row r="8922" spans="23:23">
      <c r="W8922"/>
    </row>
    <row r="8923" spans="23:23">
      <c r="W8923"/>
    </row>
    <row r="8924" spans="23:23">
      <c r="W8924"/>
    </row>
    <row r="8925" spans="23:23">
      <c r="W8925"/>
    </row>
    <row r="8926" spans="23:23">
      <c r="W8926"/>
    </row>
    <row r="8927" spans="23:23">
      <c r="W8927"/>
    </row>
    <row r="8928" spans="23:23">
      <c r="W8928"/>
    </row>
    <row r="8929" spans="23:23">
      <c r="W8929"/>
    </row>
    <row r="8930" spans="23:23">
      <c r="W8930"/>
    </row>
    <row r="8931" spans="23:23">
      <c r="W8931"/>
    </row>
    <row r="8932" spans="23:23">
      <c r="W8932"/>
    </row>
    <row r="8933" spans="23:23">
      <c r="W8933"/>
    </row>
    <row r="8934" spans="23:23">
      <c r="W8934"/>
    </row>
    <row r="8935" spans="23:23">
      <c r="W8935"/>
    </row>
    <row r="8936" spans="23:23">
      <c r="W8936"/>
    </row>
    <row r="8937" spans="23:23">
      <c r="W8937"/>
    </row>
    <row r="8938" spans="23:23">
      <c r="W8938"/>
    </row>
    <row r="8939" spans="23:23">
      <c r="W8939"/>
    </row>
    <row r="8940" spans="23:23">
      <c r="W8940"/>
    </row>
    <row r="8941" spans="23:23">
      <c r="W8941"/>
    </row>
    <row r="8942" spans="23:23">
      <c r="W8942"/>
    </row>
    <row r="8943" spans="23:23">
      <c r="W8943"/>
    </row>
    <row r="8944" spans="23:23">
      <c r="W8944"/>
    </row>
    <row r="8945" spans="23:23">
      <c r="W8945"/>
    </row>
    <row r="8946" spans="23:23">
      <c r="W8946"/>
    </row>
    <row r="8947" spans="23:23">
      <c r="W8947"/>
    </row>
    <row r="8948" spans="23:23">
      <c r="W8948"/>
    </row>
    <row r="8949" spans="23:23">
      <c r="W8949"/>
    </row>
    <row r="8950" spans="23:23">
      <c r="W8950"/>
    </row>
    <row r="8951" spans="23:23">
      <c r="W8951"/>
    </row>
    <row r="8952" spans="23:23">
      <c r="W8952"/>
    </row>
    <row r="8953" spans="23:23">
      <c r="W8953"/>
    </row>
    <row r="8954" spans="23:23">
      <c r="W8954"/>
    </row>
    <row r="8955" spans="23:23">
      <c r="W8955"/>
    </row>
    <row r="8956" spans="23:23">
      <c r="W8956"/>
    </row>
    <row r="8957" spans="23:23">
      <c r="W8957"/>
    </row>
    <row r="8958" spans="23:23">
      <c r="W8958"/>
    </row>
    <row r="8959" spans="23:23">
      <c r="W8959"/>
    </row>
    <row r="8960" spans="23:23">
      <c r="W8960"/>
    </row>
    <row r="8961" spans="23:23">
      <c r="W8961"/>
    </row>
    <row r="8962" spans="23:23">
      <c r="W8962"/>
    </row>
    <row r="8963" spans="23:23">
      <c r="W8963"/>
    </row>
    <row r="8964" spans="23:23">
      <c r="W8964"/>
    </row>
    <row r="8965" spans="23:23">
      <c r="W8965"/>
    </row>
    <row r="8966" spans="23:23">
      <c r="W8966"/>
    </row>
    <row r="8967" spans="23:23">
      <c r="W8967"/>
    </row>
    <row r="8968" spans="23:23">
      <c r="W8968"/>
    </row>
    <row r="8969" spans="23:23">
      <c r="W8969"/>
    </row>
    <row r="8970" spans="23:23">
      <c r="W8970"/>
    </row>
    <row r="8971" spans="23:23">
      <c r="W8971"/>
    </row>
    <row r="8972" spans="23:23">
      <c r="W8972"/>
    </row>
    <row r="8973" spans="23:23">
      <c r="W8973"/>
    </row>
    <row r="8974" spans="23:23">
      <c r="W8974"/>
    </row>
    <row r="8975" spans="23:23">
      <c r="W8975"/>
    </row>
    <row r="8976" spans="23:23">
      <c r="W8976"/>
    </row>
    <row r="8977" spans="23:23">
      <c r="W8977"/>
    </row>
    <row r="8978" spans="23:23">
      <c r="W8978"/>
    </row>
    <row r="8979" spans="23:23">
      <c r="W8979"/>
    </row>
    <row r="8980" spans="23:23">
      <c r="W8980"/>
    </row>
    <row r="8981" spans="23:23">
      <c r="W8981"/>
    </row>
    <row r="8982" spans="23:23">
      <c r="W8982"/>
    </row>
    <row r="8983" spans="23:23">
      <c r="W8983"/>
    </row>
    <row r="8984" spans="23:23">
      <c r="W8984"/>
    </row>
    <row r="8985" spans="23:23">
      <c r="W8985"/>
    </row>
    <row r="8986" spans="23:23">
      <c r="W8986"/>
    </row>
    <row r="8987" spans="23:23">
      <c r="W8987"/>
    </row>
    <row r="8988" spans="23:23">
      <c r="W8988"/>
    </row>
    <row r="8989" spans="23:23">
      <c r="W8989"/>
    </row>
    <row r="8990" spans="23:23">
      <c r="W8990"/>
    </row>
    <row r="8991" spans="23:23">
      <c r="W8991"/>
    </row>
    <row r="8992" spans="23:23">
      <c r="W8992"/>
    </row>
    <row r="8993" spans="23:23">
      <c r="W8993"/>
    </row>
    <row r="8994" spans="23:23">
      <c r="W8994"/>
    </row>
    <row r="8995" spans="23:23">
      <c r="W8995"/>
    </row>
    <row r="8996" spans="23:23">
      <c r="W8996"/>
    </row>
    <row r="8997" spans="23:23">
      <c r="W8997"/>
    </row>
    <row r="8998" spans="23:23">
      <c r="W8998"/>
    </row>
    <row r="8999" spans="23:23">
      <c r="W8999"/>
    </row>
    <row r="9000" spans="23:23">
      <c r="W9000"/>
    </row>
    <row r="9001" spans="23:23">
      <c r="W9001"/>
    </row>
    <row r="9002" spans="23:23">
      <c r="W9002"/>
    </row>
    <row r="9003" spans="23:23">
      <c r="W9003"/>
    </row>
    <row r="9004" spans="23:23">
      <c r="W9004"/>
    </row>
    <row r="9005" spans="23:23">
      <c r="W9005"/>
    </row>
    <row r="9006" spans="23:23">
      <c r="W9006"/>
    </row>
    <row r="9007" spans="23:23">
      <c r="W9007"/>
    </row>
    <row r="9008" spans="23:23">
      <c r="W9008"/>
    </row>
    <row r="9009" spans="23:23">
      <c r="W9009"/>
    </row>
    <row r="9010" spans="23:23">
      <c r="W9010"/>
    </row>
    <row r="9011" spans="23:23">
      <c r="W9011"/>
    </row>
    <row r="9012" spans="23:23">
      <c r="W9012"/>
    </row>
    <row r="9013" spans="23:23">
      <c r="W9013"/>
    </row>
    <row r="9014" spans="23:23">
      <c r="W9014"/>
    </row>
    <row r="9015" spans="23:23">
      <c r="W9015"/>
    </row>
    <row r="9016" spans="23:23">
      <c r="W9016"/>
    </row>
    <row r="9017" spans="23:23">
      <c r="W9017"/>
    </row>
    <row r="9018" spans="23:23">
      <c r="W9018"/>
    </row>
    <row r="9019" spans="23:23">
      <c r="W9019"/>
    </row>
    <row r="9020" spans="23:23">
      <c r="W9020"/>
    </row>
    <row r="9021" spans="23:23">
      <c r="W9021"/>
    </row>
    <row r="9022" spans="23:23">
      <c r="W9022"/>
    </row>
    <row r="9023" spans="23:23">
      <c r="W9023"/>
    </row>
    <row r="9024" spans="23:23">
      <c r="W9024"/>
    </row>
    <row r="9025" spans="23:23">
      <c r="W9025"/>
    </row>
    <row r="9026" spans="23:23">
      <c r="W9026"/>
    </row>
    <row r="9027" spans="23:23">
      <c r="W9027"/>
    </row>
    <row r="9028" spans="23:23">
      <c r="W9028"/>
    </row>
    <row r="9029" spans="23:23">
      <c r="W9029"/>
    </row>
    <row r="9030" spans="23:23">
      <c r="W9030"/>
    </row>
    <row r="9031" spans="23:23">
      <c r="W9031"/>
    </row>
    <row r="9032" spans="23:23">
      <c r="W9032"/>
    </row>
    <row r="9033" spans="23:23">
      <c r="W9033"/>
    </row>
    <row r="9034" spans="23:23">
      <c r="W9034"/>
    </row>
    <row r="9035" spans="23:23">
      <c r="W9035"/>
    </row>
    <row r="9036" spans="23:23">
      <c r="W9036"/>
    </row>
    <row r="9037" spans="23:23">
      <c r="W9037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4"/>
  <sheetViews>
    <sheetView topLeftCell="A112" zoomScale="68" workbookViewId="0">
      <selection activeCell="B2" sqref="B2:AK133"/>
    </sheetView>
  </sheetViews>
  <sheetFormatPr defaultColWidth="8.77734375" defaultRowHeight="14.4"/>
  <cols>
    <col min="2" max="2" width="28.109375" bestFit="1" customWidth="1"/>
  </cols>
  <sheetData>
    <row r="1" spans="1:37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7">
      <c r="B2" s="29" t="s">
        <v>89</v>
      </c>
      <c r="C2">
        <v>8.9999999999999998E-4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1.1000000000000001E-3</v>
      </c>
      <c r="J2">
        <v>1.1000000000000001E-3</v>
      </c>
      <c r="K2">
        <v>1.1000000000000001E-3</v>
      </c>
      <c r="L2">
        <v>1.1000000000000001E-3</v>
      </c>
      <c r="M2">
        <v>1.1000000000000001E-3</v>
      </c>
      <c r="N2">
        <v>1.1999999999999999E-3</v>
      </c>
      <c r="O2">
        <v>1.1999999999999999E-3</v>
      </c>
      <c r="P2">
        <v>1.1999999999999999E-3</v>
      </c>
      <c r="Q2">
        <v>1.2999999999999999E-3</v>
      </c>
      <c r="R2">
        <v>1.2999999999999999E-3</v>
      </c>
      <c r="S2">
        <v>1.2999999999999999E-3</v>
      </c>
      <c r="T2">
        <v>1.2999999999999999E-3</v>
      </c>
      <c r="U2">
        <v>1.4E-3</v>
      </c>
      <c r="V2">
        <v>1.4E-3</v>
      </c>
      <c r="W2">
        <v>1.4E-3</v>
      </c>
      <c r="X2">
        <v>1.1000000000000001E-3</v>
      </c>
      <c r="Y2">
        <v>1E-3</v>
      </c>
      <c r="Z2">
        <v>1E-3</v>
      </c>
      <c r="AA2">
        <v>8.9999999999999998E-4</v>
      </c>
      <c r="AB2">
        <v>8.0000000000000004E-4</v>
      </c>
      <c r="AC2">
        <v>8.0000000000000004E-4</v>
      </c>
      <c r="AD2">
        <v>6.9999999999999999E-4</v>
      </c>
      <c r="AE2">
        <v>5.9999999999999995E-4</v>
      </c>
      <c r="AF2">
        <v>5.9999999999999995E-4</v>
      </c>
      <c r="AG2">
        <v>1.8E-3</v>
      </c>
      <c r="AH2">
        <v>1.9E-3</v>
      </c>
      <c r="AI2">
        <v>1.9E-3</v>
      </c>
      <c r="AJ2">
        <v>1.9E-3</v>
      </c>
      <c r="AK2">
        <v>3.9399999999999998E-2</v>
      </c>
    </row>
    <row r="3" spans="1:37">
      <c r="B3" s="29" t="s">
        <v>90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B6" s="29" t="s">
        <v>93</v>
      </c>
      <c r="C6">
        <v>8.0000000000000004E-4</v>
      </c>
      <c r="D6">
        <v>8.0000000000000004E-4</v>
      </c>
      <c r="E6">
        <v>8.0000000000000004E-4</v>
      </c>
      <c r="F6">
        <v>8.0000000000000004E-4</v>
      </c>
      <c r="G6">
        <v>8.9999999999999998E-4</v>
      </c>
      <c r="H6">
        <v>8.9999999999999998E-4</v>
      </c>
      <c r="I6">
        <v>8.9999999999999998E-4</v>
      </c>
      <c r="J6">
        <v>8.9999999999999998E-4</v>
      </c>
      <c r="K6">
        <v>8.9999999999999998E-4</v>
      </c>
      <c r="L6">
        <v>1E-3</v>
      </c>
      <c r="M6">
        <v>1E-3</v>
      </c>
      <c r="N6">
        <v>1E-3</v>
      </c>
      <c r="O6">
        <v>1E-3</v>
      </c>
      <c r="P6">
        <v>1.1000000000000001E-3</v>
      </c>
      <c r="Q6">
        <v>1.1000000000000001E-3</v>
      </c>
      <c r="R6">
        <v>1.1000000000000001E-3</v>
      </c>
      <c r="S6">
        <v>1.1000000000000001E-3</v>
      </c>
      <c r="T6">
        <v>1.1999999999999999E-3</v>
      </c>
      <c r="U6">
        <v>1.1999999999999999E-3</v>
      </c>
      <c r="V6">
        <v>1.1999999999999999E-3</v>
      </c>
      <c r="W6">
        <v>1.2999999999999999E-3</v>
      </c>
      <c r="X6">
        <v>1.1999999999999999E-3</v>
      </c>
      <c r="Y6">
        <v>1.1000000000000001E-3</v>
      </c>
      <c r="Z6">
        <v>1E-3</v>
      </c>
      <c r="AA6">
        <v>8.9999999999999998E-4</v>
      </c>
      <c r="AB6">
        <v>8.9999999999999998E-4</v>
      </c>
      <c r="AC6">
        <v>8.0000000000000004E-4</v>
      </c>
      <c r="AD6">
        <v>8.0000000000000004E-4</v>
      </c>
      <c r="AE6">
        <v>6.9999999999999999E-4</v>
      </c>
      <c r="AF6">
        <v>5.9999999999999995E-4</v>
      </c>
      <c r="AG6">
        <v>1.6999999999999999E-3</v>
      </c>
      <c r="AH6">
        <v>1.8E-3</v>
      </c>
      <c r="AI6">
        <v>1.8E-3</v>
      </c>
      <c r="AJ6">
        <v>1.9E-3</v>
      </c>
      <c r="AK6">
        <v>3.6200000000000003E-2</v>
      </c>
    </row>
    <row r="7" spans="1:37">
      <c r="B7" s="29" t="s">
        <v>94</v>
      </c>
      <c r="C7">
        <v>1E-4</v>
      </c>
      <c r="D7">
        <v>1E-4</v>
      </c>
      <c r="E7">
        <v>1E-4</v>
      </c>
      <c r="F7">
        <v>1E-4</v>
      </c>
      <c r="G7">
        <v>1E-4</v>
      </c>
      <c r="H7">
        <v>1E-4</v>
      </c>
      <c r="I7">
        <v>1E-4</v>
      </c>
      <c r="J7">
        <v>1E-4</v>
      </c>
      <c r="K7">
        <v>1E-4</v>
      </c>
      <c r="L7">
        <v>1E-4</v>
      </c>
      <c r="M7">
        <v>1E-4</v>
      </c>
      <c r="N7">
        <v>1E-4</v>
      </c>
      <c r="O7">
        <v>1E-4</v>
      </c>
      <c r="P7">
        <v>1E-4</v>
      </c>
      <c r="Q7">
        <v>1E-4</v>
      </c>
      <c r="R7">
        <v>1E-4</v>
      </c>
      <c r="S7">
        <v>1E-4</v>
      </c>
      <c r="T7">
        <v>1E-4</v>
      </c>
      <c r="U7">
        <v>1E-4</v>
      </c>
      <c r="V7">
        <v>1E-4</v>
      </c>
      <c r="W7">
        <v>1E-4</v>
      </c>
      <c r="X7">
        <v>0</v>
      </c>
      <c r="Y7">
        <v>1E-4</v>
      </c>
      <c r="Z7">
        <v>1E-4</v>
      </c>
      <c r="AA7">
        <v>1E-4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2.3999999999999998E-3</v>
      </c>
    </row>
    <row r="8" spans="1:37"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B9" s="29" t="s">
        <v>96</v>
      </c>
      <c r="C9">
        <v>8.0000000000000004E-4</v>
      </c>
      <c r="D9">
        <v>8.0000000000000004E-4</v>
      </c>
      <c r="E9">
        <v>8.0000000000000004E-4</v>
      </c>
      <c r="F9">
        <v>8.0000000000000004E-4</v>
      </c>
      <c r="G9">
        <v>8.9999999999999998E-4</v>
      </c>
      <c r="H9">
        <v>8.9999999999999998E-4</v>
      </c>
      <c r="I9">
        <v>8.9999999999999998E-4</v>
      </c>
      <c r="J9">
        <v>8.9999999999999998E-4</v>
      </c>
      <c r="K9">
        <v>8.9999999999999998E-4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1.1000000000000001E-3</v>
      </c>
      <c r="R9">
        <v>1.1000000000000001E-3</v>
      </c>
      <c r="S9">
        <v>1.1000000000000001E-3</v>
      </c>
      <c r="T9">
        <v>1.1000000000000001E-3</v>
      </c>
      <c r="U9">
        <v>1.1999999999999999E-3</v>
      </c>
      <c r="V9">
        <v>1.1999999999999999E-3</v>
      </c>
      <c r="W9">
        <v>1.1999999999999999E-3</v>
      </c>
      <c r="X9">
        <v>1.1999999999999999E-3</v>
      </c>
      <c r="Y9">
        <v>1.2999999999999999E-3</v>
      </c>
      <c r="Z9">
        <v>1.2999999999999999E-3</v>
      </c>
      <c r="AA9">
        <v>1.2999999999999999E-3</v>
      </c>
      <c r="AB9">
        <v>1.4E-3</v>
      </c>
      <c r="AC9">
        <v>1.4E-3</v>
      </c>
      <c r="AD9">
        <v>1.4E-3</v>
      </c>
      <c r="AE9">
        <v>1.5E-3</v>
      </c>
      <c r="AF9">
        <v>1.5E-3</v>
      </c>
      <c r="AG9">
        <v>1.5E-3</v>
      </c>
      <c r="AH9">
        <v>1.6000000000000001E-3</v>
      </c>
      <c r="AI9">
        <v>1.6000000000000001E-3</v>
      </c>
      <c r="AJ9">
        <v>1.6999999999999999E-3</v>
      </c>
      <c r="AK9">
        <v>3.9399999999999991E-2</v>
      </c>
    </row>
    <row r="10" spans="1:37">
      <c r="B10" s="29" t="s">
        <v>97</v>
      </c>
      <c r="C10">
        <v>8.9999999999999998E-4</v>
      </c>
      <c r="D10">
        <v>1E-3</v>
      </c>
      <c r="E10">
        <v>1E-3</v>
      </c>
      <c r="F10">
        <v>1E-3</v>
      </c>
      <c r="G10">
        <v>1E-3</v>
      </c>
      <c r="H10">
        <v>1E-3</v>
      </c>
      <c r="I10">
        <v>1.1000000000000001E-3</v>
      </c>
      <c r="J10">
        <v>1.1000000000000001E-3</v>
      </c>
      <c r="K10">
        <v>1.1000000000000001E-3</v>
      </c>
      <c r="L10">
        <v>1.1000000000000001E-3</v>
      </c>
      <c r="M10">
        <v>1.1000000000000001E-3</v>
      </c>
      <c r="N10">
        <v>1.1999999999999999E-3</v>
      </c>
      <c r="O10">
        <v>1.1999999999999999E-3</v>
      </c>
      <c r="P10">
        <v>1.1999999999999999E-3</v>
      </c>
      <c r="Q10">
        <v>1.2999999999999999E-3</v>
      </c>
      <c r="R10">
        <v>1.2999999999999999E-3</v>
      </c>
      <c r="S10">
        <v>1.2999999999999999E-3</v>
      </c>
      <c r="T10">
        <v>1.2999999999999999E-3</v>
      </c>
      <c r="U10">
        <v>1.4E-3</v>
      </c>
      <c r="V10">
        <v>1.4E-3</v>
      </c>
      <c r="W10">
        <v>1.4E-3</v>
      </c>
      <c r="X10">
        <v>1.5E-3</v>
      </c>
      <c r="Y10">
        <v>1.5E-3</v>
      </c>
      <c r="Z10">
        <v>1.5E-3</v>
      </c>
      <c r="AA10">
        <v>1.6000000000000001E-3</v>
      </c>
      <c r="AB10">
        <v>1.6000000000000001E-3</v>
      </c>
      <c r="AC10">
        <v>1.6000000000000001E-3</v>
      </c>
      <c r="AD10">
        <v>1.6999999999999999E-3</v>
      </c>
      <c r="AE10">
        <v>1.6999999999999999E-3</v>
      </c>
      <c r="AF10">
        <v>1.8E-3</v>
      </c>
      <c r="AG10">
        <v>1.8E-3</v>
      </c>
      <c r="AH10">
        <v>1.9E-3</v>
      </c>
      <c r="AI10">
        <v>1.9E-3</v>
      </c>
      <c r="AJ10">
        <v>1.9E-3</v>
      </c>
      <c r="AK10">
        <v>4.6399999999999997E-2</v>
      </c>
    </row>
    <row r="11" spans="1:37"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2.0000000000000001E-4</v>
      </c>
      <c r="I11">
        <v>0</v>
      </c>
      <c r="J11">
        <v>1E-4</v>
      </c>
      <c r="K11">
        <v>0</v>
      </c>
      <c r="L11">
        <v>0</v>
      </c>
      <c r="M11">
        <v>1E-4</v>
      </c>
      <c r="N11">
        <v>0</v>
      </c>
      <c r="O11">
        <v>4.0000000000000002E-4</v>
      </c>
      <c r="P11">
        <v>0</v>
      </c>
      <c r="Q11">
        <v>2.0000000000000001E-4</v>
      </c>
      <c r="R11">
        <v>0</v>
      </c>
      <c r="S11">
        <v>0</v>
      </c>
      <c r="T11">
        <v>0</v>
      </c>
      <c r="U11">
        <v>1E-4</v>
      </c>
      <c r="V11">
        <v>0</v>
      </c>
      <c r="W11">
        <v>0</v>
      </c>
      <c r="X11">
        <v>1E-4</v>
      </c>
      <c r="Y11">
        <v>1E-4</v>
      </c>
      <c r="Z11">
        <v>1E-4</v>
      </c>
      <c r="AA11">
        <v>4.0000000000000002E-4</v>
      </c>
      <c r="AB11">
        <v>0</v>
      </c>
      <c r="AC11">
        <v>0</v>
      </c>
      <c r="AD11">
        <v>5.9999999999999995E-4</v>
      </c>
      <c r="AE11">
        <v>0</v>
      </c>
      <c r="AF11">
        <v>0</v>
      </c>
      <c r="AG11">
        <v>1E-4</v>
      </c>
      <c r="AH11">
        <v>0</v>
      </c>
      <c r="AI11">
        <v>0</v>
      </c>
      <c r="AJ11">
        <v>0</v>
      </c>
      <c r="AK11">
        <v>2.5000000000000001E-3</v>
      </c>
    </row>
    <row r="12" spans="1:37">
      <c r="B12" s="29" t="s">
        <v>99</v>
      </c>
      <c r="C12">
        <v>2E-3</v>
      </c>
      <c r="D12">
        <v>2E-3</v>
      </c>
      <c r="E12">
        <v>2.0999999999999999E-3</v>
      </c>
      <c r="F12">
        <v>2.2000000000000001E-3</v>
      </c>
      <c r="G12">
        <v>2.3E-3</v>
      </c>
      <c r="H12">
        <v>2.2000000000000001E-3</v>
      </c>
      <c r="I12">
        <v>2.5000000000000001E-3</v>
      </c>
      <c r="J12">
        <v>2.5000000000000001E-3</v>
      </c>
      <c r="K12">
        <v>2.5999999999999999E-3</v>
      </c>
      <c r="L12">
        <v>2.7000000000000001E-3</v>
      </c>
      <c r="M12">
        <v>2.8E-3</v>
      </c>
      <c r="N12">
        <v>3.0000000000000001E-3</v>
      </c>
      <c r="O12">
        <v>2.7000000000000001E-3</v>
      </c>
      <c r="P12">
        <v>3.2000000000000002E-3</v>
      </c>
      <c r="Q12">
        <v>3.2000000000000002E-3</v>
      </c>
      <c r="R12">
        <v>3.3999999999999998E-3</v>
      </c>
      <c r="S12">
        <v>3.5999999999999999E-3</v>
      </c>
      <c r="T12">
        <v>3.7000000000000002E-3</v>
      </c>
      <c r="U12">
        <v>3.7000000000000002E-3</v>
      </c>
      <c r="V12">
        <v>4.0000000000000001E-3</v>
      </c>
      <c r="W12">
        <v>4.1000000000000003E-3</v>
      </c>
      <c r="X12">
        <v>4.1999999999999997E-3</v>
      </c>
      <c r="Y12">
        <v>4.3E-3</v>
      </c>
      <c r="Z12">
        <v>4.5999999999999999E-3</v>
      </c>
      <c r="AA12">
        <v>4.3E-3</v>
      </c>
      <c r="AB12">
        <v>5.0000000000000001E-3</v>
      </c>
      <c r="AC12">
        <v>5.1999999999999998E-3</v>
      </c>
      <c r="AD12">
        <v>4.7000000000000002E-3</v>
      </c>
      <c r="AE12">
        <v>5.4999999999999997E-3</v>
      </c>
      <c r="AF12">
        <v>5.7000000000000002E-3</v>
      </c>
      <c r="AG12">
        <v>5.7999999999999996E-3</v>
      </c>
      <c r="AH12">
        <v>6.1999999999999998E-3</v>
      </c>
      <c r="AI12">
        <v>6.4000000000000003E-3</v>
      </c>
      <c r="AJ12">
        <v>6.6E-3</v>
      </c>
      <c r="AK12">
        <v>0.129</v>
      </c>
    </row>
    <row r="13" spans="1:37">
      <c r="B13" s="29" t="s">
        <v>100</v>
      </c>
      <c r="C13">
        <v>2.0000000000000001E-4</v>
      </c>
      <c r="D13">
        <v>5.0000000000000001E-4</v>
      </c>
      <c r="E13">
        <v>2.9999999999999997E-4</v>
      </c>
      <c r="F13">
        <v>2.9999999999999997E-4</v>
      </c>
      <c r="G13">
        <v>5.0000000000000001E-4</v>
      </c>
      <c r="H13">
        <v>2.9999999999999997E-4</v>
      </c>
      <c r="I13">
        <v>4.0000000000000002E-4</v>
      </c>
      <c r="J13">
        <v>4.0000000000000002E-4</v>
      </c>
      <c r="K13">
        <v>5.0000000000000001E-4</v>
      </c>
      <c r="L13">
        <v>5.0000000000000001E-4</v>
      </c>
      <c r="M13">
        <v>4.0000000000000002E-4</v>
      </c>
      <c r="N13">
        <v>5.0000000000000001E-4</v>
      </c>
      <c r="O13">
        <v>1E-4</v>
      </c>
      <c r="P13">
        <v>5.0000000000000001E-4</v>
      </c>
      <c r="Q13">
        <v>4.0000000000000002E-4</v>
      </c>
      <c r="R13">
        <v>5.0000000000000001E-4</v>
      </c>
      <c r="S13">
        <v>5.0000000000000001E-4</v>
      </c>
      <c r="T13">
        <v>5.9999999999999995E-4</v>
      </c>
      <c r="U13">
        <v>5.0000000000000001E-4</v>
      </c>
      <c r="V13">
        <v>5.9999999999999995E-4</v>
      </c>
      <c r="W13">
        <v>5.9999999999999995E-4</v>
      </c>
      <c r="X13">
        <v>5.0000000000000001E-4</v>
      </c>
      <c r="Y13">
        <v>5.9999999999999995E-4</v>
      </c>
      <c r="Z13">
        <v>6.9999999999999999E-4</v>
      </c>
      <c r="AA13">
        <v>2.9999999999999997E-4</v>
      </c>
      <c r="AB13">
        <v>8.0000000000000004E-4</v>
      </c>
      <c r="AC13">
        <v>8.0000000000000004E-4</v>
      </c>
      <c r="AD13">
        <v>2.0000000000000001E-4</v>
      </c>
      <c r="AE13">
        <v>8.9999999999999998E-4</v>
      </c>
      <c r="AF13">
        <v>8.9999999999999998E-4</v>
      </c>
      <c r="AG13">
        <v>8.0000000000000004E-4</v>
      </c>
      <c r="AH13">
        <v>1E-3</v>
      </c>
      <c r="AI13">
        <v>1E-3</v>
      </c>
      <c r="AJ13">
        <v>1E-3</v>
      </c>
      <c r="AK13">
        <v>1.8600000000000002E-2</v>
      </c>
    </row>
    <row r="14" spans="1:37">
      <c r="B14" s="29" t="s">
        <v>101</v>
      </c>
      <c r="C14">
        <v>2E-3</v>
      </c>
      <c r="D14">
        <v>1.6999999999999999E-3</v>
      </c>
      <c r="E14">
        <v>2.0999999999999999E-3</v>
      </c>
      <c r="F14">
        <v>2E-3</v>
      </c>
      <c r="G14">
        <v>2E-3</v>
      </c>
      <c r="H14">
        <v>1.2999999999999999E-3</v>
      </c>
      <c r="I14">
        <v>1.1999999999999999E-3</v>
      </c>
      <c r="J14">
        <v>1.1999999999999999E-3</v>
      </c>
      <c r="K14">
        <v>1.1000000000000001E-3</v>
      </c>
      <c r="L14">
        <v>1.1999999999999999E-3</v>
      </c>
      <c r="M14">
        <v>1.1000000000000001E-3</v>
      </c>
      <c r="N14">
        <v>1.1000000000000001E-3</v>
      </c>
      <c r="O14">
        <v>1.6999999999999999E-3</v>
      </c>
      <c r="P14">
        <v>1.4E-3</v>
      </c>
      <c r="Q14">
        <v>1.6999999999999999E-3</v>
      </c>
      <c r="R14">
        <v>1.6000000000000001E-3</v>
      </c>
      <c r="S14">
        <v>1.8E-3</v>
      </c>
      <c r="T14">
        <v>1.9E-3</v>
      </c>
      <c r="U14">
        <v>2.2000000000000001E-3</v>
      </c>
      <c r="V14">
        <v>2.2000000000000001E-3</v>
      </c>
      <c r="W14">
        <v>1.9E-3</v>
      </c>
      <c r="X14">
        <v>2.0999999999999999E-3</v>
      </c>
      <c r="Y14">
        <v>2.3E-3</v>
      </c>
      <c r="Z14">
        <v>2.3E-3</v>
      </c>
      <c r="AA14">
        <v>2.8E-3</v>
      </c>
      <c r="AB14">
        <v>2.3999999999999998E-3</v>
      </c>
      <c r="AC14">
        <v>2.5999999999999999E-3</v>
      </c>
      <c r="AD14">
        <v>3.3E-3</v>
      </c>
      <c r="AE14">
        <v>2.7000000000000001E-3</v>
      </c>
      <c r="AF14">
        <v>2.8E-3</v>
      </c>
      <c r="AG14">
        <v>2.8999999999999998E-3</v>
      </c>
      <c r="AH14">
        <v>2.8999999999999998E-3</v>
      </c>
      <c r="AI14">
        <v>2.8999999999999998E-3</v>
      </c>
      <c r="AJ14">
        <v>3.0000000000000001E-3</v>
      </c>
      <c r="AK14">
        <v>6.9399999999999976E-2</v>
      </c>
    </row>
    <row r="15" spans="1:37">
      <c r="B15" s="29" t="s">
        <v>102</v>
      </c>
      <c r="C15">
        <v>2.3699999999999999E-2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2.3699999999999999E-2</v>
      </c>
    </row>
    <row r="16" spans="1:37">
      <c r="B16" s="29" t="s">
        <v>103</v>
      </c>
      <c r="C16">
        <v>0</v>
      </c>
      <c r="D16">
        <v>2.4E-2</v>
      </c>
      <c r="E16">
        <v>2.4400000000000002E-2</v>
      </c>
      <c r="F16">
        <v>2.4799999999999999E-2</v>
      </c>
      <c r="G16">
        <v>2.52E-2</v>
      </c>
      <c r="H16">
        <v>2.5899999999999999E-2</v>
      </c>
      <c r="I16">
        <v>2.6200000000000001E-2</v>
      </c>
      <c r="J16">
        <v>2.6499999999999999E-2</v>
      </c>
      <c r="K16">
        <v>2.69E-2</v>
      </c>
      <c r="L16">
        <v>2.7199999999999998E-2</v>
      </c>
      <c r="M16">
        <v>2.76E-2</v>
      </c>
      <c r="N16">
        <v>2.7900000000000001E-2</v>
      </c>
      <c r="O16">
        <v>2.8199999999999999E-2</v>
      </c>
      <c r="P16">
        <v>2.8500000000000001E-2</v>
      </c>
      <c r="Q16">
        <v>2.8799999999999999E-2</v>
      </c>
      <c r="R16">
        <v>0.03</v>
      </c>
      <c r="S16">
        <v>3.0300000000000001E-2</v>
      </c>
      <c r="T16">
        <v>3.0599999999999999E-2</v>
      </c>
      <c r="U16">
        <v>3.09E-2</v>
      </c>
      <c r="V16">
        <v>3.1099999999999999E-2</v>
      </c>
      <c r="W16">
        <v>3.1399999999999997E-2</v>
      </c>
      <c r="X16">
        <v>3.1699999999999999E-2</v>
      </c>
      <c r="Y16">
        <v>3.1899999999999998E-2</v>
      </c>
      <c r="Z16">
        <v>3.2199999999999999E-2</v>
      </c>
      <c r="AA16">
        <v>3.2399999999999998E-2</v>
      </c>
      <c r="AB16">
        <v>3.27E-2</v>
      </c>
      <c r="AC16">
        <v>3.2899999999999999E-2</v>
      </c>
      <c r="AD16">
        <v>3.3099999999999997E-2</v>
      </c>
      <c r="AE16">
        <v>3.3399999999999999E-2</v>
      </c>
      <c r="AF16">
        <v>3.3599999999999998E-2</v>
      </c>
      <c r="AG16">
        <v>3.3799999999999997E-2</v>
      </c>
      <c r="AH16">
        <v>3.4000000000000002E-2</v>
      </c>
      <c r="AI16">
        <v>3.4200000000000001E-2</v>
      </c>
      <c r="AJ16">
        <v>3.44E-2</v>
      </c>
      <c r="AK16">
        <v>0.98669999999999991</v>
      </c>
    </row>
    <row r="17" spans="2:37">
      <c r="B17" s="29" t="s">
        <v>104</v>
      </c>
      <c r="C17">
        <v>1.1999999999999999E-3</v>
      </c>
      <c r="D17">
        <v>1.1999999999999999E-3</v>
      </c>
      <c r="E17">
        <v>1.1999999999999999E-3</v>
      </c>
      <c r="F17">
        <v>1.1999999999999999E-3</v>
      </c>
      <c r="G17">
        <v>1.1999999999999999E-3</v>
      </c>
      <c r="H17">
        <v>8.9999999999999998E-4</v>
      </c>
      <c r="I17">
        <v>8.0000000000000004E-4</v>
      </c>
      <c r="J17">
        <v>8.0000000000000004E-4</v>
      </c>
      <c r="K17">
        <v>8.0000000000000004E-4</v>
      </c>
      <c r="L17">
        <v>8.0000000000000004E-4</v>
      </c>
      <c r="M17">
        <v>8.0000000000000004E-4</v>
      </c>
      <c r="N17">
        <v>8.0000000000000004E-4</v>
      </c>
      <c r="O17">
        <v>8.9999999999999998E-4</v>
      </c>
      <c r="P17">
        <v>8.9999999999999998E-4</v>
      </c>
      <c r="Q17">
        <v>8.9999999999999998E-4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1.44E-2</v>
      </c>
    </row>
    <row r="18" spans="2:37"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2:37"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2:37">
      <c r="B20" s="29" t="s">
        <v>107</v>
      </c>
      <c r="C20">
        <v>1.11E-2</v>
      </c>
      <c r="D20">
        <v>1.1900000000000001E-2</v>
      </c>
      <c r="E20">
        <v>1.2699999999999999E-2</v>
      </c>
      <c r="F20">
        <v>1.35E-2</v>
      </c>
      <c r="G20">
        <v>1.43E-2</v>
      </c>
      <c r="H20">
        <v>1.5100000000000001E-2</v>
      </c>
      <c r="I20">
        <v>1.61E-2</v>
      </c>
      <c r="J20">
        <v>1.7100000000000001E-2</v>
      </c>
      <c r="K20">
        <v>1.8100000000000002E-2</v>
      </c>
      <c r="L20">
        <v>1.9099999999999999E-2</v>
      </c>
      <c r="M20">
        <v>2.01E-2</v>
      </c>
      <c r="N20">
        <v>2.1299999999999999E-2</v>
      </c>
      <c r="O20">
        <v>2.2499999999999999E-2</v>
      </c>
      <c r="P20">
        <v>2.3699999999999999E-2</v>
      </c>
      <c r="Q20">
        <v>2.4799999999999999E-2</v>
      </c>
      <c r="R20">
        <v>2.5999999999999999E-2</v>
      </c>
      <c r="S20">
        <v>2.7400000000000001E-2</v>
      </c>
      <c r="T20">
        <v>2.8799999999999999E-2</v>
      </c>
      <c r="U20">
        <v>3.0200000000000001E-2</v>
      </c>
      <c r="V20">
        <v>3.15E-2</v>
      </c>
      <c r="W20">
        <v>3.2899999999999999E-2</v>
      </c>
      <c r="X20">
        <v>3.44E-2</v>
      </c>
      <c r="Y20">
        <v>3.5900000000000001E-2</v>
      </c>
      <c r="Z20">
        <v>3.7400000000000003E-2</v>
      </c>
      <c r="AA20">
        <v>3.8899999999999997E-2</v>
      </c>
      <c r="AB20">
        <v>4.0399999999999998E-2</v>
      </c>
      <c r="AC20">
        <v>4.1799999999999997E-2</v>
      </c>
      <c r="AD20">
        <v>4.3200000000000002E-2</v>
      </c>
      <c r="AE20">
        <v>4.4600000000000001E-2</v>
      </c>
      <c r="AF20">
        <v>4.5999999999999999E-2</v>
      </c>
      <c r="AG20">
        <v>4.7399999999999998E-2</v>
      </c>
      <c r="AH20">
        <v>4.8599999999999997E-2</v>
      </c>
      <c r="AI20">
        <v>4.9700000000000001E-2</v>
      </c>
      <c r="AJ20">
        <v>5.0900000000000001E-2</v>
      </c>
      <c r="AK20">
        <v>0.99739999999999984</v>
      </c>
    </row>
    <row r="21" spans="2:37">
      <c r="B21" s="29" t="s">
        <v>108</v>
      </c>
      <c r="C21">
        <v>1.5E-3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1.5E-3</v>
      </c>
    </row>
    <row r="22" spans="2:37"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2:37">
      <c r="B23" s="29" t="s">
        <v>110</v>
      </c>
      <c r="C23">
        <v>3.7000000000000002E-3</v>
      </c>
      <c r="D23">
        <v>1.06E-2</v>
      </c>
      <c r="E23">
        <v>1.0800000000000001E-2</v>
      </c>
      <c r="F23">
        <v>1.11E-2</v>
      </c>
      <c r="G23">
        <v>1.1299999999999999E-2</v>
      </c>
      <c r="H23">
        <v>1.15E-2</v>
      </c>
      <c r="I23">
        <v>1.18E-2</v>
      </c>
      <c r="J23">
        <v>1.2E-2</v>
      </c>
      <c r="K23">
        <v>1.23E-2</v>
      </c>
      <c r="L23">
        <v>1.26E-2</v>
      </c>
      <c r="M23">
        <v>1.2800000000000001E-2</v>
      </c>
      <c r="N23">
        <v>1.3100000000000001E-2</v>
      </c>
      <c r="O23">
        <v>1.34E-2</v>
      </c>
      <c r="P23">
        <v>1.37E-2</v>
      </c>
      <c r="Q23">
        <v>1.4E-2</v>
      </c>
      <c r="R23">
        <v>1.4200000000000001E-2</v>
      </c>
      <c r="S23">
        <v>1.46E-2</v>
      </c>
      <c r="T23">
        <v>1.49E-2</v>
      </c>
      <c r="U23">
        <v>1.5299999999999999E-2</v>
      </c>
      <c r="V23">
        <v>1.5599999999999999E-2</v>
      </c>
      <c r="W23">
        <v>1.6E-2</v>
      </c>
      <c r="X23">
        <v>1.6400000000000001E-2</v>
      </c>
      <c r="Y23">
        <v>1.6799999999999999E-2</v>
      </c>
      <c r="Z23">
        <v>1.72E-2</v>
      </c>
      <c r="AA23">
        <v>1.7600000000000001E-2</v>
      </c>
      <c r="AB23">
        <v>1.7899999999999999E-2</v>
      </c>
      <c r="AC23">
        <v>1.84E-2</v>
      </c>
      <c r="AD23">
        <v>1.89E-2</v>
      </c>
      <c r="AE23">
        <v>1.9300000000000001E-2</v>
      </c>
      <c r="AF23">
        <v>1.9800000000000002E-2</v>
      </c>
      <c r="AG23">
        <v>2.0199999999999999E-2</v>
      </c>
      <c r="AH23">
        <v>2.07E-2</v>
      </c>
      <c r="AI23">
        <v>2.12E-2</v>
      </c>
      <c r="AJ23">
        <v>2.1700000000000001E-2</v>
      </c>
      <c r="AK23">
        <v>0.51139999999999997</v>
      </c>
    </row>
    <row r="24" spans="2:37"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2:37"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2:37">
      <c r="B26" s="29" t="s">
        <v>113</v>
      </c>
      <c r="C26">
        <v>1E-4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1E-4</v>
      </c>
    </row>
    <row r="27" spans="2:37"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2:37">
      <c r="B28" s="29" t="s">
        <v>115</v>
      </c>
      <c r="C28">
        <v>5.1000000000000004E-3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5.1000000000000004E-3</v>
      </c>
    </row>
    <row r="29" spans="2:37">
      <c r="B29" s="29" t="s">
        <v>116</v>
      </c>
      <c r="C29">
        <v>1.5E-3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1.5E-3</v>
      </c>
    </row>
    <row r="30" spans="2:37">
      <c r="B30" s="29" t="s">
        <v>117</v>
      </c>
      <c r="C30">
        <v>3.7000000000000002E-3</v>
      </c>
      <c r="D30">
        <v>1.0500000000000001E-2</v>
      </c>
      <c r="E30">
        <v>1.0800000000000001E-2</v>
      </c>
      <c r="F30">
        <v>1.0999999999999999E-2</v>
      </c>
      <c r="G30">
        <v>1.12E-2</v>
      </c>
      <c r="H30">
        <v>1.15E-2</v>
      </c>
      <c r="I30">
        <v>1.17E-2</v>
      </c>
      <c r="J30">
        <v>1.2E-2</v>
      </c>
      <c r="K30">
        <v>1.2200000000000001E-2</v>
      </c>
      <c r="L30">
        <v>1.2500000000000001E-2</v>
      </c>
      <c r="M30">
        <v>1.2699999999999999E-2</v>
      </c>
      <c r="N30">
        <v>1.2999999999999999E-2</v>
      </c>
      <c r="O30">
        <v>1.3299999999999999E-2</v>
      </c>
      <c r="P30">
        <v>1.3599999999999999E-2</v>
      </c>
      <c r="Q30">
        <v>1.3899999999999999E-2</v>
      </c>
      <c r="R30">
        <v>1.4200000000000001E-2</v>
      </c>
      <c r="S30">
        <v>1.4500000000000001E-2</v>
      </c>
      <c r="T30">
        <v>1.49E-2</v>
      </c>
      <c r="U30">
        <v>1.52E-2</v>
      </c>
      <c r="V30">
        <v>1.55E-2</v>
      </c>
      <c r="W30">
        <v>1.5900000000000001E-2</v>
      </c>
      <c r="X30">
        <v>1.6299999999999999E-2</v>
      </c>
      <c r="Y30">
        <v>1.67E-2</v>
      </c>
      <c r="Z30">
        <v>1.7100000000000001E-2</v>
      </c>
      <c r="AA30">
        <v>1.7500000000000002E-2</v>
      </c>
      <c r="AB30">
        <v>1.7899999999999999E-2</v>
      </c>
      <c r="AC30">
        <v>1.84E-2</v>
      </c>
      <c r="AD30">
        <v>1.89E-2</v>
      </c>
      <c r="AE30">
        <v>1.9300000000000001E-2</v>
      </c>
      <c r="AF30">
        <v>1.9800000000000002E-2</v>
      </c>
      <c r="AG30">
        <v>2.0199999999999999E-2</v>
      </c>
      <c r="AH30">
        <v>2.07E-2</v>
      </c>
      <c r="AI30">
        <v>2.12E-2</v>
      </c>
      <c r="AJ30">
        <v>2.1700000000000001E-2</v>
      </c>
      <c r="AK30">
        <v>0.50950000000000006</v>
      </c>
    </row>
    <row r="31" spans="2:37">
      <c r="B31" s="29" t="s">
        <v>118</v>
      </c>
      <c r="C31">
        <v>0</v>
      </c>
      <c r="D31">
        <v>1E-4</v>
      </c>
      <c r="E31">
        <v>1E-4</v>
      </c>
      <c r="F31">
        <v>1E-4</v>
      </c>
      <c r="G31">
        <v>1E-4</v>
      </c>
      <c r="H31">
        <v>1E-4</v>
      </c>
      <c r="I31">
        <v>1E-4</v>
      </c>
      <c r="J31">
        <v>1E-4</v>
      </c>
      <c r="K31">
        <v>1E-4</v>
      </c>
      <c r="L31">
        <v>1E-4</v>
      </c>
      <c r="M31">
        <v>1E-4</v>
      </c>
      <c r="N31">
        <v>1E-4</v>
      </c>
      <c r="O31">
        <v>1E-4</v>
      </c>
      <c r="P31">
        <v>1E-4</v>
      </c>
      <c r="Q31">
        <v>1E-4</v>
      </c>
      <c r="R31">
        <v>1E-4</v>
      </c>
      <c r="S31">
        <v>1E-4</v>
      </c>
      <c r="T31">
        <v>1E-4</v>
      </c>
      <c r="U31">
        <v>1E-4</v>
      </c>
      <c r="V31">
        <v>1E-4</v>
      </c>
      <c r="W31">
        <v>1E-4</v>
      </c>
      <c r="X31">
        <v>1E-4</v>
      </c>
      <c r="Y31">
        <v>1E-4</v>
      </c>
      <c r="Z31">
        <v>1E-4</v>
      </c>
      <c r="AA31">
        <v>1E-4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2.3999999999999998E-3</v>
      </c>
    </row>
    <row r="32" spans="2:37"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2:37">
      <c r="B33" s="29" t="s">
        <v>120</v>
      </c>
      <c r="C33">
        <v>1E-4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1E-4</v>
      </c>
    </row>
    <row r="34" spans="2:37">
      <c r="B34" s="29" t="s">
        <v>121</v>
      </c>
      <c r="C34">
        <v>5.1000000000000004E-3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5.1000000000000004E-3</v>
      </c>
    </row>
    <row r="35" spans="2:37">
      <c r="B35" s="29" t="s">
        <v>122</v>
      </c>
      <c r="C35">
        <v>2.07E-2</v>
      </c>
      <c r="D35">
        <v>2.12E-2</v>
      </c>
      <c r="E35">
        <v>2.1700000000000001E-2</v>
      </c>
      <c r="F35">
        <v>2.2200000000000001E-2</v>
      </c>
      <c r="G35">
        <v>2.2599999999999999E-2</v>
      </c>
      <c r="H35">
        <v>2.3099999999999999E-2</v>
      </c>
      <c r="I35">
        <v>2.3599999999999999E-2</v>
      </c>
      <c r="J35">
        <v>2.41E-2</v>
      </c>
      <c r="K35">
        <v>2.46E-2</v>
      </c>
      <c r="L35">
        <v>2.5100000000000001E-2</v>
      </c>
      <c r="M35">
        <v>2.5600000000000001E-2</v>
      </c>
      <c r="N35">
        <v>2.6200000000000001E-2</v>
      </c>
      <c r="O35">
        <v>2.6800000000000001E-2</v>
      </c>
      <c r="P35">
        <v>2.7300000000000001E-2</v>
      </c>
      <c r="Q35">
        <v>2.7900000000000001E-2</v>
      </c>
      <c r="R35">
        <v>2.8500000000000001E-2</v>
      </c>
      <c r="S35">
        <v>2.92E-2</v>
      </c>
      <c r="T35">
        <v>2.9899999999999999E-2</v>
      </c>
      <c r="U35">
        <v>3.0499999999999999E-2</v>
      </c>
      <c r="V35">
        <v>3.1199999999999999E-2</v>
      </c>
      <c r="W35">
        <v>3.1899999999999998E-2</v>
      </c>
      <c r="X35">
        <v>3.27E-2</v>
      </c>
      <c r="Y35">
        <v>3.3500000000000002E-2</v>
      </c>
      <c r="Z35">
        <v>3.4299999999999997E-2</v>
      </c>
      <c r="AA35">
        <v>3.5099999999999999E-2</v>
      </c>
      <c r="AB35">
        <v>3.5900000000000001E-2</v>
      </c>
      <c r="AC35">
        <v>3.6799999999999999E-2</v>
      </c>
      <c r="AD35">
        <v>3.7699999999999997E-2</v>
      </c>
      <c r="AE35">
        <v>3.8600000000000002E-2</v>
      </c>
      <c r="AF35">
        <v>3.95E-2</v>
      </c>
      <c r="AG35">
        <v>4.0399999999999998E-2</v>
      </c>
      <c r="AH35">
        <v>4.1399999999999999E-2</v>
      </c>
      <c r="AI35">
        <v>4.24E-2</v>
      </c>
      <c r="AJ35">
        <v>4.3400000000000001E-2</v>
      </c>
      <c r="AK35">
        <v>1.0355999999999999</v>
      </c>
    </row>
    <row r="36" spans="2:37">
      <c r="B36" s="29" t="s">
        <v>123</v>
      </c>
      <c r="C36">
        <v>4.2553000000000001</v>
      </c>
      <c r="D36">
        <v>6.4999999999999997E-3</v>
      </c>
      <c r="E36">
        <v>6.4999999999999997E-3</v>
      </c>
      <c r="F36">
        <v>6.4999999999999997E-3</v>
      </c>
      <c r="G36">
        <v>6.4999999999999997E-3</v>
      </c>
      <c r="H36">
        <v>6.4999999999999997E-3</v>
      </c>
      <c r="I36">
        <v>6.4999999999999997E-3</v>
      </c>
      <c r="J36">
        <v>6.4999999999999997E-3</v>
      </c>
      <c r="K36">
        <v>6.6E-3</v>
      </c>
      <c r="L36">
        <v>6.6E-3</v>
      </c>
      <c r="M36">
        <v>6.6E-3</v>
      </c>
      <c r="N36">
        <v>6.6E-3</v>
      </c>
      <c r="O36">
        <v>6.6E-3</v>
      </c>
      <c r="P36">
        <v>6.6E-3</v>
      </c>
      <c r="Q36">
        <v>6.6E-3</v>
      </c>
      <c r="R36">
        <v>6.7000000000000002E-3</v>
      </c>
      <c r="S36">
        <v>6.8999999999999999E-3</v>
      </c>
      <c r="T36">
        <v>7.1000000000000004E-3</v>
      </c>
      <c r="U36">
        <v>7.3000000000000001E-3</v>
      </c>
      <c r="V36">
        <v>7.4999999999999997E-3</v>
      </c>
      <c r="W36">
        <v>7.4000000000000003E-3</v>
      </c>
      <c r="X36">
        <v>7.6E-3</v>
      </c>
      <c r="Y36">
        <v>7.7999999999999996E-3</v>
      </c>
      <c r="Z36">
        <v>8.0000000000000002E-3</v>
      </c>
      <c r="AA36">
        <v>8.2000000000000007E-3</v>
      </c>
      <c r="AB36">
        <v>8.3999999999999995E-3</v>
      </c>
      <c r="AC36">
        <v>8.6E-3</v>
      </c>
      <c r="AD36">
        <v>8.8999999999999999E-3</v>
      </c>
      <c r="AE36">
        <v>9.1000000000000004E-3</v>
      </c>
      <c r="AF36">
        <v>9.2999999999999992E-3</v>
      </c>
      <c r="AG36">
        <v>9.4000000000000004E-3</v>
      </c>
      <c r="AH36">
        <v>9.5999999999999992E-3</v>
      </c>
      <c r="AI36">
        <v>9.9000000000000008E-3</v>
      </c>
      <c r="AJ36">
        <v>1.01E-2</v>
      </c>
      <c r="AK36">
        <v>4.5047999999999986</v>
      </c>
    </row>
    <row r="37" spans="2:37">
      <c r="B37" s="29" t="s">
        <v>124</v>
      </c>
      <c r="C37">
        <v>4.8822999999999999</v>
      </c>
      <c r="D37">
        <v>2.9999999999999997E-4</v>
      </c>
      <c r="E37">
        <v>2.9999999999999997E-4</v>
      </c>
      <c r="F37">
        <v>2.9999999999999997E-4</v>
      </c>
      <c r="G37">
        <v>2.9999999999999997E-4</v>
      </c>
      <c r="H37">
        <v>2.9999999999999997E-4</v>
      </c>
      <c r="I37">
        <v>2.9999999999999997E-4</v>
      </c>
      <c r="J37">
        <v>2.9999999999999997E-4</v>
      </c>
      <c r="K37">
        <v>2.9999999999999997E-4</v>
      </c>
      <c r="L37">
        <v>2.9999999999999997E-4</v>
      </c>
      <c r="M37">
        <v>4.0000000000000002E-4</v>
      </c>
      <c r="N37">
        <v>4.0000000000000002E-4</v>
      </c>
      <c r="O37">
        <v>4.0000000000000002E-4</v>
      </c>
      <c r="P37">
        <v>4.0000000000000002E-4</v>
      </c>
      <c r="Q37">
        <v>4.0000000000000002E-4</v>
      </c>
      <c r="R37">
        <v>4.0000000000000002E-4</v>
      </c>
      <c r="S37">
        <v>4.0000000000000002E-4</v>
      </c>
      <c r="T37">
        <v>5.0000000000000001E-4</v>
      </c>
      <c r="U37">
        <v>5.0000000000000001E-4</v>
      </c>
      <c r="V37">
        <v>5.0000000000000001E-4</v>
      </c>
      <c r="W37">
        <v>5.0000000000000001E-4</v>
      </c>
      <c r="X37">
        <v>5.0000000000000001E-4</v>
      </c>
      <c r="Y37">
        <v>5.0000000000000001E-4</v>
      </c>
      <c r="Z37">
        <v>5.9999999999999995E-4</v>
      </c>
      <c r="AA37">
        <v>5.9999999999999995E-4</v>
      </c>
      <c r="AB37">
        <v>5.9999999999999995E-4</v>
      </c>
      <c r="AC37">
        <v>5.9999999999999995E-4</v>
      </c>
      <c r="AD37">
        <v>6.9999999999999999E-4</v>
      </c>
      <c r="AE37">
        <v>6.9999999999999999E-4</v>
      </c>
      <c r="AF37">
        <v>6.9999999999999999E-4</v>
      </c>
      <c r="AG37">
        <v>6.9999999999999999E-4</v>
      </c>
      <c r="AH37">
        <v>8.0000000000000004E-4</v>
      </c>
      <c r="AI37">
        <v>8.0000000000000004E-4</v>
      </c>
      <c r="AJ37">
        <v>8.0000000000000004E-4</v>
      </c>
      <c r="AK37">
        <v>4.8984000000000014</v>
      </c>
    </row>
    <row r="38" spans="2:37"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2:37">
      <c r="B39" s="29" t="s">
        <v>126</v>
      </c>
      <c r="C39">
        <v>-85076.866999999998</v>
      </c>
      <c r="D39">
        <v>5.0000000000000001E-3</v>
      </c>
      <c r="E39">
        <v>5.0000000000000001E-3</v>
      </c>
      <c r="F39">
        <v>5.0000000000000001E-3</v>
      </c>
      <c r="G39">
        <v>5.0000000000000001E-3</v>
      </c>
      <c r="H39">
        <v>5.0000000000000001E-3</v>
      </c>
      <c r="I39">
        <v>5.0000000000000001E-3</v>
      </c>
      <c r="J39">
        <v>5.0000000000000001E-3</v>
      </c>
      <c r="K39">
        <v>5.0000000000000001E-3</v>
      </c>
      <c r="L39">
        <v>5.0000000000000001E-3</v>
      </c>
      <c r="M39">
        <v>5.0000000000000001E-3</v>
      </c>
      <c r="N39">
        <v>5.0000000000000001E-3</v>
      </c>
      <c r="O39">
        <v>5.0000000000000001E-3</v>
      </c>
      <c r="P39">
        <v>5.0000000000000001E-3</v>
      </c>
      <c r="Q39">
        <v>5.0000000000000001E-3</v>
      </c>
      <c r="R39">
        <v>5.0000000000000001E-3</v>
      </c>
      <c r="S39">
        <v>5.0000000000000001E-3</v>
      </c>
      <c r="T39">
        <v>5.0000000000000001E-3</v>
      </c>
      <c r="U39">
        <v>5.0000000000000001E-3</v>
      </c>
      <c r="V39">
        <v>5.0000000000000001E-3</v>
      </c>
      <c r="W39">
        <v>5.0000000000000001E-3</v>
      </c>
      <c r="X39">
        <v>5.0000000000000001E-3</v>
      </c>
      <c r="Y39">
        <v>5.0000000000000001E-3</v>
      </c>
      <c r="Z39">
        <v>5.0000000000000001E-3</v>
      </c>
      <c r="AA39">
        <v>5.0000000000000001E-3</v>
      </c>
      <c r="AB39">
        <v>5.0000000000000001E-3</v>
      </c>
      <c r="AC39">
        <v>5.0000000000000001E-3</v>
      </c>
      <c r="AD39">
        <v>5.0000000000000001E-3</v>
      </c>
      <c r="AE39">
        <v>5.0000000000000001E-3</v>
      </c>
      <c r="AF39">
        <v>5.0000000000000001E-3</v>
      </c>
      <c r="AG39">
        <v>5.0000000000000001E-3</v>
      </c>
      <c r="AH39">
        <v>5.0000000000000001E-3</v>
      </c>
      <c r="AI39">
        <v>5.0000000000000001E-3</v>
      </c>
      <c r="AJ39">
        <v>5.0000000000000001E-3</v>
      </c>
      <c r="AK39">
        <v>-85076.701999999845</v>
      </c>
    </row>
    <row r="40" spans="2:37"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2:37">
      <c r="B41" s="29" t="s">
        <v>128</v>
      </c>
      <c r="C41">
        <v>2.0000000000000001E-4</v>
      </c>
      <c r="D41">
        <v>2.0000000000000001E-4</v>
      </c>
      <c r="E41">
        <v>2.0000000000000001E-4</v>
      </c>
      <c r="F41">
        <v>2.0000000000000001E-4</v>
      </c>
      <c r="G41">
        <v>2.0000000000000001E-4</v>
      </c>
      <c r="H41">
        <v>2.0000000000000001E-4</v>
      </c>
      <c r="I41">
        <v>2.0000000000000001E-4</v>
      </c>
      <c r="J41">
        <v>2.0000000000000001E-4</v>
      </c>
      <c r="K41">
        <v>2.0000000000000001E-4</v>
      </c>
      <c r="L41">
        <v>2.0000000000000001E-4</v>
      </c>
      <c r="M41">
        <v>2.0000000000000001E-4</v>
      </c>
      <c r="N41">
        <v>2.0000000000000001E-4</v>
      </c>
      <c r="O41">
        <v>2.0000000000000001E-4</v>
      </c>
      <c r="P41">
        <v>2.0000000000000001E-4</v>
      </c>
      <c r="Q41">
        <v>2.0000000000000001E-4</v>
      </c>
      <c r="R41">
        <v>2.0000000000000001E-4</v>
      </c>
      <c r="S41">
        <v>2.0000000000000001E-4</v>
      </c>
      <c r="T41">
        <v>2.0000000000000001E-4</v>
      </c>
      <c r="U41">
        <v>2.0000000000000001E-4</v>
      </c>
      <c r="V41">
        <v>2.0000000000000001E-4</v>
      </c>
      <c r="W41">
        <v>2.0000000000000001E-4</v>
      </c>
      <c r="X41">
        <v>2.0000000000000001E-4</v>
      </c>
      <c r="Y41">
        <v>2.0000000000000001E-4</v>
      </c>
      <c r="Z41">
        <v>2.0000000000000001E-4</v>
      </c>
      <c r="AA41">
        <v>2.0000000000000001E-4</v>
      </c>
      <c r="AB41">
        <v>2.0000000000000001E-4</v>
      </c>
      <c r="AC41">
        <v>2.0000000000000001E-4</v>
      </c>
      <c r="AD41">
        <v>2.0000000000000001E-4</v>
      </c>
      <c r="AE41">
        <v>2.0000000000000001E-4</v>
      </c>
      <c r="AF41">
        <v>2.0000000000000001E-4</v>
      </c>
      <c r="AG41">
        <v>2.0000000000000001E-4</v>
      </c>
      <c r="AH41">
        <v>2.0000000000000001E-4</v>
      </c>
      <c r="AI41">
        <v>2.0000000000000001E-4</v>
      </c>
      <c r="AJ41">
        <v>2.0000000000000001E-4</v>
      </c>
      <c r="AK41">
        <v>6.7999999999999962E-3</v>
      </c>
    </row>
    <row r="42" spans="2:37">
      <c r="B42" s="29" t="s">
        <v>129</v>
      </c>
      <c r="C42">
        <v>20.709</v>
      </c>
      <c r="D42">
        <v>1E-3</v>
      </c>
      <c r="E42">
        <v>1E-3</v>
      </c>
      <c r="F42">
        <v>1E-3</v>
      </c>
      <c r="G42">
        <v>1E-3</v>
      </c>
      <c r="H42">
        <v>1E-3</v>
      </c>
      <c r="I42">
        <v>1E-3</v>
      </c>
      <c r="J42">
        <v>1E-3</v>
      </c>
      <c r="K42">
        <v>1E-3</v>
      </c>
      <c r="L42">
        <v>1E-3</v>
      </c>
      <c r="M42">
        <v>1E-3</v>
      </c>
      <c r="N42">
        <v>1E-3</v>
      </c>
      <c r="O42">
        <v>1E-3</v>
      </c>
      <c r="P42">
        <v>1E-3</v>
      </c>
      <c r="Q42">
        <v>1E-3</v>
      </c>
      <c r="R42">
        <v>1.1000000000000001E-3</v>
      </c>
      <c r="S42">
        <v>1.2999999999999999E-3</v>
      </c>
      <c r="T42">
        <v>1.4E-3</v>
      </c>
      <c r="U42">
        <v>1.6000000000000001E-3</v>
      </c>
      <c r="V42">
        <v>1.8E-3</v>
      </c>
      <c r="W42">
        <v>1.6999999999999999E-3</v>
      </c>
      <c r="X42">
        <v>1.9E-3</v>
      </c>
      <c r="Y42">
        <v>2.0999999999999999E-3</v>
      </c>
      <c r="Z42">
        <v>2.3E-3</v>
      </c>
      <c r="AA42">
        <v>2.3999999999999998E-3</v>
      </c>
      <c r="AB42">
        <v>2.5999999999999999E-3</v>
      </c>
      <c r="AC42">
        <v>2.8E-3</v>
      </c>
      <c r="AD42">
        <v>3.0000000000000001E-3</v>
      </c>
      <c r="AE42">
        <v>3.2000000000000002E-3</v>
      </c>
      <c r="AF42">
        <v>3.3999999999999998E-3</v>
      </c>
      <c r="AG42">
        <v>3.5000000000000001E-3</v>
      </c>
      <c r="AH42">
        <v>3.7000000000000002E-3</v>
      </c>
      <c r="AI42">
        <v>3.8999999999999998E-3</v>
      </c>
      <c r="AJ42">
        <v>4.1000000000000003E-3</v>
      </c>
      <c r="AK42">
        <v>20.770800000000019</v>
      </c>
    </row>
    <row r="43" spans="2:37">
      <c r="B43" s="29" t="s">
        <v>130</v>
      </c>
      <c r="C43">
        <v>9.9999000000000002</v>
      </c>
      <c r="D43">
        <v>1.52E-2</v>
      </c>
      <c r="E43">
        <v>1.52E-2</v>
      </c>
      <c r="F43">
        <v>1.5299999999999999E-2</v>
      </c>
      <c r="G43">
        <v>1.5299999999999999E-2</v>
      </c>
      <c r="H43">
        <v>1.5299999999999999E-2</v>
      </c>
      <c r="I43">
        <v>1.5299999999999999E-2</v>
      </c>
      <c r="J43">
        <v>1.54E-2</v>
      </c>
      <c r="K43">
        <v>1.54E-2</v>
      </c>
      <c r="L43">
        <v>1.54E-2</v>
      </c>
      <c r="M43">
        <v>1.55E-2</v>
      </c>
      <c r="N43">
        <v>1.55E-2</v>
      </c>
      <c r="O43">
        <v>1.55E-2</v>
      </c>
      <c r="P43">
        <v>1.5599999999999999E-2</v>
      </c>
      <c r="Q43">
        <v>1.5599999999999999E-2</v>
      </c>
      <c r="R43">
        <v>1.5699999999999999E-2</v>
      </c>
      <c r="S43">
        <v>1.6199999999999999E-2</v>
      </c>
      <c r="T43">
        <v>1.66E-2</v>
      </c>
      <c r="U43">
        <v>1.7100000000000001E-2</v>
      </c>
      <c r="V43">
        <v>1.7600000000000001E-2</v>
      </c>
      <c r="W43">
        <v>1.7399999999999999E-2</v>
      </c>
      <c r="X43">
        <v>1.7899999999999999E-2</v>
      </c>
      <c r="Y43">
        <v>1.83E-2</v>
      </c>
      <c r="Z43">
        <v>1.8800000000000001E-2</v>
      </c>
      <c r="AA43">
        <v>1.9300000000000001E-2</v>
      </c>
      <c r="AB43">
        <v>1.9800000000000002E-2</v>
      </c>
      <c r="AC43">
        <v>2.0299999999999999E-2</v>
      </c>
      <c r="AD43">
        <v>2.0799999999999999E-2</v>
      </c>
      <c r="AE43">
        <v>2.1299999999999999E-2</v>
      </c>
      <c r="AF43">
        <v>2.18E-2</v>
      </c>
      <c r="AG43">
        <v>2.2100000000000002E-2</v>
      </c>
      <c r="AH43">
        <v>2.2599999999999999E-2</v>
      </c>
      <c r="AI43">
        <v>2.3199999999999998E-2</v>
      </c>
      <c r="AJ43">
        <v>2.3699999999999999E-2</v>
      </c>
      <c r="AK43">
        <v>10.585899999999995</v>
      </c>
    </row>
    <row r="44" spans="2:37"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2:37">
      <c r="B45" s="29" t="s">
        <v>132</v>
      </c>
      <c r="C45">
        <v>4.0000000000000002E-4</v>
      </c>
      <c r="D45">
        <v>5.0000000000000001E-4</v>
      </c>
      <c r="E45">
        <v>5.0000000000000001E-4</v>
      </c>
      <c r="F45">
        <v>5.0000000000000001E-4</v>
      </c>
      <c r="G45">
        <v>5.0000000000000001E-4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1E-4</v>
      </c>
      <c r="X45">
        <v>1E-4</v>
      </c>
      <c r="Y45">
        <v>1E-4</v>
      </c>
      <c r="Z45">
        <v>1E-4</v>
      </c>
      <c r="AA45">
        <v>1E-4</v>
      </c>
      <c r="AB45">
        <v>1E-4</v>
      </c>
      <c r="AC45">
        <v>1E-4</v>
      </c>
      <c r="AD45">
        <v>1E-4</v>
      </c>
      <c r="AE45">
        <v>1E-4</v>
      </c>
      <c r="AF45">
        <v>1E-4</v>
      </c>
      <c r="AG45">
        <v>1E-4</v>
      </c>
      <c r="AH45">
        <v>1E-4</v>
      </c>
      <c r="AI45">
        <v>1E-4</v>
      </c>
      <c r="AJ45">
        <v>1E-4</v>
      </c>
      <c r="AK45">
        <v>3.7999999999999978E-3</v>
      </c>
    </row>
    <row r="46" spans="2:37">
      <c r="B46" s="29" t="s">
        <v>133</v>
      </c>
      <c r="C46">
        <v>2.0899999999999998E-2</v>
      </c>
      <c r="D46">
        <v>2.23E-2</v>
      </c>
      <c r="E46">
        <v>2.3900000000000001E-2</v>
      </c>
      <c r="F46">
        <v>2.6599999999999999E-2</v>
      </c>
      <c r="G46">
        <v>2.86E-2</v>
      </c>
      <c r="H46">
        <v>2.63E-2</v>
      </c>
      <c r="I46">
        <v>2.58E-2</v>
      </c>
      <c r="J46">
        <v>2.5399999999999999E-2</v>
      </c>
      <c r="K46">
        <v>2.5000000000000001E-2</v>
      </c>
      <c r="L46">
        <v>2.5999999999999999E-2</v>
      </c>
      <c r="M46">
        <v>2.23E-2</v>
      </c>
      <c r="N46">
        <v>2.2100000000000002E-2</v>
      </c>
      <c r="O46">
        <v>1.77E-2</v>
      </c>
      <c r="P46">
        <v>1.7299999999999999E-2</v>
      </c>
      <c r="Q46">
        <v>1.6799999999999999E-2</v>
      </c>
      <c r="R46">
        <v>1.55E-2</v>
      </c>
      <c r="S46">
        <v>1.32E-2</v>
      </c>
      <c r="T46">
        <v>1.2699999999999999E-2</v>
      </c>
      <c r="U46">
        <v>1.0699999999999999E-2</v>
      </c>
      <c r="V46">
        <v>8.6E-3</v>
      </c>
      <c r="W46">
        <v>8.8999999999999999E-3</v>
      </c>
      <c r="X46">
        <v>9.4000000000000004E-3</v>
      </c>
      <c r="Y46">
        <v>9.2999999999999992E-3</v>
      </c>
      <c r="Z46">
        <v>9.1000000000000004E-3</v>
      </c>
      <c r="AA46">
        <v>8.9999999999999993E-3</v>
      </c>
      <c r="AB46">
        <v>8.8000000000000005E-3</v>
      </c>
      <c r="AC46">
        <v>8.2000000000000007E-3</v>
      </c>
      <c r="AD46">
        <v>8.0000000000000002E-3</v>
      </c>
      <c r="AE46">
        <v>8.0000000000000002E-3</v>
      </c>
      <c r="AF46">
        <v>9.1000000000000004E-3</v>
      </c>
      <c r="AG46">
        <v>0.01</v>
      </c>
      <c r="AH46">
        <v>9.4999999999999998E-3</v>
      </c>
      <c r="AI46">
        <v>9.4000000000000004E-3</v>
      </c>
      <c r="AJ46">
        <v>8.2000000000000007E-3</v>
      </c>
      <c r="AK46">
        <v>0.53259999999999985</v>
      </c>
    </row>
    <row r="47" spans="2:37">
      <c r="B47" s="29" t="s">
        <v>134</v>
      </c>
      <c r="C47">
        <v>7.0000000000000001E-3</v>
      </c>
      <c r="D47">
        <v>6.8999999999999999E-3</v>
      </c>
      <c r="E47">
        <v>6.4000000000000003E-3</v>
      </c>
      <c r="F47">
        <v>6.0000000000000001E-3</v>
      </c>
      <c r="G47">
        <v>6.4999999999999997E-3</v>
      </c>
      <c r="H47">
        <v>1E-4</v>
      </c>
      <c r="I47">
        <v>1E-4</v>
      </c>
      <c r="J47">
        <v>2.0000000000000001E-4</v>
      </c>
      <c r="K47">
        <v>2.0000000000000001E-4</v>
      </c>
      <c r="L47">
        <v>6.9999999999999999E-4</v>
      </c>
      <c r="M47">
        <v>1.1999999999999999E-3</v>
      </c>
      <c r="N47">
        <v>1.2999999999999999E-3</v>
      </c>
      <c r="O47">
        <v>1E-4</v>
      </c>
      <c r="P47">
        <v>1E-4</v>
      </c>
      <c r="Q47">
        <v>1E-4</v>
      </c>
      <c r="R47">
        <v>1E-4</v>
      </c>
      <c r="S47">
        <v>1E-4</v>
      </c>
      <c r="T47">
        <v>1E-4</v>
      </c>
      <c r="U47">
        <v>1E-4</v>
      </c>
      <c r="V47">
        <v>1E-4</v>
      </c>
      <c r="W47">
        <v>1E-4</v>
      </c>
      <c r="X47">
        <v>1E-4</v>
      </c>
      <c r="Y47">
        <v>1E-4</v>
      </c>
      <c r="Z47">
        <v>1E-4</v>
      </c>
      <c r="AA47">
        <v>1E-4</v>
      </c>
      <c r="AB47">
        <v>1E-4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3.8000000000000041E-2</v>
      </c>
    </row>
    <row r="48" spans="2:37">
      <c r="B48" s="29" t="s">
        <v>135</v>
      </c>
      <c r="C48">
        <v>8.9999999999999998E-4</v>
      </c>
      <c r="D48">
        <v>5.9999999999999995E-4</v>
      </c>
      <c r="E48">
        <v>8.9999999999999998E-4</v>
      </c>
      <c r="F48">
        <v>5.0000000000000001E-4</v>
      </c>
      <c r="G48">
        <v>5.0000000000000001E-4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3.4000000000000002E-3</v>
      </c>
    </row>
    <row r="49" spans="2:37"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2:37"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2:37">
      <c r="B51" s="29" t="s">
        <v>138</v>
      </c>
      <c r="C51">
        <v>3.8999999999999998E-3</v>
      </c>
      <c r="D51">
        <v>3.5999999999999999E-3</v>
      </c>
      <c r="E51">
        <v>3.8E-3</v>
      </c>
      <c r="F51">
        <v>3.8999999999999998E-3</v>
      </c>
      <c r="G51">
        <v>3.8999999999999998E-3</v>
      </c>
      <c r="H51">
        <v>4.0000000000000001E-3</v>
      </c>
      <c r="I51">
        <v>6.6E-3</v>
      </c>
      <c r="J51">
        <v>9.2999999999999992E-3</v>
      </c>
      <c r="K51">
        <v>1.2E-2</v>
      </c>
      <c r="L51">
        <v>1.26E-2</v>
      </c>
      <c r="M51">
        <v>1.26E-2</v>
      </c>
      <c r="N51">
        <v>1.26E-2</v>
      </c>
      <c r="O51">
        <v>1.26E-2</v>
      </c>
      <c r="P51">
        <v>1.26E-2</v>
      </c>
      <c r="Q51">
        <v>1.26E-2</v>
      </c>
      <c r="R51">
        <v>1.26E-2</v>
      </c>
      <c r="S51">
        <v>1.26E-2</v>
      </c>
      <c r="T51">
        <v>1.26E-2</v>
      </c>
      <c r="U51">
        <v>1.26E-2</v>
      </c>
      <c r="V51">
        <v>1.26E-2</v>
      </c>
      <c r="W51">
        <v>1.26E-2</v>
      </c>
      <c r="X51">
        <v>1.26E-2</v>
      </c>
      <c r="Y51">
        <v>1.26E-2</v>
      </c>
      <c r="Z51">
        <v>1.26E-2</v>
      </c>
      <c r="AA51">
        <v>1.26E-2</v>
      </c>
      <c r="AB51">
        <v>1.26E-2</v>
      </c>
      <c r="AC51">
        <v>1.26E-2</v>
      </c>
      <c r="AD51">
        <v>1.26E-2</v>
      </c>
      <c r="AE51">
        <v>1.26E-2</v>
      </c>
      <c r="AF51">
        <v>1.26E-2</v>
      </c>
      <c r="AG51">
        <v>1.26E-2</v>
      </c>
      <c r="AH51">
        <v>1.26E-2</v>
      </c>
      <c r="AI51">
        <v>1.26E-2</v>
      </c>
      <c r="AJ51">
        <v>1.26E-2</v>
      </c>
      <c r="AK51">
        <v>0.36599999999999999</v>
      </c>
    </row>
    <row r="52" spans="2:37"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2:37"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2:37"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2:37">
      <c r="B55" s="29" t="s">
        <v>142</v>
      </c>
      <c r="C55">
        <v>0</v>
      </c>
      <c r="D55">
        <v>0</v>
      </c>
      <c r="E55">
        <v>0</v>
      </c>
      <c r="F55">
        <v>0</v>
      </c>
      <c r="G55">
        <v>0</v>
      </c>
      <c r="H55">
        <v>6.6E-3</v>
      </c>
      <c r="I55">
        <v>6.6E-3</v>
      </c>
      <c r="J55">
        <v>6.6E-3</v>
      </c>
      <c r="K55">
        <v>6.6E-3</v>
      </c>
      <c r="L55">
        <v>6.6E-3</v>
      </c>
      <c r="M55">
        <v>6.6E-3</v>
      </c>
      <c r="N55">
        <v>9.2999999999999992E-3</v>
      </c>
      <c r="O55">
        <v>1.8100000000000002E-2</v>
      </c>
      <c r="P55">
        <v>2.1299999999999999E-2</v>
      </c>
      <c r="Q55">
        <v>2.4500000000000001E-2</v>
      </c>
      <c r="R55">
        <v>2.7400000000000001E-2</v>
      </c>
      <c r="S55">
        <v>3.3000000000000002E-2</v>
      </c>
      <c r="T55">
        <v>3.6799999999999999E-2</v>
      </c>
      <c r="U55">
        <v>4.2099999999999999E-2</v>
      </c>
      <c r="V55">
        <v>4.7199999999999999E-2</v>
      </c>
      <c r="W55">
        <v>3.8899999999999997E-2</v>
      </c>
      <c r="X55">
        <v>4.0399999999999998E-2</v>
      </c>
      <c r="Y55">
        <v>4.2999999999999997E-2</v>
      </c>
      <c r="Z55">
        <v>4.5699999999999998E-2</v>
      </c>
      <c r="AA55">
        <v>4.8300000000000003E-2</v>
      </c>
      <c r="AB55">
        <v>5.11E-2</v>
      </c>
      <c r="AC55">
        <v>5.4399999999999997E-2</v>
      </c>
      <c r="AD55">
        <v>5.7099999999999998E-2</v>
      </c>
      <c r="AE55">
        <v>5.8999999999999997E-2</v>
      </c>
      <c r="AF55">
        <v>6.0100000000000001E-2</v>
      </c>
      <c r="AG55">
        <v>5.7599999999999998E-2</v>
      </c>
      <c r="AH55">
        <v>6.0499999999999998E-2</v>
      </c>
      <c r="AI55">
        <v>6.2899999999999998E-2</v>
      </c>
      <c r="AJ55">
        <v>6.6400000000000001E-2</v>
      </c>
      <c r="AK55">
        <v>1.0447</v>
      </c>
    </row>
    <row r="56" spans="2:37"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2:37"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2:37">
      <c r="B58" s="29" t="s">
        <v>145</v>
      </c>
      <c r="C58">
        <v>2.5999999999999999E-3</v>
      </c>
      <c r="D58">
        <v>3.3E-3</v>
      </c>
      <c r="E58">
        <v>3.5999999999999999E-3</v>
      </c>
      <c r="F58">
        <v>3.7000000000000002E-3</v>
      </c>
      <c r="G58">
        <v>3.8999999999999998E-3</v>
      </c>
      <c r="H58">
        <v>3.8999999999999998E-3</v>
      </c>
      <c r="I58">
        <v>3.8999999999999998E-3</v>
      </c>
      <c r="J58">
        <v>3.8999999999999998E-3</v>
      </c>
      <c r="K58">
        <v>3.8999999999999998E-3</v>
      </c>
      <c r="L58">
        <v>3.8999999999999998E-3</v>
      </c>
      <c r="M58">
        <v>3.8999999999999998E-3</v>
      </c>
      <c r="N58">
        <v>3.8999999999999998E-3</v>
      </c>
      <c r="O58">
        <v>3.8999999999999998E-3</v>
      </c>
      <c r="P58">
        <v>3.8999999999999998E-3</v>
      </c>
      <c r="Q58">
        <v>3.8999999999999998E-3</v>
      </c>
      <c r="R58">
        <v>3.8999999999999998E-3</v>
      </c>
      <c r="S58">
        <v>3.8999999999999998E-3</v>
      </c>
      <c r="T58">
        <v>3.8999999999999998E-3</v>
      </c>
      <c r="U58">
        <v>3.8999999999999998E-3</v>
      </c>
      <c r="V58">
        <v>3.8999999999999998E-3</v>
      </c>
      <c r="W58">
        <v>3.8999999999999998E-3</v>
      </c>
      <c r="X58">
        <v>3.8999999999999998E-3</v>
      </c>
      <c r="Y58">
        <v>3.8999999999999998E-3</v>
      </c>
      <c r="Z58">
        <v>3.8999999999999998E-3</v>
      </c>
      <c r="AA58">
        <v>3.8999999999999998E-3</v>
      </c>
      <c r="AB58">
        <v>3.8999999999999998E-3</v>
      </c>
      <c r="AC58">
        <v>3.8999999999999998E-3</v>
      </c>
      <c r="AD58">
        <v>3.8999999999999998E-3</v>
      </c>
      <c r="AE58">
        <v>3.8999999999999998E-3</v>
      </c>
      <c r="AF58">
        <v>3.8999999999999998E-3</v>
      </c>
      <c r="AG58">
        <v>3.8999999999999998E-3</v>
      </c>
      <c r="AH58">
        <v>3.8999999999999998E-3</v>
      </c>
      <c r="AI58">
        <v>3.8999999999999998E-3</v>
      </c>
      <c r="AJ58">
        <v>3.8999999999999998E-3</v>
      </c>
      <c r="AK58">
        <v>0.13019999999999998</v>
      </c>
    </row>
    <row r="59" spans="2:37"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5.9999999999999995E-4</v>
      </c>
      <c r="I59">
        <v>5.9999999999999995E-4</v>
      </c>
      <c r="J59">
        <v>5.9999999999999995E-4</v>
      </c>
      <c r="K59">
        <v>5.9999999999999995E-4</v>
      </c>
      <c r="L59">
        <v>6.9999999999999999E-4</v>
      </c>
      <c r="M59">
        <v>8.0000000000000004E-4</v>
      </c>
      <c r="N59">
        <v>8.0000000000000004E-4</v>
      </c>
      <c r="O59">
        <v>4.0000000000000002E-4</v>
      </c>
      <c r="P59">
        <v>4.0000000000000002E-4</v>
      </c>
      <c r="Q59">
        <v>4.0000000000000002E-4</v>
      </c>
      <c r="R59">
        <v>4.0000000000000002E-4</v>
      </c>
      <c r="S59">
        <v>2.9999999999999997E-4</v>
      </c>
      <c r="T59">
        <v>2.9999999999999997E-4</v>
      </c>
      <c r="U59">
        <v>2.9999999999999997E-4</v>
      </c>
      <c r="V59">
        <v>8.0000000000000004E-4</v>
      </c>
      <c r="W59">
        <v>1.8E-3</v>
      </c>
      <c r="X59">
        <v>2.2000000000000001E-3</v>
      </c>
      <c r="Y59">
        <v>2.3E-3</v>
      </c>
      <c r="Z59">
        <v>2.3999999999999998E-3</v>
      </c>
      <c r="AA59">
        <v>2.5999999999999999E-3</v>
      </c>
      <c r="AB59">
        <v>2.7000000000000001E-3</v>
      </c>
      <c r="AC59">
        <v>2.8999999999999998E-3</v>
      </c>
      <c r="AD59">
        <v>3.0999999999999999E-3</v>
      </c>
      <c r="AE59">
        <v>3.3E-3</v>
      </c>
      <c r="AF59">
        <v>4.5999999999999999E-3</v>
      </c>
      <c r="AG59">
        <v>6.4999999999999997E-3</v>
      </c>
      <c r="AH59">
        <v>6.7000000000000002E-3</v>
      </c>
      <c r="AI59">
        <v>6.8999999999999999E-3</v>
      </c>
      <c r="AJ59">
        <v>7.1000000000000004E-3</v>
      </c>
      <c r="AK59">
        <v>6.3099999999999989E-2</v>
      </c>
    </row>
    <row r="60" spans="2:37"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2:37"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2:37"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2:37">
      <c r="B63" s="29" t="s">
        <v>150</v>
      </c>
      <c r="C63">
        <v>5.0000000000000001E-4</v>
      </c>
      <c r="D63">
        <v>5.0000000000000001E-4</v>
      </c>
      <c r="E63">
        <v>6.9999999999999999E-4</v>
      </c>
      <c r="F63">
        <v>8.9999999999999998E-4</v>
      </c>
      <c r="G63">
        <v>1.4E-3</v>
      </c>
      <c r="H63">
        <v>1.6999999999999999E-3</v>
      </c>
      <c r="I63">
        <v>1.6999999999999999E-3</v>
      </c>
      <c r="J63">
        <v>1.6999999999999999E-3</v>
      </c>
      <c r="K63">
        <v>1.6999999999999999E-3</v>
      </c>
      <c r="L63">
        <v>1.6999999999999999E-3</v>
      </c>
      <c r="M63">
        <v>7.1000000000000004E-3</v>
      </c>
      <c r="N63">
        <v>7.1000000000000004E-3</v>
      </c>
      <c r="O63">
        <v>7.1000000000000004E-3</v>
      </c>
      <c r="P63">
        <v>7.1000000000000004E-3</v>
      </c>
      <c r="Q63">
        <v>7.1999999999999998E-3</v>
      </c>
      <c r="R63">
        <v>7.1999999999999998E-3</v>
      </c>
      <c r="S63">
        <v>7.1999999999999998E-3</v>
      </c>
      <c r="T63">
        <v>7.1999999999999998E-3</v>
      </c>
      <c r="U63">
        <v>7.1999999999999998E-3</v>
      </c>
      <c r="V63">
        <v>7.1999999999999998E-3</v>
      </c>
      <c r="W63">
        <v>1.7399999999999999E-2</v>
      </c>
      <c r="X63">
        <v>1.83E-2</v>
      </c>
      <c r="Y63">
        <v>1.9199999999999998E-2</v>
      </c>
      <c r="Z63">
        <v>2.0199999999999999E-2</v>
      </c>
      <c r="AA63">
        <v>2.12E-2</v>
      </c>
      <c r="AB63">
        <v>2.2200000000000001E-2</v>
      </c>
      <c r="AC63">
        <v>2.3199999999999998E-2</v>
      </c>
      <c r="AD63">
        <v>2.4199999999999999E-2</v>
      </c>
      <c r="AE63">
        <v>2.5999999999999999E-2</v>
      </c>
      <c r="AF63">
        <v>2.63E-2</v>
      </c>
      <c r="AG63">
        <v>3.1199999999999999E-2</v>
      </c>
      <c r="AH63">
        <v>3.2300000000000002E-2</v>
      </c>
      <c r="AI63">
        <v>3.3399999999999999E-2</v>
      </c>
      <c r="AJ63">
        <v>3.4500000000000003E-2</v>
      </c>
      <c r="AK63">
        <v>0.43369999999999997</v>
      </c>
    </row>
    <row r="64" spans="2:37"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2:37">
      <c r="B65" s="29" t="s">
        <v>152</v>
      </c>
      <c r="C65">
        <v>4.0000000000000002E-4</v>
      </c>
      <c r="D65">
        <v>5.0000000000000001E-4</v>
      </c>
      <c r="E65">
        <v>4.0000000000000002E-4</v>
      </c>
      <c r="F65">
        <v>5.0000000000000001E-4</v>
      </c>
      <c r="G65">
        <v>4.0000000000000002E-4</v>
      </c>
      <c r="H65">
        <v>5.0000000000000001E-4</v>
      </c>
      <c r="I65">
        <v>5.0000000000000001E-4</v>
      </c>
      <c r="J65">
        <v>5.0000000000000001E-4</v>
      </c>
      <c r="K65">
        <v>5.0000000000000001E-4</v>
      </c>
      <c r="L65">
        <v>5.0000000000000001E-4</v>
      </c>
      <c r="M65">
        <v>5.0000000000000001E-4</v>
      </c>
      <c r="N65">
        <v>5.0000000000000001E-4</v>
      </c>
      <c r="O65">
        <v>5.0000000000000001E-4</v>
      </c>
      <c r="P65">
        <v>5.0000000000000001E-4</v>
      </c>
      <c r="Q65">
        <v>5.0000000000000001E-4</v>
      </c>
      <c r="R65">
        <v>5.0000000000000001E-4</v>
      </c>
      <c r="S65">
        <v>5.0000000000000001E-4</v>
      </c>
      <c r="T65">
        <v>5.0000000000000001E-4</v>
      </c>
      <c r="U65">
        <v>5.0000000000000001E-4</v>
      </c>
      <c r="V65">
        <v>2.9999999999999997E-4</v>
      </c>
      <c r="W65">
        <v>2.0000000000000001E-4</v>
      </c>
      <c r="X65">
        <v>2.0000000000000001E-4</v>
      </c>
      <c r="Y65">
        <v>2.0000000000000001E-4</v>
      </c>
      <c r="Z65">
        <v>2.0000000000000001E-4</v>
      </c>
      <c r="AA65">
        <v>2.0000000000000001E-4</v>
      </c>
      <c r="AB65">
        <v>1E-4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1.0600000000000007E-2</v>
      </c>
    </row>
    <row r="66" spans="2:37"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2:37" s="5" customFormat="1">
      <c r="B67" s="29" t="s">
        <v>154</v>
      </c>
      <c r="C67">
        <v>0.03</v>
      </c>
      <c r="D67">
        <v>0.03</v>
      </c>
      <c r="E67">
        <v>3.15E-2</v>
      </c>
      <c r="F67">
        <v>3.3000000000000002E-2</v>
      </c>
      <c r="G67">
        <v>3.4500000000000003E-2</v>
      </c>
      <c r="H67">
        <v>3.5700000000000003E-2</v>
      </c>
      <c r="I67">
        <v>3.7499999999999999E-2</v>
      </c>
      <c r="J67">
        <v>3.9399999999999998E-2</v>
      </c>
      <c r="K67">
        <v>4.1300000000000003E-2</v>
      </c>
      <c r="L67">
        <v>4.3099999999999999E-2</v>
      </c>
      <c r="M67">
        <v>4.4999999999999998E-2</v>
      </c>
      <c r="N67">
        <v>4.7199999999999999E-2</v>
      </c>
      <c r="O67">
        <v>4.9500000000000002E-2</v>
      </c>
      <c r="P67">
        <v>5.1700000000000003E-2</v>
      </c>
      <c r="Q67">
        <v>5.3900000000000003E-2</v>
      </c>
      <c r="R67">
        <v>5.5300000000000002E-2</v>
      </c>
      <c r="S67">
        <v>5.79E-2</v>
      </c>
      <c r="T67">
        <v>6.0600000000000001E-2</v>
      </c>
      <c r="U67">
        <v>6.3299999999999995E-2</v>
      </c>
      <c r="V67">
        <v>6.6000000000000003E-2</v>
      </c>
      <c r="W67">
        <v>6.8699999999999997E-2</v>
      </c>
      <c r="X67">
        <v>7.1400000000000005E-2</v>
      </c>
      <c r="Y67">
        <v>7.4399999999999994E-2</v>
      </c>
      <c r="Z67">
        <v>7.7299999999999994E-2</v>
      </c>
      <c r="AA67">
        <v>8.0199999999999994E-2</v>
      </c>
      <c r="AB67">
        <v>8.3199999999999996E-2</v>
      </c>
      <c r="AC67">
        <v>8.6199999999999999E-2</v>
      </c>
      <c r="AD67">
        <v>8.9300000000000004E-2</v>
      </c>
      <c r="AE67">
        <v>9.2399999999999996E-2</v>
      </c>
      <c r="AF67">
        <v>9.5500000000000002E-2</v>
      </c>
      <c r="AG67">
        <v>9.98E-2</v>
      </c>
      <c r="AH67">
        <v>0.1028</v>
      </c>
      <c r="AI67">
        <v>0.1057</v>
      </c>
      <c r="AJ67">
        <v>0.1087</v>
      </c>
      <c r="AK67">
        <v>2.1419999999999995</v>
      </c>
    </row>
    <row r="68" spans="2:37">
      <c r="B68" s="29" t="s">
        <v>155</v>
      </c>
      <c r="C68">
        <v>8.9999999999999998E-4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1.1000000000000001E-3</v>
      </c>
      <c r="J68">
        <v>1.1000000000000001E-3</v>
      </c>
      <c r="K68">
        <v>1.1000000000000001E-3</v>
      </c>
      <c r="L68">
        <v>1.1000000000000001E-3</v>
      </c>
      <c r="M68">
        <v>1.1000000000000001E-3</v>
      </c>
      <c r="N68">
        <v>1.1999999999999999E-3</v>
      </c>
      <c r="O68">
        <v>1.1999999999999999E-3</v>
      </c>
      <c r="P68">
        <v>1.1999999999999999E-3</v>
      </c>
      <c r="Q68">
        <v>1.2999999999999999E-3</v>
      </c>
      <c r="R68">
        <v>1.2999999999999999E-3</v>
      </c>
      <c r="S68">
        <v>1.2999999999999999E-3</v>
      </c>
      <c r="T68">
        <v>1.2999999999999999E-3</v>
      </c>
      <c r="U68">
        <v>1.4E-3</v>
      </c>
      <c r="V68">
        <v>1.4E-3</v>
      </c>
      <c r="W68">
        <v>1.4E-3</v>
      </c>
      <c r="X68">
        <v>1.1000000000000001E-3</v>
      </c>
      <c r="Y68">
        <v>1E-3</v>
      </c>
      <c r="Z68">
        <v>1E-3</v>
      </c>
      <c r="AA68">
        <v>8.9999999999999998E-4</v>
      </c>
      <c r="AB68">
        <v>8.0000000000000004E-4</v>
      </c>
      <c r="AC68">
        <v>8.0000000000000004E-4</v>
      </c>
      <c r="AD68">
        <v>6.9999999999999999E-4</v>
      </c>
      <c r="AE68">
        <v>5.9999999999999995E-4</v>
      </c>
      <c r="AF68">
        <v>5.9999999999999995E-4</v>
      </c>
      <c r="AG68">
        <v>1.8E-3</v>
      </c>
      <c r="AH68">
        <v>1.9E-3</v>
      </c>
      <c r="AI68">
        <v>1.9E-3</v>
      </c>
      <c r="AJ68">
        <v>1.9E-3</v>
      </c>
      <c r="AK68">
        <v>3.9399999999999998E-2</v>
      </c>
    </row>
    <row r="69" spans="2:37">
      <c r="B69" s="29" t="s">
        <v>156</v>
      </c>
      <c r="C69">
        <v>0</v>
      </c>
      <c r="D69">
        <v>0</v>
      </c>
      <c r="E69">
        <v>1.3899999999999999E-2</v>
      </c>
      <c r="F69">
        <v>1.47E-2</v>
      </c>
      <c r="G69">
        <v>1.55E-2</v>
      </c>
      <c r="H69">
        <v>1.6E-2</v>
      </c>
      <c r="I69">
        <v>1.7000000000000001E-2</v>
      </c>
      <c r="J69">
        <v>1.7999999999999999E-2</v>
      </c>
      <c r="K69">
        <v>1.9E-2</v>
      </c>
      <c r="L69">
        <v>0.02</v>
      </c>
      <c r="M69">
        <v>2.1000000000000001E-2</v>
      </c>
      <c r="N69">
        <v>2.2100000000000002E-2</v>
      </c>
      <c r="O69">
        <v>2.3400000000000001E-2</v>
      </c>
      <c r="P69">
        <v>2.4500000000000001E-2</v>
      </c>
      <c r="Q69">
        <v>2.5700000000000001E-2</v>
      </c>
      <c r="R69">
        <v>2.5999999999999999E-2</v>
      </c>
      <c r="S69">
        <v>2.7400000000000001E-2</v>
      </c>
      <c r="T69">
        <v>2.8799999999999999E-2</v>
      </c>
      <c r="U69">
        <v>3.0200000000000001E-2</v>
      </c>
      <c r="V69">
        <v>3.15E-2</v>
      </c>
      <c r="W69">
        <v>3.2899999999999999E-2</v>
      </c>
      <c r="X69">
        <v>3.44E-2</v>
      </c>
      <c r="Y69">
        <v>3.5900000000000001E-2</v>
      </c>
      <c r="Z69">
        <v>3.7400000000000003E-2</v>
      </c>
      <c r="AA69">
        <v>3.8899999999999997E-2</v>
      </c>
      <c r="AB69">
        <v>4.0399999999999998E-2</v>
      </c>
      <c r="AC69">
        <v>4.1799999999999997E-2</v>
      </c>
      <c r="AD69">
        <v>4.3200000000000002E-2</v>
      </c>
      <c r="AE69">
        <v>4.4600000000000001E-2</v>
      </c>
      <c r="AF69">
        <v>4.5999999999999999E-2</v>
      </c>
      <c r="AG69">
        <v>4.7399999999999998E-2</v>
      </c>
      <c r="AH69">
        <v>4.8599999999999997E-2</v>
      </c>
      <c r="AI69">
        <v>4.9700000000000001E-2</v>
      </c>
      <c r="AJ69">
        <v>5.0900000000000001E-2</v>
      </c>
      <c r="AK69">
        <v>0.9867999999999999</v>
      </c>
    </row>
    <row r="70" spans="2:37">
      <c r="B70" s="29" t="s">
        <v>157</v>
      </c>
      <c r="C70">
        <v>9.1999999999999998E-3</v>
      </c>
      <c r="D70">
        <v>9.4000000000000004E-3</v>
      </c>
      <c r="E70">
        <v>9.5999999999999992E-3</v>
      </c>
      <c r="F70">
        <v>9.7999999999999997E-3</v>
      </c>
      <c r="G70">
        <v>1.01E-2</v>
      </c>
      <c r="H70">
        <v>1.03E-2</v>
      </c>
      <c r="I70">
        <v>1.0500000000000001E-2</v>
      </c>
      <c r="J70">
        <v>1.0699999999999999E-2</v>
      </c>
      <c r="K70">
        <v>1.09E-2</v>
      </c>
      <c r="L70">
        <v>1.12E-2</v>
      </c>
      <c r="M70">
        <v>1.14E-2</v>
      </c>
      <c r="N70">
        <v>1.1599999999999999E-2</v>
      </c>
      <c r="O70">
        <v>1.1900000000000001E-2</v>
      </c>
      <c r="P70">
        <v>1.21E-2</v>
      </c>
      <c r="Q70">
        <v>1.24E-2</v>
      </c>
      <c r="R70">
        <v>1.2699999999999999E-2</v>
      </c>
      <c r="S70">
        <v>1.2999999999999999E-2</v>
      </c>
      <c r="T70">
        <v>1.3299999999999999E-2</v>
      </c>
      <c r="U70">
        <v>1.3599999999999999E-2</v>
      </c>
      <c r="V70">
        <v>1.3899999999999999E-2</v>
      </c>
      <c r="W70">
        <v>1.4200000000000001E-2</v>
      </c>
      <c r="X70">
        <v>1.4500000000000001E-2</v>
      </c>
      <c r="Y70">
        <v>1.49E-2</v>
      </c>
      <c r="Z70">
        <v>1.52E-2</v>
      </c>
      <c r="AA70">
        <v>1.5599999999999999E-2</v>
      </c>
      <c r="AB70">
        <v>1.5900000000000001E-2</v>
      </c>
      <c r="AC70">
        <v>1.6299999999999999E-2</v>
      </c>
      <c r="AD70">
        <v>1.67E-2</v>
      </c>
      <c r="AE70">
        <v>1.7100000000000001E-2</v>
      </c>
      <c r="AF70">
        <v>1.7500000000000002E-2</v>
      </c>
      <c r="AG70">
        <v>1.7899999999999999E-2</v>
      </c>
      <c r="AH70">
        <v>1.84E-2</v>
      </c>
      <c r="AI70">
        <v>1.8800000000000001E-2</v>
      </c>
      <c r="AJ70">
        <v>1.9300000000000001E-2</v>
      </c>
      <c r="AK70">
        <v>0.45989999999999992</v>
      </c>
    </row>
    <row r="71" spans="2:37">
      <c r="B71" s="29" t="s">
        <v>158</v>
      </c>
      <c r="C71">
        <v>7.4999999999999997E-3</v>
      </c>
      <c r="D71">
        <v>6.4000000000000003E-3</v>
      </c>
      <c r="E71">
        <v>6.8999999999999999E-3</v>
      </c>
      <c r="F71">
        <v>7.4000000000000003E-3</v>
      </c>
      <c r="G71">
        <v>7.9000000000000008E-3</v>
      </c>
      <c r="H71">
        <v>8.3999999999999995E-3</v>
      </c>
      <c r="I71">
        <v>8.9999999999999993E-3</v>
      </c>
      <c r="J71">
        <v>9.5999999999999992E-3</v>
      </c>
      <c r="K71">
        <v>1.0200000000000001E-2</v>
      </c>
      <c r="L71">
        <v>1.0800000000000001E-2</v>
      </c>
      <c r="M71">
        <v>1.14E-2</v>
      </c>
      <c r="N71">
        <v>1.2200000000000001E-2</v>
      </c>
      <c r="O71">
        <v>1.2999999999999999E-2</v>
      </c>
      <c r="P71">
        <v>1.37E-2</v>
      </c>
      <c r="Q71">
        <v>1.4500000000000001E-2</v>
      </c>
      <c r="R71">
        <v>1.5299999999999999E-2</v>
      </c>
      <c r="S71">
        <v>1.6199999999999999E-2</v>
      </c>
      <c r="T71">
        <v>1.72E-2</v>
      </c>
      <c r="U71">
        <v>1.8200000000000001E-2</v>
      </c>
      <c r="V71">
        <v>1.9199999999999998E-2</v>
      </c>
      <c r="W71">
        <v>2.0199999999999999E-2</v>
      </c>
      <c r="X71">
        <v>2.1299999999999999E-2</v>
      </c>
      <c r="Y71">
        <v>2.2499999999999999E-2</v>
      </c>
      <c r="Z71">
        <v>2.3699999999999999E-2</v>
      </c>
      <c r="AA71">
        <v>2.4899999999999999E-2</v>
      </c>
      <c r="AB71">
        <v>2.6100000000000002E-2</v>
      </c>
      <c r="AC71">
        <v>2.7400000000000001E-2</v>
      </c>
      <c r="AD71">
        <v>2.87E-2</v>
      </c>
      <c r="AE71">
        <v>0.03</v>
      </c>
      <c r="AF71">
        <v>3.1300000000000001E-2</v>
      </c>
      <c r="AG71">
        <v>3.2599999999999997E-2</v>
      </c>
      <c r="AH71">
        <v>3.4000000000000002E-2</v>
      </c>
      <c r="AI71">
        <v>3.5299999999999998E-2</v>
      </c>
      <c r="AJ71">
        <v>3.6600000000000001E-2</v>
      </c>
      <c r="AK71">
        <v>0.62959999999999994</v>
      </c>
    </row>
    <row r="72" spans="2:37">
      <c r="B72" s="29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2:37"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2:37">
      <c r="B74" s="29" t="s">
        <v>161</v>
      </c>
      <c r="C74">
        <v>4.41E-2</v>
      </c>
      <c r="D74">
        <v>4.53E-2</v>
      </c>
      <c r="E74">
        <v>4.6600000000000003E-2</v>
      </c>
      <c r="F74">
        <v>4.7899999999999998E-2</v>
      </c>
      <c r="G74">
        <v>4.9200000000000001E-2</v>
      </c>
      <c r="H74">
        <v>5.04E-2</v>
      </c>
      <c r="I74">
        <v>5.1999999999999998E-2</v>
      </c>
      <c r="J74">
        <v>5.3499999999999999E-2</v>
      </c>
      <c r="K74">
        <v>5.5E-2</v>
      </c>
      <c r="L74">
        <v>5.6500000000000002E-2</v>
      </c>
      <c r="M74">
        <v>5.57E-2</v>
      </c>
      <c r="N74">
        <v>5.7500000000000002E-2</v>
      </c>
      <c r="O74">
        <v>5.9400000000000001E-2</v>
      </c>
      <c r="P74">
        <v>6.13E-2</v>
      </c>
      <c r="Q74">
        <v>6.3200000000000006E-2</v>
      </c>
      <c r="R74">
        <v>6.5100000000000005E-2</v>
      </c>
      <c r="S74">
        <v>6.7199999999999996E-2</v>
      </c>
      <c r="T74">
        <v>6.93E-2</v>
      </c>
      <c r="U74">
        <v>7.1499999999999994E-2</v>
      </c>
      <c r="V74">
        <v>7.3599999999999999E-2</v>
      </c>
      <c r="W74">
        <v>7.5600000000000001E-2</v>
      </c>
      <c r="X74">
        <v>7.7899999999999997E-2</v>
      </c>
      <c r="Y74">
        <v>8.0299999999999996E-2</v>
      </c>
      <c r="Z74">
        <v>8.2699999999999996E-2</v>
      </c>
      <c r="AA74">
        <v>8.5000000000000006E-2</v>
      </c>
      <c r="AB74">
        <v>8.7400000000000005E-2</v>
      </c>
      <c r="AC74">
        <v>0.09</v>
      </c>
      <c r="AD74">
        <v>9.2499999999999999E-2</v>
      </c>
      <c r="AE74">
        <v>9.5100000000000004E-2</v>
      </c>
      <c r="AF74">
        <v>9.7600000000000006E-2</v>
      </c>
      <c r="AG74">
        <v>9.9500000000000005E-2</v>
      </c>
      <c r="AH74">
        <v>0.1022</v>
      </c>
      <c r="AI74">
        <v>0.10489999999999999</v>
      </c>
      <c r="AJ74">
        <v>0.1075</v>
      </c>
      <c r="AK74">
        <v>2.4224999999999994</v>
      </c>
    </row>
    <row r="75" spans="2:37"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2:37"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2:37">
      <c r="B77" s="29" t="s">
        <v>164</v>
      </c>
      <c r="C77">
        <v>2023.5934</v>
      </c>
      <c r="D77">
        <v>3235.0882999999999</v>
      </c>
      <c r="E77">
        <v>3407.1523000000002</v>
      </c>
      <c r="F77">
        <v>3672.2302</v>
      </c>
      <c r="G77">
        <v>3885.4627</v>
      </c>
      <c r="H77">
        <v>4149.6796999999997</v>
      </c>
      <c r="I77">
        <v>4153.6779999999999</v>
      </c>
      <c r="J77">
        <v>4156.3261000000002</v>
      </c>
      <c r="K77">
        <v>4154.5856999999996</v>
      </c>
      <c r="L77">
        <v>4286.7671</v>
      </c>
      <c r="M77">
        <v>3999.6977000000002</v>
      </c>
      <c r="N77">
        <v>4238.8939</v>
      </c>
      <c r="O77">
        <v>4499.1180000000004</v>
      </c>
      <c r="P77">
        <v>4753.0348000000004</v>
      </c>
      <c r="Q77">
        <v>3162.5614999999998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57777.869400000011</v>
      </c>
    </row>
    <row r="78" spans="2:37">
      <c r="B78" s="29" t="s">
        <v>165</v>
      </c>
      <c r="C78">
        <v>1261.3244999999999</v>
      </c>
      <c r="D78">
        <v>1462.7943</v>
      </c>
      <c r="E78">
        <v>1414.0287000000001</v>
      </c>
      <c r="F78">
        <v>1362.0853999999999</v>
      </c>
      <c r="G78">
        <v>2473.1051000000002</v>
      </c>
      <c r="H78">
        <v>1428.0187000000001</v>
      </c>
      <c r="I78">
        <v>1451.1501000000001</v>
      </c>
      <c r="J78">
        <v>1473.8243</v>
      </c>
      <c r="K78">
        <v>1494.6229000000001</v>
      </c>
      <c r="L78">
        <v>1619.2288000000001</v>
      </c>
      <c r="M78">
        <v>1713.3089</v>
      </c>
      <c r="N78">
        <v>1764.6043999999999</v>
      </c>
      <c r="O78">
        <v>1498.5773999999999</v>
      </c>
      <c r="P78">
        <v>1513.5803000000001</v>
      </c>
      <c r="Q78">
        <v>1552.0385000000001</v>
      </c>
      <c r="R78">
        <v>1663.6478999999999</v>
      </c>
      <c r="S78">
        <v>1714.7561000000001</v>
      </c>
      <c r="T78">
        <v>1766.0740000000001</v>
      </c>
      <c r="U78">
        <v>1821.2826</v>
      </c>
      <c r="V78">
        <v>1956.1922999999999</v>
      </c>
      <c r="W78">
        <v>2173.0369000000001</v>
      </c>
      <c r="X78">
        <v>2331.9787999999999</v>
      </c>
      <c r="Y78">
        <v>2432.9928</v>
      </c>
      <c r="Z78">
        <v>2533.9456</v>
      </c>
      <c r="AA78">
        <v>2637.0704999999998</v>
      </c>
      <c r="AB78">
        <v>2740.8353000000002</v>
      </c>
      <c r="AC78">
        <v>2863.9301999999998</v>
      </c>
      <c r="AD78">
        <v>2989.3955999999998</v>
      </c>
      <c r="AE78">
        <v>3125.9274999999998</v>
      </c>
      <c r="AF78">
        <v>3454.7456999999999</v>
      </c>
      <c r="AG78">
        <v>3862.2492999999999</v>
      </c>
      <c r="AH78">
        <v>4022.9801000000002</v>
      </c>
      <c r="AI78">
        <v>4184.4492</v>
      </c>
      <c r="AJ78">
        <v>4345.2359999999999</v>
      </c>
      <c r="AK78">
        <v>76103.018700000001</v>
      </c>
    </row>
    <row r="79" spans="2:37">
      <c r="B79" s="29" t="s">
        <v>166</v>
      </c>
      <c r="C79">
        <v>3103.7145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3103.7145</v>
      </c>
    </row>
    <row r="80" spans="2:37"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2062.8560000000002</v>
      </c>
      <c r="R80">
        <v>5808.2338</v>
      </c>
      <c r="S80">
        <v>6100.0739000000003</v>
      </c>
      <c r="T80">
        <v>6449.1602000000003</v>
      </c>
      <c r="U80">
        <v>6759.5231999999996</v>
      </c>
      <c r="V80">
        <v>7046.1630999999998</v>
      </c>
      <c r="W80">
        <v>6519.4281000000001</v>
      </c>
      <c r="X80">
        <v>6745.9785000000002</v>
      </c>
      <c r="Y80">
        <v>6998.1333000000004</v>
      </c>
      <c r="Z80">
        <v>7251.7595000000001</v>
      </c>
      <c r="AA80">
        <v>7506.8289000000004</v>
      </c>
      <c r="AB80">
        <v>7770.81</v>
      </c>
      <c r="AC80">
        <v>8029.1962000000003</v>
      </c>
      <c r="AD80">
        <v>8299.5206999999991</v>
      </c>
      <c r="AE80">
        <v>8505.6079000000009</v>
      </c>
      <c r="AF80">
        <v>8780.3675999999996</v>
      </c>
      <c r="AG80">
        <v>8741.0548999999992</v>
      </c>
      <c r="AH80">
        <v>9940.4020999999993</v>
      </c>
      <c r="AI80">
        <v>10203.406000000001</v>
      </c>
      <c r="AJ80">
        <v>10426.111999999999</v>
      </c>
      <c r="AK80">
        <v>149944.61589999998</v>
      </c>
    </row>
    <row r="81" spans="2:37"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2:37">
      <c r="B82" s="29" t="s">
        <v>169</v>
      </c>
      <c r="C82">
        <v>212.06139999999999</v>
      </c>
      <c r="D82">
        <v>2040.1129000000001</v>
      </c>
      <c r="E82">
        <v>2297.8899000000001</v>
      </c>
      <c r="F82">
        <v>1990.7338</v>
      </c>
      <c r="G82">
        <v>531.33299999999997</v>
      </c>
      <c r="H82">
        <v>166.3297</v>
      </c>
      <c r="I82">
        <v>170.18090000000001</v>
      </c>
      <c r="J82">
        <v>174.10429999999999</v>
      </c>
      <c r="K82">
        <v>178.09909999999999</v>
      </c>
      <c r="L82">
        <v>182.16480000000001</v>
      </c>
      <c r="M82">
        <v>182.84979999999999</v>
      </c>
      <c r="N82">
        <v>188.58</v>
      </c>
      <c r="O82">
        <v>194.37649999999999</v>
      </c>
      <c r="P82">
        <v>200.24299999999999</v>
      </c>
      <c r="Q82">
        <v>165.38059999999999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8874.4397000000026</v>
      </c>
    </row>
    <row r="83" spans="2:37"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2:37">
      <c r="B84" s="29" t="s">
        <v>170</v>
      </c>
      <c r="C84">
        <v>4.41E-2</v>
      </c>
      <c r="D84">
        <v>4.53E-2</v>
      </c>
      <c r="E84">
        <v>4.6600000000000003E-2</v>
      </c>
      <c r="F84">
        <v>4.7899999999999998E-2</v>
      </c>
      <c r="G84">
        <v>4.9200000000000001E-2</v>
      </c>
      <c r="H84">
        <v>5.04E-2</v>
      </c>
      <c r="I84">
        <v>5.1999999999999998E-2</v>
      </c>
      <c r="J84">
        <v>5.3499999999999999E-2</v>
      </c>
      <c r="K84">
        <v>5.5E-2</v>
      </c>
      <c r="L84">
        <v>5.6500000000000002E-2</v>
      </c>
      <c r="M84">
        <v>5.57E-2</v>
      </c>
      <c r="N84">
        <v>5.7500000000000002E-2</v>
      </c>
      <c r="O84">
        <v>5.9400000000000001E-2</v>
      </c>
      <c r="P84">
        <v>6.13E-2</v>
      </c>
      <c r="Q84">
        <v>6.3200000000000006E-2</v>
      </c>
      <c r="R84">
        <v>6.5100000000000005E-2</v>
      </c>
      <c r="S84">
        <v>6.7199999999999996E-2</v>
      </c>
      <c r="T84">
        <v>6.93E-2</v>
      </c>
      <c r="U84">
        <v>7.1499999999999994E-2</v>
      </c>
      <c r="V84">
        <v>7.3599999999999999E-2</v>
      </c>
      <c r="W84">
        <v>7.5600000000000001E-2</v>
      </c>
      <c r="X84">
        <v>7.7899999999999997E-2</v>
      </c>
      <c r="Y84">
        <v>8.0299999999999996E-2</v>
      </c>
      <c r="Z84">
        <v>8.2699999999999996E-2</v>
      </c>
      <c r="AA84">
        <v>8.5000000000000006E-2</v>
      </c>
      <c r="AB84">
        <v>8.7400000000000005E-2</v>
      </c>
      <c r="AC84">
        <v>0.09</v>
      </c>
      <c r="AD84">
        <v>9.2499999999999999E-2</v>
      </c>
      <c r="AE84">
        <v>9.5100000000000004E-2</v>
      </c>
      <c r="AF84">
        <v>9.7600000000000006E-2</v>
      </c>
      <c r="AG84">
        <v>9.9500000000000005E-2</v>
      </c>
      <c r="AH84">
        <v>0.1022</v>
      </c>
      <c r="AI84">
        <v>0.10489999999999999</v>
      </c>
      <c r="AJ84">
        <v>0.1075</v>
      </c>
      <c r="AK84">
        <v>2.4224999999999994</v>
      </c>
    </row>
    <row r="85" spans="2:37">
      <c r="B85" s="29" t="s">
        <v>171</v>
      </c>
      <c r="C85">
        <v>4868.8589000000002</v>
      </c>
      <c r="D85">
        <v>361.02879999999999</v>
      </c>
      <c r="E85">
        <v>332.90100000000001</v>
      </c>
      <c r="F85">
        <v>353.17430000000002</v>
      </c>
      <c r="G85">
        <v>333.23950000000002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61.739400000000003</v>
      </c>
      <c r="X85">
        <v>67.84</v>
      </c>
      <c r="Y85">
        <v>74.799300000000002</v>
      </c>
      <c r="Z85">
        <v>83.935599999999994</v>
      </c>
      <c r="AA85">
        <v>83.935599999999994</v>
      </c>
      <c r="AB85">
        <v>83.922300000000007</v>
      </c>
      <c r="AC85">
        <v>83.922300000000007</v>
      </c>
      <c r="AD85">
        <v>83.922300000000007</v>
      </c>
      <c r="AE85">
        <v>83.922300000000007</v>
      </c>
      <c r="AF85">
        <v>78.775000000000006</v>
      </c>
      <c r="AG85">
        <v>71.596999999999994</v>
      </c>
      <c r="AH85">
        <v>71.596999999999994</v>
      </c>
      <c r="AI85">
        <v>68.804699999999997</v>
      </c>
      <c r="AJ85">
        <v>68.593199999999996</v>
      </c>
      <c r="AK85">
        <v>7316.508499999999</v>
      </c>
    </row>
    <row r="86" spans="2:37">
      <c r="B86" s="29" t="s">
        <v>172</v>
      </c>
      <c r="C86">
        <v>7.3999999999999996E-2</v>
      </c>
      <c r="D86">
        <v>0.1179</v>
      </c>
      <c r="E86">
        <v>0.12379999999999999</v>
      </c>
      <c r="F86">
        <v>0.13289999999999999</v>
      </c>
      <c r="G86">
        <v>0.14019999999999999</v>
      </c>
      <c r="H86">
        <v>0.1492</v>
      </c>
      <c r="I86">
        <v>0.14879999999999999</v>
      </c>
      <c r="J86">
        <v>0.1484</v>
      </c>
      <c r="K86">
        <v>0.14779999999999999</v>
      </c>
      <c r="L86">
        <v>0.152</v>
      </c>
      <c r="M86">
        <v>0.1414</v>
      </c>
      <c r="N86">
        <v>0.1479</v>
      </c>
      <c r="O86">
        <v>0.15509999999999999</v>
      </c>
      <c r="P86">
        <v>0.1618</v>
      </c>
      <c r="Q86">
        <v>0.16850000000000001</v>
      </c>
      <c r="R86">
        <v>0.17299999999999999</v>
      </c>
      <c r="S86">
        <v>0.1797</v>
      </c>
      <c r="T86">
        <v>0.18779999999999999</v>
      </c>
      <c r="U86">
        <v>0.19470000000000001</v>
      </c>
      <c r="V86">
        <v>0.20069999999999999</v>
      </c>
      <c r="W86">
        <v>0.1837</v>
      </c>
      <c r="X86">
        <v>0.18970000000000001</v>
      </c>
      <c r="Y86">
        <v>0.19639999999999999</v>
      </c>
      <c r="Z86">
        <v>0.2031</v>
      </c>
      <c r="AA86">
        <v>0.20979999999999999</v>
      </c>
      <c r="AB86">
        <v>0.21679999999999999</v>
      </c>
      <c r="AC86">
        <v>0.2235</v>
      </c>
      <c r="AD86">
        <v>0.2306</v>
      </c>
      <c r="AE86">
        <v>0.23580000000000001</v>
      </c>
      <c r="AF86">
        <v>0.24299999999999999</v>
      </c>
      <c r="AG86">
        <v>0.2414</v>
      </c>
      <c r="AH86">
        <v>0.2475</v>
      </c>
      <c r="AI86">
        <v>0.25409999999999999</v>
      </c>
      <c r="AJ86">
        <v>0.2596</v>
      </c>
      <c r="AK86">
        <v>6.1805999999999992</v>
      </c>
    </row>
    <row r="87" spans="2:37">
      <c r="B87" s="29" t="s">
        <v>173</v>
      </c>
      <c r="C87">
        <v>1.3299999999999999E-2</v>
      </c>
      <c r="D87">
        <v>1.54E-2</v>
      </c>
      <c r="E87">
        <v>1.4800000000000001E-2</v>
      </c>
      <c r="F87">
        <v>1.4200000000000001E-2</v>
      </c>
      <c r="G87">
        <v>2.5600000000000001E-2</v>
      </c>
      <c r="H87">
        <v>1.4800000000000001E-2</v>
      </c>
      <c r="I87">
        <v>1.49E-2</v>
      </c>
      <c r="J87">
        <v>1.5100000000000001E-2</v>
      </c>
      <c r="K87">
        <v>1.5299999999999999E-2</v>
      </c>
      <c r="L87">
        <v>1.6500000000000001E-2</v>
      </c>
      <c r="M87">
        <v>1.7399999999999999E-2</v>
      </c>
      <c r="N87">
        <v>1.78E-2</v>
      </c>
      <c r="O87">
        <v>1.5100000000000001E-2</v>
      </c>
      <c r="P87">
        <v>1.52E-2</v>
      </c>
      <c r="Q87">
        <v>1.55E-2</v>
      </c>
      <c r="R87">
        <v>1.66E-2</v>
      </c>
      <c r="S87">
        <v>1.7000000000000001E-2</v>
      </c>
      <c r="T87">
        <v>1.7500000000000002E-2</v>
      </c>
      <c r="U87">
        <v>1.7999999999999999E-2</v>
      </c>
      <c r="V87">
        <v>1.9199999999999998E-2</v>
      </c>
      <c r="W87">
        <v>2.1299999999999999E-2</v>
      </c>
      <c r="X87">
        <v>2.29E-2</v>
      </c>
      <c r="Y87">
        <v>2.3800000000000002E-2</v>
      </c>
      <c r="Z87">
        <v>2.4799999999999999E-2</v>
      </c>
      <c r="AA87">
        <v>2.58E-2</v>
      </c>
      <c r="AB87">
        <v>2.6800000000000001E-2</v>
      </c>
      <c r="AC87">
        <v>2.8000000000000001E-2</v>
      </c>
      <c r="AD87">
        <v>2.93E-2</v>
      </c>
      <c r="AE87">
        <v>3.0599999999999999E-2</v>
      </c>
      <c r="AF87">
        <v>3.3799999999999997E-2</v>
      </c>
      <c r="AG87">
        <v>3.78E-2</v>
      </c>
      <c r="AH87">
        <v>3.9399999999999998E-2</v>
      </c>
      <c r="AI87">
        <v>4.0899999999999999E-2</v>
      </c>
      <c r="AJ87">
        <v>4.2500000000000003E-2</v>
      </c>
      <c r="AK87">
        <v>0.75689999999999991</v>
      </c>
    </row>
    <row r="88" spans="2:37">
      <c r="B88" s="29" t="s">
        <v>174</v>
      </c>
      <c r="C88">
        <v>2.64E-2</v>
      </c>
      <c r="D88">
        <v>1.46E-2</v>
      </c>
      <c r="E88">
        <v>1.6199999999999999E-2</v>
      </c>
      <c r="F88">
        <v>1.38E-2</v>
      </c>
      <c r="G88">
        <v>3.5999999999999999E-3</v>
      </c>
      <c r="H88">
        <v>1.1000000000000001E-3</v>
      </c>
      <c r="I88">
        <v>1.1000000000000001E-3</v>
      </c>
      <c r="J88">
        <v>1.1000000000000001E-3</v>
      </c>
      <c r="K88">
        <v>1.1000000000000001E-3</v>
      </c>
      <c r="L88">
        <v>1.1999999999999999E-3</v>
      </c>
      <c r="M88">
        <v>1.1000000000000001E-3</v>
      </c>
      <c r="N88">
        <v>1.1999999999999999E-3</v>
      </c>
      <c r="O88">
        <v>1.1999999999999999E-3</v>
      </c>
      <c r="P88">
        <v>1.1999999999999999E-3</v>
      </c>
      <c r="Q88">
        <v>1E-3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8.590000000000006E-2</v>
      </c>
    </row>
    <row r="89" spans="2:37"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2:37">
      <c r="B90" s="29" t="s">
        <v>176</v>
      </c>
      <c r="C90">
        <v>1.1000000000000001E-3</v>
      </c>
      <c r="D90">
        <v>1E-4</v>
      </c>
      <c r="E90">
        <v>1E-4</v>
      </c>
      <c r="F90">
        <v>1E-4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1.4000000000000002E-3</v>
      </c>
    </row>
    <row r="91" spans="2:37"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2:37"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2:37">
      <c r="B93" s="29" t="s">
        <v>179</v>
      </c>
      <c r="C93">
        <v>0</v>
      </c>
      <c r="D93">
        <v>2E-3</v>
      </c>
      <c r="E93">
        <v>2.2000000000000001E-3</v>
      </c>
      <c r="F93">
        <v>2.3999999999999998E-3</v>
      </c>
      <c r="G93">
        <v>1.09E-2</v>
      </c>
      <c r="H93">
        <v>1.11E-2</v>
      </c>
      <c r="I93">
        <v>1.12E-2</v>
      </c>
      <c r="J93">
        <v>1.14E-2</v>
      </c>
      <c r="K93">
        <v>1.15E-2</v>
      </c>
      <c r="L93">
        <v>1.17E-2</v>
      </c>
      <c r="M93">
        <v>1.18E-2</v>
      </c>
      <c r="N93">
        <v>1.1900000000000001E-2</v>
      </c>
      <c r="O93">
        <v>1.21E-2</v>
      </c>
      <c r="P93">
        <v>1.2200000000000001E-2</v>
      </c>
      <c r="Q93">
        <v>1.26E-2</v>
      </c>
      <c r="R93">
        <v>1.35E-2</v>
      </c>
      <c r="S93">
        <v>1.4E-2</v>
      </c>
      <c r="T93">
        <v>1.44E-2</v>
      </c>
      <c r="U93">
        <v>1.49E-2</v>
      </c>
      <c r="V93">
        <v>1.5299999999999999E-2</v>
      </c>
      <c r="W93">
        <v>1.5800000000000002E-2</v>
      </c>
      <c r="X93">
        <v>1.6500000000000001E-2</v>
      </c>
      <c r="Y93">
        <v>1.72E-2</v>
      </c>
      <c r="Z93">
        <v>1.7999999999999999E-2</v>
      </c>
      <c r="AA93">
        <v>1.8700000000000001E-2</v>
      </c>
      <c r="AB93">
        <v>1.9400000000000001E-2</v>
      </c>
      <c r="AC93">
        <v>2.0400000000000001E-2</v>
      </c>
      <c r="AD93">
        <v>2.1299999999999999E-2</v>
      </c>
      <c r="AE93">
        <v>2.2200000000000001E-2</v>
      </c>
      <c r="AF93">
        <v>2.3099999999999999E-2</v>
      </c>
      <c r="AG93">
        <v>2.4E-2</v>
      </c>
      <c r="AH93">
        <v>2.5100000000000001E-2</v>
      </c>
      <c r="AI93">
        <v>2.6200000000000001E-2</v>
      </c>
      <c r="AJ93">
        <v>2.7400000000000001E-2</v>
      </c>
      <c r="AK93">
        <v>0.50240000000000007</v>
      </c>
    </row>
    <row r="94" spans="2:37">
      <c r="B94" s="29" t="s">
        <v>180</v>
      </c>
      <c r="C94">
        <v>8.6E-3</v>
      </c>
      <c r="D94">
        <v>9.1999999999999998E-3</v>
      </c>
      <c r="E94">
        <v>9.1999999999999998E-3</v>
      </c>
      <c r="F94">
        <v>9.1999999999999998E-3</v>
      </c>
      <c r="G94">
        <v>8.9999999999999998E-4</v>
      </c>
      <c r="H94">
        <v>8.9999999999999998E-4</v>
      </c>
      <c r="I94">
        <v>8.9999999999999998E-4</v>
      </c>
      <c r="J94">
        <v>8.9999999999999998E-4</v>
      </c>
      <c r="K94">
        <v>8.9999999999999998E-4</v>
      </c>
      <c r="L94">
        <v>1E-3</v>
      </c>
      <c r="M94">
        <v>1E-3</v>
      </c>
      <c r="N94">
        <v>1E-3</v>
      </c>
      <c r="O94">
        <v>1E-3</v>
      </c>
      <c r="P94">
        <v>1E-3</v>
      </c>
      <c r="Q94">
        <v>8.0000000000000004E-4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4.6499999999999993E-2</v>
      </c>
    </row>
    <row r="95" spans="2:37">
      <c r="B95" s="29" t="s">
        <v>181</v>
      </c>
      <c r="C95">
        <v>1.5E-3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1.5E-3</v>
      </c>
    </row>
    <row r="96" spans="2:37">
      <c r="B96" s="29" t="s">
        <v>182</v>
      </c>
      <c r="C96">
        <v>6.0000000000000001E-3</v>
      </c>
      <c r="D96">
        <v>6.4000000000000003E-3</v>
      </c>
      <c r="E96">
        <v>6.8999999999999999E-3</v>
      </c>
      <c r="F96">
        <v>7.4000000000000003E-3</v>
      </c>
      <c r="G96">
        <v>7.9000000000000008E-3</v>
      </c>
      <c r="H96">
        <v>8.3999999999999995E-3</v>
      </c>
      <c r="I96">
        <v>8.9999999999999993E-3</v>
      </c>
      <c r="J96">
        <v>9.5999999999999992E-3</v>
      </c>
      <c r="K96">
        <v>1.0200000000000001E-2</v>
      </c>
      <c r="L96">
        <v>1.0800000000000001E-2</v>
      </c>
      <c r="M96">
        <v>1.14E-2</v>
      </c>
      <c r="N96">
        <v>1.2200000000000001E-2</v>
      </c>
      <c r="O96">
        <v>1.2999999999999999E-2</v>
      </c>
      <c r="P96">
        <v>1.37E-2</v>
      </c>
      <c r="Q96">
        <v>1.4500000000000001E-2</v>
      </c>
      <c r="R96">
        <v>1.5299999999999999E-2</v>
      </c>
      <c r="S96">
        <v>1.6199999999999999E-2</v>
      </c>
      <c r="T96">
        <v>1.72E-2</v>
      </c>
      <c r="U96">
        <v>1.8200000000000001E-2</v>
      </c>
      <c r="V96">
        <v>1.9199999999999998E-2</v>
      </c>
      <c r="W96">
        <v>2.0199999999999999E-2</v>
      </c>
      <c r="X96">
        <v>2.1299999999999999E-2</v>
      </c>
      <c r="Y96">
        <v>2.2499999999999999E-2</v>
      </c>
      <c r="Z96">
        <v>2.3699999999999999E-2</v>
      </c>
      <c r="AA96">
        <v>2.4899999999999999E-2</v>
      </c>
      <c r="AB96">
        <v>2.6100000000000002E-2</v>
      </c>
      <c r="AC96">
        <v>2.7400000000000001E-2</v>
      </c>
      <c r="AD96">
        <v>2.87E-2</v>
      </c>
      <c r="AE96">
        <v>0.03</v>
      </c>
      <c r="AF96">
        <v>3.1300000000000001E-2</v>
      </c>
      <c r="AG96">
        <v>3.2599999999999997E-2</v>
      </c>
      <c r="AH96">
        <v>3.4000000000000002E-2</v>
      </c>
      <c r="AI96">
        <v>3.5299999999999998E-2</v>
      </c>
      <c r="AJ96">
        <v>3.6600000000000001E-2</v>
      </c>
      <c r="AK96">
        <v>0.62809999999999988</v>
      </c>
    </row>
    <row r="97" spans="2:37">
      <c r="B97" s="29" t="s">
        <v>183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2:37">
      <c r="B98" s="29" t="s">
        <v>184</v>
      </c>
      <c r="C98">
        <v>2.58E-2</v>
      </c>
      <c r="D98">
        <v>2.6200000000000001E-2</v>
      </c>
      <c r="E98">
        <v>2.6499999999999999E-2</v>
      </c>
      <c r="F98">
        <v>2.69E-2</v>
      </c>
      <c r="G98">
        <v>2.7300000000000001E-2</v>
      </c>
      <c r="H98">
        <v>2.7699999999999999E-2</v>
      </c>
      <c r="I98">
        <v>2.8000000000000001E-2</v>
      </c>
      <c r="J98">
        <v>2.8400000000000002E-2</v>
      </c>
      <c r="K98">
        <v>2.87E-2</v>
      </c>
      <c r="L98">
        <v>2.9100000000000001E-2</v>
      </c>
      <c r="M98">
        <v>2.9399999999999999E-2</v>
      </c>
      <c r="N98">
        <v>2.98E-2</v>
      </c>
      <c r="O98">
        <v>3.0099999999999998E-2</v>
      </c>
      <c r="P98">
        <v>3.04E-2</v>
      </c>
      <c r="Q98">
        <v>3.0700000000000002E-2</v>
      </c>
      <c r="R98">
        <v>3.1099999999999999E-2</v>
      </c>
      <c r="S98">
        <v>3.1399999999999997E-2</v>
      </c>
      <c r="T98">
        <v>3.1699999999999999E-2</v>
      </c>
      <c r="U98">
        <v>3.2000000000000001E-2</v>
      </c>
      <c r="V98">
        <v>3.2300000000000002E-2</v>
      </c>
      <c r="W98">
        <v>3.2599999999999997E-2</v>
      </c>
      <c r="X98">
        <v>3.2800000000000003E-2</v>
      </c>
      <c r="Y98">
        <v>3.3099999999999997E-2</v>
      </c>
      <c r="Z98">
        <v>3.3300000000000003E-2</v>
      </c>
      <c r="AA98">
        <v>3.3599999999999998E-2</v>
      </c>
      <c r="AB98">
        <v>3.39E-2</v>
      </c>
      <c r="AC98">
        <v>3.4099999999999998E-2</v>
      </c>
      <c r="AD98">
        <v>3.4299999999999997E-2</v>
      </c>
      <c r="AE98">
        <v>3.4599999999999999E-2</v>
      </c>
      <c r="AF98">
        <v>3.4799999999999998E-2</v>
      </c>
      <c r="AG98">
        <v>3.5000000000000003E-2</v>
      </c>
      <c r="AH98">
        <v>3.5200000000000002E-2</v>
      </c>
      <c r="AI98">
        <v>3.5400000000000001E-2</v>
      </c>
      <c r="AJ98">
        <v>3.56E-2</v>
      </c>
      <c r="AK98">
        <v>1.0618000000000003</v>
      </c>
    </row>
    <row r="99" spans="2:37"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2:37">
      <c r="B100" s="29" t="s">
        <v>186</v>
      </c>
      <c r="C100">
        <v>1E-4</v>
      </c>
      <c r="D100">
        <v>1E-4</v>
      </c>
      <c r="E100">
        <v>1E-4</v>
      </c>
      <c r="F100">
        <v>1E-4</v>
      </c>
      <c r="G100">
        <v>1E-4</v>
      </c>
      <c r="H100">
        <v>1E-4</v>
      </c>
      <c r="I100">
        <v>1E-4</v>
      </c>
      <c r="J100">
        <v>1E-4</v>
      </c>
      <c r="K100">
        <v>1E-4</v>
      </c>
      <c r="L100">
        <v>1E-4</v>
      </c>
      <c r="M100">
        <v>1E-4</v>
      </c>
      <c r="N100">
        <v>1E-4</v>
      </c>
      <c r="O100">
        <v>1E-4</v>
      </c>
      <c r="P100">
        <v>1E-4</v>
      </c>
      <c r="Q100">
        <v>1E-4</v>
      </c>
      <c r="R100">
        <v>1E-4</v>
      </c>
      <c r="S100">
        <v>2.0000000000000001E-4</v>
      </c>
      <c r="T100">
        <v>2.0000000000000001E-4</v>
      </c>
      <c r="U100">
        <v>2.0000000000000001E-4</v>
      </c>
      <c r="V100">
        <v>2.0000000000000001E-4</v>
      </c>
      <c r="W100">
        <v>2.0000000000000001E-4</v>
      </c>
      <c r="X100">
        <v>2.0000000000000001E-4</v>
      </c>
      <c r="Y100">
        <v>2.0000000000000001E-4</v>
      </c>
      <c r="Z100">
        <v>2.0000000000000001E-4</v>
      </c>
      <c r="AA100">
        <v>2.0000000000000001E-4</v>
      </c>
      <c r="AB100">
        <v>2.9999999999999997E-4</v>
      </c>
      <c r="AC100">
        <v>2.9999999999999997E-4</v>
      </c>
      <c r="AD100">
        <v>2.9999999999999997E-4</v>
      </c>
      <c r="AE100">
        <v>2.9999999999999997E-4</v>
      </c>
      <c r="AF100">
        <v>2.9999999999999997E-4</v>
      </c>
      <c r="AG100">
        <v>2.9999999999999997E-4</v>
      </c>
      <c r="AH100">
        <v>4.0000000000000002E-4</v>
      </c>
      <c r="AI100">
        <v>4.0000000000000002E-4</v>
      </c>
      <c r="AJ100">
        <v>4.0000000000000002E-4</v>
      </c>
      <c r="AK100">
        <v>6.4000000000000012E-3</v>
      </c>
    </row>
    <row r="101" spans="2:37"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2:37"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2:37">
      <c r="B103" s="29" t="s">
        <v>189</v>
      </c>
      <c r="C103">
        <v>4.0000000000000002E-4</v>
      </c>
      <c r="D103">
        <v>4.0000000000000002E-4</v>
      </c>
      <c r="E103">
        <v>4.0000000000000002E-4</v>
      </c>
      <c r="F103">
        <v>4.0000000000000002E-4</v>
      </c>
      <c r="G103">
        <v>4.0000000000000002E-4</v>
      </c>
      <c r="H103">
        <v>4.0000000000000002E-4</v>
      </c>
      <c r="I103">
        <v>4.0000000000000002E-4</v>
      </c>
      <c r="J103">
        <v>4.0000000000000002E-4</v>
      </c>
      <c r="K103">
        <v>4.0000000000000002E-4</v>
      </c>
      <c r="L103">
        <v>4.0000000000000002E-4</v>
      </c>
      <c r="M103">
        <v>4.0000000000000002E-4</v>
      </c>
      <c r="N103">
        <v>4.0000000000000002E-4</v>
      </c>
      <c r="O103">
        <v>4.0000000000000002E-4</v>
      </c>
      <c r="P103">
        <v>4.0000000000000002E-4</v>
      </c>
      <c r="Q103">
        <v>5.0000000000000001E-4</v>
      </c>
      <c r="R103">
        <v>5.0000000000000001E-4</v>
      </c>
      <c r="S103">
        <v>5.0000000000000001E-4</v>
      </c>
      <c r="T103">
        <v>5.0000000000000001E-4</v>
      </c>
      <c r="U103">
        <v>5.0000000000000001E-4</v>
      </c>
      <c r="V103">
        <v>5.0000000000000001E-4</v>
      </c>
      <c r="W103">
        <v>5.0000000000000001E-4</v>
      </c>
      <c r="X103">
        <v>5.0000000000000001E-4</v>
      </c>
      <c r="Y103">
        <v>5.0000000000000001E-4</v>
      </c>
      <c r="Z103">
        <v>5.0000000000000001E-4</v>
      </c>
      <c r="AA103">
        <v>5.0000000000000001E-4</v>
      </c>
      <c r="AB103">
        <v>5.0000000000000001E-4</v>
      </c>
      <c r="AC103">
        <v>5.0000000000000001E-4</v>
      </c>
      <c r="AD103">
        <v>5.0000000000000001E-4</v>
      </c>
      <c r="AE103">
        <v>5.0000000000000001E-4</v>
      </c>
      <c r="AF103">
        <v>5.0000000000000001E-4</v>
      </c>
      <c r="AG103">
        <v>5.0000000000000001E-4</v>
      </c>
      <c r="AH103">
        <v>5.0000000000000001E-4</v>
      </c>
      <c r="AI103">
        <v>5.0000000000000001E-4</v>
      </c>
      <c r="AJ103">
        <v>5.0000000000000001E-4</v>
      </c>
      <c r="AK103">
        <v>1.560000000000001E-2</v>
      </c>
    </row>
    <row r="104" spans="2:37"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2:37"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2:37"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2:37"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2:37">
      <c r="B108" s="29" t="s">
        <v>194</v>
      </c>
      <c r="C108">
        <v>5.1999999999999998E-3</v>
      </c>
      <c r="D108">
        <v>5.4999999999999997E-3</v>
      </c>
      <c r="E108">
        <v>5.7000000000000002E-3</v>
      </c>
      <c r="F108">
        <v>6.0000000000000001E-3</v>
      </c>
      <c r="G108">
        <v>6.1999999999999998E-3</v>
      </c>
      <c r="H108">
        <v>6.4999999999999997E-3</v>
      </c>
      <c r="I108">
        <v>6.7999999999999996E-3</v>
      </c>
      <c r="J108">
        <v>7.0000000000000001E-3</v>
      </c>
      <c r="K108">
        <v>7.3000000000000001E-3</v>
      </c>
      <c r="L108">
        <v>7.6E-3</v>
      </c>
      <c r="M108">
        <v>7.7999999999999996E-3</v>
      </c>
      <c r="N108">
        <v>8.0999999999999996E-3</v>
      </c>
      <c r="O108">
        <v>8.3000000000000001E-3</v>
      </c>
      <c r="P108">
        <v>8.6E-3</v>
      </c>
      <c r="Q108">
        <v>8.8999999999999999E-3</v>
      </c>
      <c r="R108">
        <v>9.1000000000000004E-3</v>
      </c>
      <c r="S108">
        <v>9.4000000000000004E-3</v>
      </c>
      <c r="T108">
        <v>9.7000000000000003E-3</v>
      </c>
      <c r="U108">
        <v>9.9000000000000008E-3</v>
      </c>
      <c r="V108">
        <v>1.0200000000000001E-2</v>
      </c>
      <c r="W108">
        <v>1.04E-2</v>
      </c>
      <c r="X108">
        <v>1.0699999999999999E-2</v>
      </c>
      <c r="Y108">
        <v>1.09E-2</v>
      </c>
      <c r="Z108">
        <v>1.11E-2</v>
      </c>
      <c r="AA108">
        <v>1.1299999999999999E-2</v>
      </c>
      <c r="AB108">
        <v>1.1599999999999999E-2</v>
      </c>
      <c r="AC108">
        <v>1.18E-2</v>
      </c>
      <c r="AD108">
        <v>1.1900000000000001E-2</v>
      </c>
      <c r="AE108">
        <v>1.21E-2</v>
      </c>
      <c r="AF108">
        <v>1.23E-2</v>
      </c>
      <c r="AG108">
        <v>1.2500000000000001E-2</v>
      </c>
      <c r="AH108">
        <v>1.2699999999999999E-2</v>
      </c>
      <c r="AI108">
        <v>1.2800000000000001E-2</v>
      </c>
      <c r="AJ108">
        <v>1.29E-2</v>
      </c>
      <c r="AK108">
        <v>0.31879999999999992</v>
      </c>
    </row>
    <row r="109" spans="2:37"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2:37"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2:37">
      <c r="B111" s="29" t="s">
        <v>197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2:37"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2:37">
      <c r="B113" s="29" t="s">
        <v>199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2:37">
      <c r="B114" s="29" t="s">
        <v>200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2:37"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2:37">
      <c r="B116" s="29" t="s">
        <v>202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2:37"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2:37">
      <c r="B118" s="29" t="s">
        <v>204</v>
      </c>
      <c r="C118">
        <v>3.9399999999999998E-2</v>
      </c>
      <c r="D118">
        <v>4.2500000000000003E-2</v>
      </c>
      <c r="E118">
        <v>4.5499999999999999E-2</v>
      </c>
      <c r="F118">
        <v>4.8599999999999997E-2</v>
      </c>
      <c r="G118">
        <v>5.16E-2</v>
      </c>
      <c r="H118">
        <v>5.4699999999999999E-2</v>
      </c>
      <c r="I118">
        <v>5.8200000000000002E-2</v>
      </c>
      <c r="J118">
        <v>6.1699999999999998E-2</v>
      </c>
      <c r="K118">
        <v>6.5199999999999994E-2</v>
      </c>
      <c r="L118">
        <v>6.8699999999999997E-2</v>
      </c>
      <c r="M118">
        <v>7.22E-2</v>
      </c>
      <c r="N118">
        <v>7.5899999999999995E-2</v>
      </c>
      <c r="O118">
        <v>7.9699999999999993E-2</v>
      </c>
      <c r="P118">
        <v>8.3400000000000002E-2</v>
      </c>
      <c r="Q118">
        <v>8.72E-2</v>
      </c>
      <c r="R118">
        <v>9.0899999999999995E-2</v>
      </c>
      <c r="S118">
        <v>9.5000000000000001E-2</v>
      </c>
      <c r="T118">
        <v>9.9099999999999994E-2</v>
      </c>
      <c r="U118">
        <v>0.1032</v>
      </c>
      <c r="V118">
        <v>0.10730000000000001</v>
      </c>
      <c r="W118">
        <v>0.1114</v>
      </c>
      <c r="X118">
        <v>0.1158</v>
      </c>
      <c r="Y118">
        <v>0.1203</v>
      </c>
      <c r="Z118">
        <v>0.12470000000000001</v>
      </c>
      <c r="AA118">
        <v>0.12909999999999999</v>
      </c>
      <c r="AB118">
        <v>0.13350000000000001</v>
      </c>
      <c r="AC118">
        <v>0.13819999999999999</v>
      </c>
      <c r="AD118">
        <v>0.1429</v>
      </c>
      <c r="AE118">
        <v>0.14760000000000001</v>
      </c>
      <c r="AF118">
        <v>0.15229999999999999</v>
      </c>
      <c r="AG118">
        <v>0.15709999999999999</v>
      </c>
      <c r="AH118">
        <v>0.16200000000000001</v>
      </c>
      <c r="AI118">
        <v>0.16689999999999999</v>
      </c>
      <c r="AJ118">
        <v>0.17180000000000001</v>
      </c>
      <c r="AK118">
        <v>3.4036</v>
      </c>
    </row>
    <row r="119" spans="2:37"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2:37"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2:37">
      <c r="B121" s="29" t="s">
        <v>207</v>
      </c>
      <c r="C121">
        <v>8.0000000000000004E-4</v>
      </c>
      <c r="D121">
        <v>8.0000000000000004E-4</v>
      </c>
      <c r="E121">
        <v>8.0000000000000004E-4</v>
      </c>
      <c r="F121">
        <v>8.9999999999999998E-4</v>
      </c>
      <c r="G121">
        <v>8.9999999999999998E-4</v>
      </c>
      <c r="H121">
        <v>1E-3</v>
      </c>
      <c r="I121">
        <v>1E-3</v>
      </c>
      <c r="J121">
        <v>1.1000000000000001E-3</v>
      </c>
      <c r="K121">
        <v>1.1000000000000001E-3</v>
      </c>
      <c r="L121">
        <v>1.1999999999999999E-3</v>
      </c>
      <c r="M121">
        <v>1.2999999999999999E-3</v>
      </c>
      <c r="N121">
        <v>1.2999999999999999E-3</v>
      </c>
      <c r="O121">
        <v>1.4E-3</v>
      </c>
      <c r="P121">
        <v>1.4E-3</v>
      </c>
      <c r="Q121">
        <v>1.5E-3</v>
      </c>
      <c r="R121">
        <v>1.6000000000000001E-3</v>
      </c>
      <c r="S121">
        <v>1.6999999999999999E-3</v>
      </c>
      <c r="T121">
        <v>1.6999999999999999E-3</v>
      </c>
      <c r="U121">
        <v>1.8E-3</v>
      </c>
      <c r="V121">
        <v>1.9E-3</v>
      </c>
      <c r="W121">
        <v>2E-3</v>
      </c>
      <c r="X121">
        <v>2.0999999999999999E-3</v>
      </c>
      <c r="Y121">
        <v>2.2000000000000001E-3</v>
      </c>
      <c r="Z121">
        <v>2.3E-3</v>
      </c>
      <c r="AA121">
        <v>2.3E-3</v>
      </c>
      <c r="AB121">
        <v>2.3999999999999998E-3</v>
      </c>
      <c r="AC121">
        <v>2.5000000000000001E-3</v>
      </c>
      <c r="AD121">
        <v>2.5999999999999999E-3</v>
      </c>
      <c r="AE121">
        <v>2.7000000000000001E-3</v>
      </c>
      <c r="AF121">
        <v>2.8E-3</v>
      </c>
      <c r="AG121">
        <v>2.8999999999999998E-3</v>
      </c>
      <c r="AH121">
        <v>3.0999999999999999E-3</v>
      </c>
      <c r="AI121">
        <v>3.2000000000000002E-3</v>
      </c>
      <c r="AJ121">
        <v>3.3E-3</v>
      </c>
      <c r="AK121">
        <v>6.1599999999999988E-2</v>
      </c>
    </row>
    <row r="122" spans="2:37"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2:37"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2:37"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2:37"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2:37">
      <c r="B126" s="29" t="s">
        <v>212</v>
      </c>
      <c r="C126">
        <v>2.2000000000000001E-3</v>
      </c>
      <c r="D126">
        <v>2.3999999999999998E-3</v>
      </c>
      <c r="E126">
        <v>2.5000000000000001E-3</v>
      </c>
      <c r="F126">
        <v>2.5999999999999999E-3</v>
      </c>
      <c r="G126">
        <v>2.8E-3</v>
      </c>
      <c r="H126">
        <v>2.8999999999999998E-3</v>
      </c>
      <c r="I126">
        <v>3.0000000000000001E-3</v>
      </c>
      <c r="J126">
        <v>3.2000000000000002E-3</v>
      </c>
      <c r="K126">
        <v>3.3999999999999998E-3</v>
      </c>
      <c r="L126">
        <v>3.5000000000000001E-3</v>
      </c>
      <c r="M126">
        <v>3.7000000000000002E-3</v>
      </c>
      <c r="N126">
        <v>3.8999999999999998E-3</v>
      </c>
      <c r="O126">
        <v>4.1000000000000003E-3</v>
      </c>
      <c r="P126">
        <v>4.3E-3</v>
      </c>
      <c r="Q126">
        <v>4.4999999999999997E-3</v>
      </c>
      <c r="R126">
        <v>4.7000000000000002E-3</v>
      </c>
      <c r="S126">
        <v>4.8999999999999998E-3</v>
      </c>
      <c r="T126">
        <v>5.1000000000000004E-3</v>
      </c>
      <c r="U126">
        <v>5.4000000000000003E-3</v>
      </c>
      <c r="V126">
        <v>5.5999999999999999E-3</v>
      </c>
      <c r="W126">
        <v>5.7999999999999996E-3</v>
      </c>
      <c r="X126">
        <v>6.1000000000000004E-3</v>
      </c>
      <c r="Y126">
        <v>6.4000000000000003E-3</v>
      </c>
      <c r="Z126">
        <v>6.6E-3</v>
      </c>
      <c r="AA126">
        <v>6.8999999999999999E-3</v>
      </c>
      <c r="AB126">
        <v>7.1999999999999998E-3</v>
      </c>
      <c r="AC126">
        <v>7.4999999999999997E-3</v>
      </c>
      <c r="AD126">
        <v>7.7999999999999996E-3</v>
      </c>
      <c r="AE126">
        <v>8.0999999999999996E-3</v>
      </c>
      <c r="AF126">
        <v>8.3999999999999995E-3</v>
      </c>
      <c r="AG126">
        <v>8.6999999999999994E-3</v>
      </c>
      <c r="AH126">
        <v>8.9999999999999993E-3</v>
      </c>
      <c r="AI126">
        <v>9.2999999999999992E-3</v>
      </c>
      <c r="AJ126">
        <v>9.5999999999999992E-3</v>
      </c>
      <c r="AK126">
        <v>0.18210000000000001</v>
      </c>
    </row>
    <row r="127" spans="2:37"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2:37"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2:37"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2:37"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2:37">
      <c r="B131" s="29" t="s">
        <v>217</v>
      </c>
      <c r="C131">
        <v>6.9999999999999999E-4</v>
      </c>
      <c r="D131">
        <v>8.0000000000000004E-4</v>
      </c>
      <c r="E131">
        <v>8.0000000000000004E-4</v>
      </c>
      <c r="F131">
        <v>8.9999999999999998E-4</v>
      </c>
      <c r="G131">
        <v>8.9999999999999998E-4</v>
      </c>
      <c r="H131">
        <v>1E-3</v>
      </c>
      <c r="I131">
        <v>1E-3</v>
      </c>
      <c r="J131">
        <v>1.1000000000000001E-3</v>
      </c>
      <c r="K131">
        <v>1.1000000000000001E-3</v>
      </c>
      <c r="L131">
        <v>1.1999999999999999E-3</v>
      </c>
      <c r="M131">
        <v>1.1999999999999999E-3</v>
      </c>
      <c r="N131">
        <v>1.2999999999999999E-3</v>
      </c>
      <c r="O131">
        <v>1.4E-3</v>
      </c>
      <c r="P131">
        <v>1.4E-3</v>
      </c>
      <c r="Q131">
        <v>1.5E-3</v>
      </c>
      <c r="R131">
        <v>1.6000000000000001E-3</v>
      </c>
      <c r="S131">
        <v>1.6000000000000001E-3</v>
      </c>
      <c r="T131">
        <v>1.6999999999999999E-3</v>
      </c>
      <c r="U131">
        <v>1.8E-3</v>
      </c>
      <c r="V131">
        <v>1.9E-3</v>
      </c>
      <c r="W131">
        <v>1.9E-3</v>
      </c>
      <c r="X131">
        <v>2E-3</v>
      </c>
      <c r="Y131">
        <v>2.0999999999999999E-3</v>
      </c>
      <c r="Z131">
        <v>2.2000000000000001E-3</v>
      </c>
      <c r="AA131">
        <v>2.3E-3</v>
      </c>
      <c r="AB131">
        <v>2.3999999999999998E-3</v>
      </c>
      <c r="AC131">
        <v>2.5000000000000001E-3</v>
      </c>
      <c r="AD131">
        <v>2.5999999999999999E-3</v>
      </c>
      <c r="AE131">
        <v>2.7000000000000001E-3</v>
      </c>
      <c r="AF131">
        <v>2.8E-3</v>
      </c>
      <c r="AG131">
        <v>2.8999999999999998E-3</v>
      </c>
      <c r="AH131">
        <v>3.0000000000000001E-3</v>
      </c>
      <c r="AI131">
        <v>3.0999999999999999E-3</v>
      </c>
      <c r="AJ131">
        <v>3.2000000000000002E-3</v>
      </c>
      <c r="AK131">
        <v>6.0600000000000001E-2</v>
      </c>
    </row>
    <row r="132" spans="2:37"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2:37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2:37">
      <c r="B134" s="29" t="s">
        <v>228</v>
      </c>
    </row>
  </sheetData>
  <autoFilter ref="A1:AG132" xr:uid="{00000000-0001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64"/>
  <sheetViews>
    <sheetView topLeftCell="A111" zoomScale="75" workbookViewId="0">
      <selection activeCell="B2" sqref="B2:AK133"/>
    </sheetView>
  </sheetViews>
  <sheetFormatPr defaultColWidth="8.77734375" defaultRowHeight="14.4"/>
  <cols>
    <col min="2" max="2" width="31.109375" customWidth="1"/>
  </cols>
  <sheetData>
    <row r="1" spans="1:37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7">
      <c r="A2" t="s">
        <v>19</v>
      </c>
      <c r="B2" s="29" t="s">
        <v>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19</v>
      </c>
      <c r="B3" s="29" t="s">
        <v>90</v>
      </c>
      <c r="C3">
        <v>0.1835</v>
      </c>
      <c r="D3">
        <v>0.1825</v>
      </c>
      <c r="E3">
        <v>0.182</v>
      </c>
      <c r="F3">
        <v>0.18099999999999999</v>
      </c>
      <c r="G3">
        <v>0.18049999999999999</v>
      </c>
      <c r="H3">
        <v>0.1799</v>
      </c>
      <c r="I3">
        <v>0.1789</v>
      </c>
      <c r="J3">
        <v>0.1784</v>
      </c>
      <c r="K3">
        <v>0.1774</v>
      </c>
      <c r="L3">
        <v>0.1769</v>
      </c>
      <c r="M3">
        <v>0.1759</v>
      </c>
      <c r="N3">
        <v>0.17530000000000001</v>
      </c>
      <c r="O3">
        <v>0.17480000000000001</v>
      </c>
      <c r="P3">
        <v>0.17380000000000001</v>
      </c>
      <c r="Q3">
        <v>0.17330000000000001</v>
      </c>
      <c r="R3">
        <v>0.17230000000000001</v>
      </c>
      <c r="S3">
        <v>0.1719</v>
      </c>
      <c r="T3">
        <v>0.1714</v>
      </c>
      <c r="U3">
        <v>0.17050000000000001</v>
      </c>
      <c r="V3">
        <v>0.1701</v>
      </c>
      <c r="W3">
        <v>0.16880000000000001</v>
      </c>
      <c r="X3">
        <v>0.16819999999999999</v>
      </c>
      <c r="Y3">
        <v>0.1673</v>
      </c>
      <c r="Z3">
        <v>0.16689999999999999</v>
      </c>
      <c r="AA3">
        <v>0.16650000000000001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4.3680000000000012</v>
      </c>
    </row>
    <row r="4" spans="1:37">
      <c r="A4" t="s">
        <v>19</v>
      </c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t="s">
        <v>19</v>
      </c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19</v>
      </c>
      <c r="B6" s="29" t="s">
        <v>93</v>
      </c>
      <c r="C6">
        <v>2.4405000000000001</v>
      </c>
      <c r="D6">
        <v>2.5552999999999999</v>
      </c>
      <c r="E6">
        <v>2.6389</v>
      </c>
      <c r="F6">
        <v>2.7214</v>
      </c>
      <c r="G6">
        <v>2.8028</v>
      </c>
      <c r="H6">
        <v>2.8833000000000002</v>
      </c>
      <c r="I6">
        <v>2.9681999999999999</v>
      </c>
      <c r="J6">
        <v>3.0524</v>
      </c>
      <c r="K6">
        <v>3.1358000000000001</v>
      </c>
      <c r="L6">
        <v>3.2185000000000001</v>
      </c>
      <c r="M6">
        <v>3.3959999999999999</v>
      </c>
      <c r="N6">
        <v>3.4796999999999998</v>
      </c>
      <c r="O6">
        <v>3.5634000000000001</v>
      </c>
      <c r="P6">
        <v>3.6471</v>
      </c>
      <c r="Q6">
        <v>3.7307999999999999</v>
      </c>
      <c r="R6">
        <v>3.8144999999999998</v>
      </c>
      <c r="S6">
        <v>3.9140000000000001</v>
      </c>
      <c r="T6">
        <v>4.0134999999999996</v>
      </c>
      <c r="U6">
        <v>4.1128999999999998</v>
      </c>
      <c r="V6">
        <v>4.2123999999999997</v>
      </c>
      <c r="W6">
        <v>4.2798999999999996</v>
      </c>
      <c r="X6">
        <v>4.2759</v>
      </c>
      <c r="Y6">
        <v>4.2718999999999996</v>
      </c>
      <c r="Z6">
        <v>4.2676999999999996</v>
      </c>
      <c r="AA6">
        <v>4.2676999999999996</v>
      </c>
      <c r="AB6">
        <v>3.0436999999999999</v>
      </c>
      <c r="AC6">
        <v>2.9388999999999998</v>
      </c>
      <c r="AD6">
        <v>2.8668999999999998</v>
      </c>
      <c r="AE6">
        <v>2.7948</v>
      </c>
      <c r="AF6">
        <v>2.7227999999999999</v>
      </c>
      <c r="AG6">
        <v>5.8517999999999999</v>
      </c>
      <c r="AH6">
        <v>5.9962999999999997</v>
      </c>
      <c r="AI6">
        <v>6.1409000000000002</v>
      </c>
      <c r="AJ6">
        <v>6.2854000000000001</v>
      </c>
      <c r="AK6">
        <v>126.30600000000003</v>
      </c>
    </row>
    <row r="7" spans="1:37">
      <c r="A7" t="s">
        <v>19</v>
      </c>
      <c r="B7" s="29" t="s">
        <v>94</v>
      </c>
      <c r="C7">
        <v>0.45119999999999999</v>
      </c>
      <c r="D7">
        <v>0.45479999999999998</v>
      </c>
      <c r="E7">
        <v>0.45800000000000002</v>
      </c>
      <c r="F7">
        <v>0.46079999999999999</v>
      </c>
      <c r="G7">
        <v>0.46329999999999999</v>
      </c>
      <c r="H7">
        <v>0.46539999999999998</v>
      </c>
      <c r="I7">
        <v>0.46729999999999999</v>
      </c>
      <c r="J7">
        <v>0.46879999999999999</v>
      </c>
      <c r="K7">
        <v>0.47020000000000001</v>
      </c>
      <c r="L7">
        <v>0.47139999999999999</v>
      </c>
      <c r="M7">
        <v>0.48699999999999999</v>
      </c>
      <c r="N7">
        <v>0.48630000000000001</v>
      </c>
      <c r="O7">
        <v>0.48559999999999998</v>
      </c>
      <c r="P7">
        <v>0.4849</v>
      </c>
      <c r="Q7">
        <v>0.48420000000000002</v>
      </c>
      <c r="R7">
        <v>0.48349999999999999</v>
      </c>
      <c r="S7">
        <v>0.48280000000000001</v>
      </c>
      <c r="T7">
        <v>0.48220000000000002</v>
      </c>
      <c r="U7">
        <v>0.48149999999999998</v>
      </c>
      <c r="V7">
        <v>0.48080000000000001</v>
      </c>
      <c r="W7">
        <v>0.48010000000000003</v>
      </c>
      <c r="X7">
        <v>0.47939999999999999</v>
      </c>
      <c r="Y7">
        <v>0.47799999999999998</v>
      </c>
      <c r="Z7">
        <v>0.47799999999999998</v>
      </c>
      <c r="AA7">
        <v>0.47799999999999998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11.8635</v>
      </c>
    </row>
    <row r="8" spans="1:37">
      <c r="A8" t="s">
        <v>19</v>
      </c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19</v>
      </c>
      <c r="B9" s="29" t="s">
        <v>96</v>
      </c>
      <c r="C9">
        <v>258.99209999999999</v>
      </c>
      <c r="D9">
        <v>264.82249999999999</v>
      </c>
      <c r="E9">
        <v>270.65289999999999</v>
      </c>
      <c r="F9">
        <v>276.48329999999999</v>
      </c>
      <c r="G9">
        <v>282.31369999999998</v>
      </c>
      <c r="H9">
        <v>288.14400000000001</v>
      </c>
      <c r="I9">
        <v>294.46539999999999</v>
      </c>
      <c r="J9">
        <v>300.78680000000003</v>
      </c>
      <c r="K9">
        <v>307.10809999999998</v>
      </c>
      <c r="L9">
        <v>313.42950000000002</v>
      </c>
      <c r="M9">
        <v>319.75080000000003</v>
      </c>
      <c r="N9">
        <v>326.93259999999998</v>
      </c>
      <c r="O9">
        <v>334.11430000000001</v>
      </c>
      <c r="P9">
        <v>341.29599999999999</v>
      </c>
      <c r="Q9">
        <v>348.47770000000003</v>
      </c>
      <c r="R9">
        <v>355.65940000000001</v>
      </c>
      <c r="S9">
        <v>364.20350000000002</v>
      </c>
      <c r="T9">
        <v>372.7475</v>
      </c>
      <c r="U9">
        <v>381.29160000000002</v>
      </c>
      <c r="V9">
        <v>389.8356</v>
      </c>
      <c r="W9">
        <v>398.37970000000001</v>
      </c>
      <c r="X9">
        <v>408.32470000000001</v>
      </c>
      <c r="Y9">
        <v>418.26979999999998</v>
      </c>
      <c r="Z9">
        <v>428.21480000000003</v>
      </c>
      <c r="AA9">
        <v>438.15989999999999</v>
      </c>
      <c r="AB9">
        <v>448.10500000000002</v>
      </c>
      <c r="AC9">
        <v>459.44450000000001</v>
      </c>
      <c r="AD9">
        <v>470.78399999999999</v>
      </c>
      <c r="AE9">
        <v>482.12349999999998</v>
      </c>
      <c r="AF9">
        <v>493.46300000000002</v>
      </c>
      <c r="AG9">
        <v>504.80250000000001</v>
      </c>
      <c r="AH9">
        <v>517.26980000000003</v>
      </c>
      <c r="AI9">
        <v>529.73699999999997</v>
      </c>
      <c r="AJ9">
        <v>542.20429999999999</v>
      </c>
      <c r="AK9">
        <v>12930.789799999999</v>
      </c>
    </row>
    <row r="10" spans="1:37">
      <c r="A10" t="s">
        <v>19</v>
      </c>
      <c r="B10" s="29" t="s">
        <v>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>
      <c r="A11" t="s">
        <v>19</v>
      </c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19</v>
      </c>
      <c r="B12" s="29" t="s">
        <v>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>
      <c r="A13" t="s">
        <v>19</v>
      </c>
      <c r="B13" s="29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>
      <c r="A14" t="s">
        <v>19</v>
      </c>
      <c r="B14" s="29" t="s">
        <v>101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19</v>
      </c>
      <c r="B15" s="29" t="s">
        <v>102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>
      <c r="A16" t="s">
        <v>19</v>
      </c>
      <c r="B16" s="29" t="s">
        <v>103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 t="s">
        <v>19</v>
      </c>
      <c r="B17" s="29" t="s">
        <v>104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19</v>
      </c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>
      <c r="A19" t="s">
        <v>19</v>
      </c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>
      <c r="A20" t="s">
        <v>19</v>
      </c>
      <c r="B20" s="29" t="s">
        <v>107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19</v>
      </c>
      <c r="B21" s="29" t="s">
        <v>108</v>
      </c>
      <c r="C21">
        <v>21.738499999999998</v>
      </c>
      <c r="D21">
        <v>21.636900000000001</v>
      </c>
      <c r="E21">
        <v>21.535599999999999</v>
      </c>
      <c r="F21">
        <v>21.4344</v>
      </c>
      <c r="G21">
        <v>21.333600000000001</v>
      </c>
      <c r="H21">
        <v>21.2331</v>
      </c>
      <c r="I21">
        <v>21.133199999999999</v>
      </c>
      <c r="J21">
        <v>21.033899999999999</v>
      </c>
      <c r="K21">
        <v>20.935500000000001</v>
      </c>
      <c r="L21">
        <v>20.838100000000001</v>
      </c>
      <c r="M21">
        <v>20.732600000000001</v>
      </c>
      <c r="N21">
        <v>20.633199999999999</v>
      </c>
      <c r="O21">
        <v>20.534099999999999</v>
      </c>
      <c r="P21">
        <v>20.4358</v>
      </c>
      <c r="Q21">
        <v>20.338799999999999</v>
      </c>
      <c r="R21">
        <v>20.243600000000001</v>
      </c>
      <c r="S21">
        <v>20.150500000000001</v>
      </c>
      <c r="T21">
        <v>20.0596</v>
      </c>
      <c r="U21">
        <v>19.9711</v>
      </c>
      <c r="V21">
        <v>19.885100000000001</v>
      </c>
      <c r="W21">
        <v>19.748799999999999</v>
      </c>
      <c r="X21">
        <v>19.651599999999998</v>
      </c>
      <c r="Y21">
        <v>19.5609</v>
      </c>
      <c r="Z21">
        <v>19.474499999999999</v>
      </c>
      <c r="AA21">
        <v>19.429300000000001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513.70229999999992</v>
      </c>
    </row>
    <row r="22" spans="1:37">
      <c r="A22" t="s">
        <v>19</v>
      </c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>
      <c r="A23" t="s">
        <v>19</v>
      </c>
      <c r="B23" s="29" t="s">
        <v>110</v>
      </c>
      <c r="C23">
        <v>48.500700000000002</v>
      </c>
      <c r="D23">
        <v>139.297</v>
      </c>
      <c r="E23">
        <v>141.90180000000001</v>
      </c>
      <c r="F23">
        <v>144.4906</v>
      </c>
      <c r="G23">
        <v>147.06370000000001</v>
      </c>
      <c r="H23">
        <v>149.62180000000001</v>
      </c>
      <c r="I23">
        <v>152.41980000000001</v>
      </c>
      <c r="J23">
        <v>155.20320000000001</v>
      </c>
      <c r="K23">
        <v>157.9735</v>
      </c>
      <c r="L23">
        <v>160.73179999999999</v>
      </c>
      <c r="M23">
        <v>163.23230000000001</v>
      </c>
      <c r="N23">
        <v>166.38659999999999</v>
      </c>
      <c r="O23">
        <v>169.51840000000001</v>
      </c>
      <c r="P23">
        <v>172.63310000000001</v>
      </c>
      <c r="Q23">
        <v>175.7353</v>
      </c>
      <c r="R23">
        <v>178.82919999999999</v>
      </c>
      <c r="S23">
        <v>182.60140000000001</v>
      </c>
      <c r="T23">
        <v>186.3681</v>
      </c>
      <c r="U23">
        <v>190.13229999999999</v>
      </c>
      <c r="V23">
        <v>193.8964</v>
      </c>
      <c r="W23">
        <v>197.13380000000001</v>
      </c>
      <c r="X23">
        <v>201.41560000000001</v>
      </c>
      <c r="Y23">
        <v>205.73179999999999</v>
      </c>
      <c r="Z23">
        <v>210.08019999999999</v>
      </c>
      <c r="AA23">
        <v>214.459</v>
      </c>
      <c r="AB23">
        <v>218.8663</v>
      </c>
      <c r="AC23">
        <v>223.98</v>
      </c>
      <c r="AD23">
        <v>229.11619999999999</v>
      </c>
      <c r="AE23">
        <v>234.27369999999999</v>
      </c>
      <c r="AF23">
        <v>239.4512</v>
      </c>
      <c r="AG23">
        <v>241.89109999999999</v>
      </c>
      <c r="AH23">
        <v>247.86510000000001</v>
      </c>
      <c r="AI23">
        <v>253.83920000000001</v>
      </c>
      <c r="AJ23">
        <v>259.81319999999999</v>
      </c>
      <c r="AK23">
        <v>6354.4533999999994</v>
      </c>
    </row>
    <row r="24" spans="1:37">
      <c r="A24" t="s">
        <v>19</v>
      </c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>
      <c r="A25" t="s">
        <v>19</v>
      </c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>
      <c r="A26" t="s">
        <v>19</v>
      </c>
      <c r="B26" s="29" t="s">
        <v>113</v>
      </c>
      <c r="C26">
        <v>0.1769</v>
      </c>
      <c r="D26">
        <v>0.17849999999999999</v>
      </c>
      <c r="E26">
        <v>0.1799</v>
      </c>
      <c r="F26">
        <v>0.18110000000000001</v>
      </c>
      <c r="G26">
        <v>0.18229999999999999</v>
      </c>
      <c r="H26">
        <v>0.18329999999999999</v>
      </c>
      <c r="I26">
        <v>0.1842</v>
      </c>
      <c r="J26">
        <v>0.185</v>
      </c>
      <c r="K26">
        <v>0.18579999999999999</v>
      </c>
      <c r="L26">
        <v>0.18640000000000001</v>
      </c>
      <c r="M26">
        <v>0.1925</v>
      </c>
      <c r="N26">
        <v>0.1925</v>
      </c>
      <c r="O26">
        <v>0.1925</v>
      </c>
      <c r="P26">
        <v>0.1925</v>
      </c>
      <c r="Q26">
        <v>0.1925</v>
      </c>
      <c r="R26">
        <v>0.1925</v>
      </c>
      <c r="S26">
        <v>0.1925</v>
      </c>
      <c r="T26">
        <v>0.1925</v>
      </c>
      <c r="U26">
        <v>0.1925</v>
      </c>
      <c r="V26">
        <v>0.1925</v>
      </c>
      <c r="W26">
        <v>0.1925</v>
      </c>
      <c r="X26">
        <v>0.1925</v>
      </c>
      <c r="Y26">
        <v>0.1925</v>
      </c>
      <c r="Z26">
        <v>0.1925</v>
      </c>
      <c r="AA26">
        <v>0.1925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4.7108999999999988</v>
      </c>
    </row>
    <row r="27" spans="1:37">
      <c r="A27" t="s">
        <v>19</v>
      </c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>
      <c r="A28" t="s">
        <v>19</v>
      </c>
      <c r="B28" s="29" t="s">
        <v>115</v>
      </c>
      <c r="C28">
        <v>18.901700000000002</v>
      </c>
      <c r="D28">
        <v>19.037099999999999</v>
      </c>
      <c r="E28">
        <v>19.154</v>
      </c>
      <c r="F28">
        <v>19.254100000000001</v>
      </c>
      <c r="G28">
        <v>19.339300000000001</v>
      </c>
      <c r="H28">
        <v>19.410900000000002</v>
      </c>
      <c r="I28">
        <v>19.470500000000001</v>
      </c>
      <c r="J28">
        <v>19.519200000000001</v>
      </c>
      <c r="K28">
        <v>19.5581</v>
      </c>
      <c r="L28">
        <v>19.5883</v>
      </c>
      <c r="M28">
        <v>20.219799999999999</v>
      </c>
      <c r="N28">
        <v>20.172899999999998</v>
      </c>
      <c r="O28">
        <v>20.125900000000001</v>
      </c>
      <c r="P28">
        <v>20.078900000000001</v>
      </c>
      <c r="Q28">
        <v>20.0319</v>
      </c>
      <c r="R28">
        <v>19.9849</v>
      </c>
      <c r="S28">
        <v>19.937999999999999</v>
      </c>
      <c r="T28">
        <v>19.890999999999998</v>
      </c>
      <c r="U28">
        <v>19.844000000000001</v>
      </c>
      <c r="V28">
        <v>19.797000000000001</v>
      </c>
      <c r="W28">
        <v>19.75</v>
      </c>
      <c r="X28">
        <v>19.703099999999999</v>
      </c>
      <c r="Y28">
        <v>19.656099999999999</v>
      </c>
      <c r="Z28">
        <v>19.609100000000002</v>
      </c>
      <c r="AA28">
        <v>19.607199999999999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491.64300000000003</v>
      </c>
    </row>
    <row r="29" spans="1:37">
      <c r="A29" t="s">
        <v>19</v>
      </c>
      <c r="B29" s="29" t="s">
        <v>116</v>
      </c>
      <c r="C29">
        <v>21.738499999999998</v>
      </c>
      <c r="D29">
        <v>21.636900000000001</v>
      </c>
      <c r="E29">
        <v>21.535599999999999</v>
      </c>
      <c r="F29">
        <v>21.4344</v>
      </c>
      <c r="G29">
        <v>21.333600000000001</v>
      </c>
      <c r="H29">
        <v>21.2331</v>
      </c>
      <c r="I29">
        <v>21.133199999999999</v>
      </c>
      <c r="J29">
        <v>21.033899999999999</v>
      </c>
      <c r="K29">
        <v>20.935500000000001</v>
      </c>
      <c r="L29">
        <v>20.838100000000001</v>
      </c>
      <c r="M29">
        <v>20.732600000000001</v>
      </c>
      <c r="N29">
        <v>20.633199999999999</v>
      </c>
      <c r="O29">
        <v>20.534099999999999</v>
      </c>
      <c r="P29">
        <v>20.4358</v>
      </c>
      <c r="Q29">
        <v>20.338799999999999</v>
      </c>
      <c r="R29">
        <v>20.243600000000001</v>
      </c>
      <c r="S29">
        <v>20.150500000000001</v>
      </c>
      <c r="T29">
        <v>20.0596</v>
      </c>
      <c r="U29">
        <v>19.9711</v>
      </c>
      <c r="V29">
        <v>19.885100000000001</v>
      </c>
      <c r="W29">
        <v>19.748799999999999</v>
      </c>
      <c r="X29">
        <v>19.651599999999998</v>
      </c>
      <c r="Y29">
        <v>19.5609</v>
      </c>
      <c r="Z29">
        <v>19.474499999999999</v>
      </c>
      <c r="AA29">
        <v>19.429300000000001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513.70229999999992</v>
      </c>
    </row>
    <row r="30" spans="1:37">
      <c r="A30" t="s">
        <v>19</v>
      </c>
      <c r="B30" s="29" t="s">
        <v>117</v>
      </c>
      <c r="C30">
        <v>48.500700000000002</v>
      </c>
      <c r="D30">
        <v>138.38300000000001</v>
      </c>
      <c r="E30">
        <v>140.99080000000001</v>
      </c>
      <c r="F30">
        <v>143.58250000000001</v>
      </c>
      <c r="G30">
        <v>146.1585</v>
      </c>
      <c r="H30">
        <v>148.71940000000001</v>
      </c>
      <c r="I30">
        <v>151.52029999999999</v>
      </c>
      <c r="J30">
        <v>154.3066</v>
      </c>
      <c r="K30">
        <v>157.0796</v>
      </c>
      <c r="L30">
        <v>159.8407</v>
      </c>
      <c r="M30">
        <v>162.34520000000001</v>
      </c>
      <c r="N30">
        <v>165.50229999999999</v>
      </c>
      <c r="O30">
        <v>168.63679999999999</v>
      </c>
      <c r="P30">
        <v>171.75409999999999</v>
      </c>
      <c r="Q30">
        <v>174.85900000000001</v>
      </c>
      <c r="R30">
        <v>177.9555</v>
      </c>
      <c r="S30">
        <v>181.73009999999999</v>
      </c>
      <c r="T30">
        <v>185.49930000000001</v>
      </c>
      <c r="U30">
        <v>189.26580000000001</v>
      </c>
      <c r="V30">
        <v>193.03210000000001</v>
      </c>
      <c r="W30">
        <v>196.2739</v>
      </c>
      <c r="X30">
        <v>200.55850000000001</v>
      </c>
      <c r="Y30">
        <v>204.87700000000001</v>
      </c>
      <c r="Z30">
        <v>209.2277</v>
      </c>
      <c r="AA30">
        <v>213.60849999999999</v>
      </c>
      <c r="AB30">
        <v>218.8663</v>
      </c>
      <c r="AC30">
        <v>223.98</v>
      </c>
      <c r="AD30">
        <v>229.11619999999999</v>
      </c>
      <c r="AE30">
        <v>234.27369999999999</v>
      </c>
      <c r="AF30">
        <v>239.4512</v>
      </c>
      <c r="AG30">
        <v>241.89109999999999</v>
      </c>
      <c r="AH30">
        <v>247.86510000000001</v>
      </c>
      <c r="AI30">
        <v>253.83920000000001</v>
      </c>
      <c r="AJ30">
        <v>259.81319999999999</v>
      </c>
      <c r="AK30">
        <v>6333.3038999999999</v>
      </c>
    </row>
    <row r="31" spans="1:37">
      <c r="A31" t="s">
        <v>19</v>
      </c>
      <c r="B31" s="29" t="s">
        <v>118</v>
      </c>
      <c r="C31">
        <v>0</v>
      </c>
      <c r="D31">
        <v>0.65229999999999999</v>
      </c>
      <c r="E31">
        <v>0.61339999999999995</v>
      </c>
      <c r="F31">
        <v>0.57820000000000005</v>
      </c>
      <c r="G31">
        <v>0.54630000000000001</v>
      </c>
      <c r="H31">
        <v>0.51749999999999996</v>
      </c>
      <c r="I31">
        <v>0.49130000000000001</v>
      </c>
      <c r="J31">
        <v>0.4677</v>
      </c>
      <c r="K31">
        <v>0.44629999999999997</v>
      </c>
      <c r="L31">
        <v>0.42680000000000001</v>
      </c>
      <c r="M31">
        <v>0.26529999999999998</v>
      </c>
      <c r="N31">
        <v>0.26329999999999998</v>
      </c>
      <c r="O31">
        <v>0.26140000000000002</v>
      </c>
      <c r="P31">
        <v>0.2596</v>
      </c>
      <c r="Q31">
        <v>0.25790000000000002</v>
      </c>
      <c r="R31">
        <v>0.25629999999999997</v>
      </c>
      <c r="S31">
        <v>0.25480000000000003</v>
      </c>
      <c r="T31">
        <v>0.25340000000000001</v>
      </c>
      <c r="U31">
        <v>0.25219999999999998</v>
      </c>
      <c r="V31">
        <v>0.251</v>
      </c>
      <c r="W31">
        <v>0.24490000000000001</v>
      </c>
      <c r="X31">
        <v>0.24410000000000001</v>
      </c>
      <c r="Y31">
        <v>0.24340000000000001</v>
      </c>
      <c r="Z31">
        <v>0.2427</v>
      </c>
      <c r="AA31">
        <v>0.24210000000000001</v>
      </c>
      <c r="AB31">
        <v>0.24160000000000001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8.7738000000000014</v>
      </c>
    </row>
    <row r="32" spans="1:37">
      <c r="A32" t="s">
        <v>19</v>
      </c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19</v>
      </c>
      <c r="B33" s="29" t="s">
        <v>120</v>
      </c>
      <c r="C33">
        <v>0.1769</v>
      </c>
      <c r="D33">
        <v>0.1779</v>
      </c>
      <c r="E33">
        <v>0.17860000000000001</v>
      </c>
      <c r="F33">
        <v>0.1792</v>
      </c>
      <c r="G33">
        <v>0.1797</v>
      </c>
      <c r="H33">
        <v>0.18010000000000001</v>
      </c>
      <c r="I33">
        <v>0.18029999999999999</v>
      </c>
      <c r="J33">
        <v>0.18049999999999999</v>
      </c>
      <c r="K33">
        <v>0.18049999999999999</v>
      </c>
      <c r="L33">
        <v>0.18049999999999999</v>
      </c>
      <c r="M33">
        <v>0.1857</v>
      </c>
      <c r="N33">
        <v>0.185</v>
      </c>
      <c r="O33">
        <v>0.18429999999999999</v>
      </c>
      <c r="P33">
        <v>0.18360000000000001</v>
      </c>
      <c r="Q33">
        <v>0.183</v>
      </c>
      <c r="R33">
        <v>0.18229999999999999</v>
      </c>
      <c r="S33">
        <v>0.18160000000000001</v>
      </c>
      <c r="T33">
        <v>0.18090000000000001</v>
      </c>
      <c r="U33">
        <v>0.18029999999999999</v>
      </c>
      <c r="V33">
        <v>0.17960000000000001</v>
      </c>
      <c r="W33">
        <v>0.1789</v>
      </c>
      <c r="X33">
        <v>0.1782</v>
      </c>
      <c r="Y33">
        <v>0.17680000000000001</v>
      </c>
      <c r="Z33">
        <v>0.17680000000000001</v>
      </c>
      <c r="AA33">
        <v>0.17680000000000001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4.5079999999999991</v>
      </c>
    </row>
    <row r="34" spans="1:37">
      <c r="A34" t="s">
        <v>19</v>
      </c>
      <c r="B34" s="29" t="s">
        <v>121</v>
      </c>
      <c r="C34">
        <v>18.901700000000002</v>
      </c>
      <c r="D34">
        <v>19.025700000000001</v>
      </c>
      <c r="E34">
        <v>19.131</v>
      </c>
      <c r="F34">
        <v>19.2194</v>
      </c>
      <c r="G34">
        <v>19.2926</v>
      </c>
      <c r="H34">
        <v>19.3523</v>
      </c>
      <c r="I34">
        <v>19.399699999999999</v>
      </c>
      <c r="J34">
        <v>19.436199999999999</v>
      </c>
      <c r="K34">
        <v>19.462900000000001</v>
      </c>
      <c r="L34">
        <v>19.480699999999999</v>
      </c>
      <c r="M34">
        <v>20.0962</v>
      </c>
      <c r="N34">
        <v>20.036899999999999</v>
      </c>
      <c r="O34">
        <v>19.977499999999999</v>
      </c>
      <c r="P34">
        <v>19.918199999999999</v>
      </c>
      <c r="Q34">
        <v>19.858799999999999</v>
      </c>
      <c r="R34">
        <v>19.799499999999998</v>
      </c>
      <c r="S34">
        <v>19.740200000000002</v>
      </c>
      <c r="T34">
        <v>19.680800000000001</v>
      </c>
      <c r="U34">
        <v>19.621500000000001</v>
      </c>
      <c r="V34">
        <v>19.618500000000001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391.05029999999999</v>
      </c>
    </row>
    <row r="35" spans="1:37">
      <c r="A35" t="s">
        <v>19</v>
      </c>
      <c r="B35" s="29" t="s">
        <v>122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>
      <c r="A36" t="s">
        <v>19</v>
      </c>
      <c r="B36" s="29" t="s">
        <v>123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>
      <c r="A37" t="s">
        <v>19</v>
      </c>
      <c r="B37" s="29" t="s">
        <v>124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19</v>
      </c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19</v>
      </c>
      <c r="B39" s="29" t="s">
        <v>126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>
      <c r="A40" t="s">
        <v>19</v>
      </c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>
      <c r="A41" t="s">
        <v>19</v>
      </c>
      <c r="B41" s="29" t="s">
        <v>128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>
      <c r="A42" t="s">
        <v>19</v>
      </c>
      <c r="B42" s="29" t="s">
        <v>129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>
      <c r="A43" t="s">
        <v>19</v>
      </c>
      <c r="B43" s="29" t="s">
        <v>130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>
      <c r="A44" t="s">
        <v>19</v>
      </c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>
      <c r="A45" t="s">
        <v>19</v>
      </c>
      <c r="B45" s="29" t="s">
        <v>132</v>
      </c>
      <c r="C45">
        <v>44.747999999999998</v>
      </c>
      <c r="D45">
        <v>44.747999999999998</v>
      </c>
      <c r="E45">
        <v>52.128</v>
      </c>
      <c r="F45">
        <v>52.667999999999999</v>
      </c>
      <c r="G45">
        <v>53.558999999999997</v>
      </c>
      <c r="H45">
        <v>53.558999999999997</v>
      </c>
      <c r="I45">
        <v>53.558999999999997</v>
      </c>
      <c r="J45">
        <v>53.558999999999997</v>
      </c>
      <c r="K45">
        <v>53.558999999999997</v>
      </c>
      <c r="L45">
        <v>53.558999999999997</v>
      </c>
      <c r="M45">
        <v>53.558999999999997</v>
      </c>
      <c r="N45">
        <v>53.558999999999997</v>
      </c>
      <c r="O45">
        <v>53.558999999999997</v>
      </c>
      <c r="P45">
        <v>53.558999999999997</v>
      </c>
      <c r="Q45">
        <v>53.558999999999997</v>
      </c>
      <c r="R45">
        <v>53.558999999999997</v>
      </c>
      <c r="S45">
        <v>53.558999999999997</v>
      </c>
      <c r="T45">
        <v>53.558999999999997</v>
      </c>
      <c r="U45">
        <v>53.558999999999997</v>
      </c>
      <c r="V45">
        <v>53.558999999999997</v>
      </c>
      <c r="W45">
        <v>53.558999999999997</v>
      </c>
      <c r="X45">
        <v>53.558999999999997</v>
      </c>
      <c r="Y45">
        <v>53.558999999999997</v>
      </c>
      <c r="Z45">
        <v>53.558999999999997</v>
      </c>
      <c r="AA45">
        <v>53.558999999999997</v>
      </c>
      <c r="AB45">
        <v>53.558999999999997</v>
      </c>
      <c r="AC45">
        <v>53.558999999999997</v>
      </c>
      <c r="AD45">
        <v>53.558999999999997</v>
      </c>
      <c r="AE45">
        <v>53.558999999999997</v>
      </c>
      <c r="AF45">
        <v>50.274000000000001</v>
      </c>
      <c r="AG45">
        <v>45.692999999999998</v>
      </c>
      <c r="AH45">
        <v>45.692999999999998</v>
      </c>
      <c r="AI45">
        <v>43.911000000000001</v>
      </c>
      <c r="AJ45">
        <v>43.776000000000003</v>
      </c>
      <c r="AK45">
        <v>1762.6139999999994</v>
      </c>
    </row>
    <row r="46" spans="1:37">
      <c r="A46" t="s">
        <v>19</v>
      </c>
      <c r="B46" s="29" t="s">
        <v>133</v>
      </c>
      <c r="C46">
        <v>491.03550000000001</v>
      </c>
      <c r="D46">
        <v>491.03550000000001</v>
      </c>
      <c r="E46">
        <v>491.03550000000001</v>
      </c>
      <c r="F46">
        <v>491.03550000000001</v>
      </c>
      <c r="G46">
        <v>464.03550000000001</v>
      </c>
      <c r="H46">
        <v>464.03550000000001</v>
      </c>
      <c r="I46">
        <v>464.03550000000001</v>
      </c>
      <c r="J46">
        <v>464.03550000000001</v>
      </c>
      <c r="K46">
        <v>464.03550000000001</v>
      </c>
      <c r="L46">
        <v>464.03550000000001</v>
      </c>
      <c r="M46">
        <v>464.03550000000001</v>
      </c>
      <c r="N46">
        <v>464.03550000000001</v>
      </c>
      <c r="O46">
        <v>464.03550000000001</v>
      </c>
      <c r="P46">
        <v>464.03550000000001</v>
      </c>
      <c r="Q46">
        <v>464.03550000000001</v>
      </c>
      <c r="R46">
        <v>464.03550000000001</v>
      </c>
      <c r="S46">
        <v>429.65550000000002</v>
      </c>
      <c r="T46">
        <v>429.65550000000002</v>
      </c>
      <c r="U46">
        <v>397.971</v>
      </c>
      <c r="V46">
        <v>339.74099999999999</v>
      </c>
      <c r="W46">
        <v>315.51299999999998</v>
      </c>
      <c r="X46">
        <v>315.51299999999998</v>
      </c>
      <c r="Y46">
        <v>315.51299999999998</v>
      </c>
      <c r="Z46">
        <v>315.51299999999998</v>
      </c>
      <c r="AA46">
        <v>315.51299999999998</v>
      </c>
      <c r="AB46">
        <v>315.51299999999998</v>
      </c>
      <c r="AC46">
        <v>302.733</v>
      </c>
      <c r="AD46">
        <v>302.733</v>
      </c>
      <c r="AE46">
        <v>302.733</v>
      </c>
      <c r="AF46">
        <v>302.733</v>
      </c>
      <c r="AG46">
        <v>286.46100000000001</v>
      </c>
      <c r="AH46">
        <v>273.95549999999997</v>
      </c>
      <c r="AI46">
        <v>273.95549999999997</v>
      </c>
      <c r="AJ46">
        <v>244.6335</v>
      </c>
      <c r="AK46">
        <v>13312.606500000005</v>
      </c>
    </row>
    <row r="47" spans="1:37">
      <c r="A47" t="s">
        <v>19</v>
      </c>
      <c r="B47" s="29" t="s">
        <v>134</v>
      </c>
      <c r="C47">
        <v>82.095200000000006</v>
      </c>
      <c r="D47">
        <v>82.095200000000006</v>
      </c>
      <c r="E47">
        <v>82.095200000000006</v>
      </c>
      <c r="F47">
        <v>82.095200000000006</v>
      </c>
      <c r="G47">
        <v>82.095200000000006</v>
      </c>
      <c r="H47">
        <v>82.095200000000006</v>
      </c>
      <c r="I47">
        <v>82.095200000000006</v>
      </c>
      <c r="J47">
        <v>82.095200000000006</v>
      </c>
      <c r="K47">
        <v>82.095200000000006</v>
      </c>
      <c r="L47">
        <v>82.095200000000006</v>
      </c>
      <c r="M47">
        <v>82.095200000000006</v>
      </c>
      <c r="N47">
        <v>57.1494</v>
      </c>
      <c r="O47">
        <v>12.6434</v>
      </c>
      <c r="P47">
        <v>12.6434</v>
      </c>
      <c r="Q47">
        <v>12.6434</v>
      </c>
      <c r="R47">
        <v>12.6434</v>
      </c>
      <c r="S47">
        <v>12.6434</v>
      </c>
      <c r="T47">
        <v>12.6434</v>
      </c>
      <c r="U47">
        <v>12.6434</v>
      </c>
      <c r="V47">
        <v>12.6434</v>
      </c>
      <c r="W47">
        <v>12.6434</v>
      </c>
      <c r="X47">
        <v>12.6434</v>
      </c>
      <c r="Y47">
        <v>12.6214</v>
      </c>
      <c r="Z47">
        <v>12.6214</v>
      </c>
      <c r="AA47">
        <v>12.6214</v>
      </c>
      <c r="AB47">
        <v>12.6214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1137.1161999999997</v>
      </c>
    </row>
    <row r="48" spans="1:37">
      <c r="A48" t="s">
        <v>19</v>
      </c>
      <c r="B48" s="29" t="s">
        <v>135</v>
      </c>
      <c r="C48">
        <v>58.403399999999998</v>
      </c>
      <c r="D48">
        <v>62.359000000000002</v>
      </c>
      <c r="E48">
        <v>64.499600000000001</v>
      </c>
      <c r="F48">
        <v>64.499600000000001</v>
      </c>
      <c r="G48">
        <v>64.745999999999995</v>
      </c>
      <c r="H48">
        <v>64.745999999999995</v>
      </c>
      <c r="I48">
        <v>64.745999999999995</v>
      </c>
      <c r="J48">
        <v>64.745999999999995</v>
      </c>
      <c r="K48">
        <v>64.745999999999995</v>
      </c>
      <c r="L48">
        <v>64.063999999999993</v>
      </c>
      <c r="M48">
        <v>64.063999999999993</v>
      </c>
      <c r="N48">
        <v>64.063999999999993</v>
      </c>
      <c r="O48">
        <v>64.063999999999993</v>
      </c>
      <c r="P48">
        <v>63.573399999999999</v>
      </c>
      <c r="Q48">
        <v>33.818399999999997</v>
      </c>
      <c r="R48">
        <v>32.993400000000001</v>
      </c>
      <c r="S48">
        <v>32.430199999999999</v>
      </c>
      <c r="T48">
        <v>27.6738</v>
      </c>
      <c r="U48">
        <v>24.763200000000001</v>
      </c>
      <c r="V48">
        <v>24.763200000000001</v>
      </c>
      <c r="W48">
        <v>24.763200000000001</v>
      </c>
      <c r="X48">
        <v>24.763200000000001</v>
      </c>
      <c r="Y48">
        <v>24.763200000000001</v>
      </c>
      <c r="Z48">
        <v>24.763200000000001</v>
      </c>
      <c r="AA48">
        <v>24.763200000000001</v>
      </c>
      <c r="AB48">
        <v>22.776599999999998</v>
      </c>
      <c r="AC48">
        <v>22.5016</v>
      </c>
      <c r="AD48">
        <v>22.5016</v>
      </c>
      <c r="AE48">
        <v>21.733799999999999</v>
      </c>
      <c r="AF48">
        <v>21.491800000000001</v>
      </c>
      <c r="AG48">
        <v>21.491800000000001</v>
      </c>
      <c r="AH48">
        <v>21.491800000000001</v>
      </c>
      <c r="AI48">
        <v>20.8186</v>
      </c>
      <c r="AJ48">
        <v>12.0076</v>
      </c>
      <c r="AK48">
        <v>1380.3944000000004</v>
      </c>
    </row>
    <row r="49" spans="1:37">
      <c r="A49" t="s">
        <v>19</v>
      </c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>
      <c r="A50" t="s">
        <v>19</v>
      </c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19</v>
      </c>
      <c r="B51" s="29" t="s">
        <v>138</v>
      </c>
      <c r="C51">
        <v>144.39400000000001</v>
      </c>
      <c r="D51">
        <v>144.39400000000001</v>
      </c>
      <c r="E51">
        <v>144.81950000000001</v>
      </c>
      <c r="F51">
        <v>140.86179999999999</v>
      </c>
      <c r="G51">
        <v>141.63489999999999</v>
      </c>
      <c r="H51">
        <v>145.74039999999999</v>
      </c>
      <c r="I51">
        <v>241.63069999999999</v>
      </c>
      <c r="J51">
        <v>338.20749999999998</v>
      </c>
      <c r="K51">
        <v>437.16340000000002</v>
      </c>
      <c r="L51">
        <v>459.47480000000002</v>
      </c>
      <c r="M51">
        <v>459.47480000000002</v>
      </c>
      <c r="N51">
        <v>459.47480000000002</v>
      </c>
      <c r="O51">
        <v>459.47480000000002</v>
      </c>
      <c r="P51">
        <v>459.47480000000002</v>
      </c>
      <c r="Q51">
        <v>459.47480000000002</v>
      </c>
      <c r="R51">
        <v>459.47480000000002</v>
      </c>
      <c r="S51">
        <v>459.47480000000002</v>
      </c>
      <c r="T51">
        <v>459.47480000000002</v>
      </c>
      <c r="U51">
        <v>459.47480000000002</v>
      </c>
      <c r="V51">
        <v>459.47480000000002</v>
      </c>
      <c r="W51">
        <v>459.47480000000002</v>
      </c>
      <c r="X51">
        <v>459.47480000000002</v>
      </c>
      <c r="Y51">
        <v>459.47480000000002</v>
      </c>
      <c r="Z51">
        <v>459.47480000000002</v>
      </c>
      <c r="AA51">
        <v>459.47480000000002</v>
      </c>
      <c r="AB51">
        <v>459.47480000000002</v>
      </c>
      <c r="AC51">
        <v>459.47480000000002</v>
      </c>
      <c r="AD51">
        <v>459.47480000000002</v>
      </c>
      <c r="AE51">
        <v>459.47480000000002</v>
      </c>
      <c r="AF51">
        <v>459.47480000000002</v>
      </c>
      <c r="AG51">
        <v>460</v>
      </c>
      <c r="AH51">
        <v>460</v>
      </c>
      <c r="AI51">
        <v>460</v>
      </c>
      <c r="AJ51">
        <v>460</v>
      </c>
      <c r="AK51">
        <v>13367.816999999999</v>
      </c>
    </row>
    <row r="52" spans="1:37">
      <c r="A52" t="s">
        <v>19</v>
      </c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19</v>
      </c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19</v>
      </c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>
      <c r="A55" t="s">
        <v>19</v>
      </c>
      <c r="B55" s="29" t="s">
        <v>142</v>
      </c>
      <c r="C55">
        <v>0</v>
      </c>
      <c r="D55">
        <v>32.877000000000002</v>
      </c>
      <c r="E55">
        <v>67.767499999999998</v>
      </c>
      <c r="F55">
        <v>67.767499999999998</v>
      </c>
      <c r="G55">
        <v>94.976100000000002</v>
      </c>
      <c r="H55">
        <v>94.976100000000002</v>
      </c>
      <c r="I55">
        <v>94.976100000000002</v>
      </c>
      <c r="J55">
        <v>94.976100000000002</v>
      </c>
      <c r="K55">
        <v>94.976100000000002</v>
      </c>
      <c r="L55">
        <v>94.976100000000002</v>
      </c>
      <c r="M55">
        <v>94.976100000000002</v>
      </c>
      <c r="N55">
        <v>134.14699999999999</v>
      </c>
      <c r="O55">
        <v>275.72579999999999</v>
      </c>
      <c r="P55">
        <v>325.56650000000002</v>
      </c>
      <c r="Q55">
        <v>375.40710000000001</v>
      </c>
      <c r="R55">
        <v>425.24770000000001</v>
      </c>
      <c r="S55">
        <v>520.41890000000001</v>
      </c>
      <c r="T55">
        <v>580.94449999999995</v>
      </c>
      <c r="U55">
        <v>671.90219999999999</v>
      </c>
      <c r="V55">
        <v>760.09109999999998</v>
      </c>
      <c r="W55">
        <v>760.09109999999998</v>
      </c>
      <c r="X55">
        <v>786.99969999999996</v>
      </c>
      <c r="Y55">
        <v>841.98</v>
      </c>
      <c r="Z55">
        <v>897.08219999999994</v>
      </c>
      <c r="AA55">
        <v>952.2989</v>
      </c>
      <c r="AB55">
        <v>1009.2077</v>
      </c>
      <c r="AC55">
        <v>1080.7456999999999</v>
      </c>
      <c r="AD55">
        <v>1138.3050000000001</v>
      </c>
      <c r="AE55">
        <v>1190.5423000000001</v>
      </c>
      <c r="AF55">
        <v>1189.1914999999999</v>
      </c>
      <c r="AG55">
        <v>1189.1914999999999</v>
      </c>
      <c r="AH55">
        <v>1252.7029</v>
      </c>
      <c r="AI55">
        <v>1303.6123</v>
      </c>
      <c r="AJ55">
        <v>1384.0700999999999</v>
      </c>
      <c r="AK55">
        <v>19878.716400000005</v>
      </c>
    </row>
    <row r="56" spans="1:37">
      <c r="A56" t="s">
        <v>19</v>
      </c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19</v>
      </c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>
      <c r="A58" t="s">
        <v>19</v>
      </c>
      <c r="B58" s="29" t="s">
        <v>145</v>
      </c>
      <c r="C58">
        <v>191.6825</v>
      </c>
      <c r="D58">
        <v>287.16730000000001</v>
      </c>
      <c r="E58">
        <v>287.76159999999999</v>
      </c>
      <c r="F58">
        <v>289.51089999999999</v>
      </c>
      <c r="G58">
        <v>290.82659999999998</v>
      </c>
      <c r="H58">
        <v>290.82659999999998</v>
      </c>
      <c r="I58">
        <v>290.82659999999998</v>
      </c>
      <c r="J58">
        <v>290.82659999999998</v>
      </c>
      <c r="K58">
        <v>290.82659999999998</v>
      </c>
      <c r="L58">
        <v>290.82659999999998</v>
      </c>
      <c r="M58">
        <v>290.82659999999998</v>
      </c>
      <c r="N58">
        <v>290.82659999999998</v>
      </c>
      <c r="O58">
        <v>290.82659999999998</v>
      </c>
      <c r="P58">
        <v>290.82659999999998</v>
      </c>
      <c r="Q58">
        <v>290.82659999999998</v>
      </c>
      <c r="R58">
        <v>290.82659999999998</v>
      </c>
      <c r="S58">
        <v>290.82659999999998</v>
      </c>
      <c r="T58">
        <v>290.82659999999998</v>
      </c>
      <c r="U58">
        <v>290.82659999999998</v>
      </c>
      <c r="V58">
        <v>290.82659999999998</v>
      </c>
      <c r="W58">
        <v>290.82659999999998</v>
      </c>
      <c r="X58">
        <v>290.82659999999998</v>
      </c>
      <c r="Y58">
        <v>290.82659999999998</v>
      </c>
      <c r="Z58">
        <v>290.82659999999998</v>
      </c>
      <c r="AA58">
        <v>290.82659999999998</v>
      </c>
      <c r="AB58">
        <v>290.82659999999998</v>
      </c>
      <c r="AC58">
        <v>290.82659999999998</v>
      </c>
      <c r="AD58">
        <v>289.9744</v>
      </c>
      <c r="AE58">
        <v>289.9744</v>
      </c>
      <c r="AF58">
        <v>289.9744</v>
      </c>
      <c r="AG58">
        <v>289.9744</v>
      </c>
      <c r="AH58">
        <v>289.9744</v>
      </c>
      <c r="AI58">
        <v>289.9744</v>
      </c>
      <c r="AJ58">
        <v>289.9744</v>
      </c>
      <c r="AK58">
        <v>9774.9548999999988</v>
      </c>
    </row>
    <row r="59" spans="1:37">
      <c r="A59" t="s">
        <v>19</v>
      </c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19.019200000000001</v>
      </c>
      <c r="I59">
        <v>19.019200000000001</v>
      </c>
      <c r="J59">
        <v>19.019200000000001</v>
      </c>
      <c r="K59">
        <v>19.019200000000001</v>
      </c>
      <c r="L59">
        <v>19.019200000000001</v>
      </c>
      <c r="M59">
        <v>19.019200000000001</v>
      </c>
      <c r="N59">
        <v>19.019200000000001</v>
      </c>
      <c r="O59">
        <v>19.019200000000001</v>
      </c>
      <c r="P59">
        <v>19.019200000000001</v>
      </c>
      <c r="Q59">
        <v>19.019200000000001</v>
      </c>
      <c r="R59">
        <v>19.019200000000001</v>
      </c>
      <c r="S59">
        <v>19.019200000000001</v>
      </c>
      <c r="T59">
        <v>19.019200000000001</v>
      </c>
      <c r="U59">
        <v>19.732800000000001</v>
      </c>
      <c r="V59">
        <v>35.843400000000003</v>
      </c>
      <c r="W59">
        <v>67.281800000000004</v>
      </c>
      <c r="X59">
        <v>82.504000000000005</v>
      </c>
      <c r="Y59">
        <v>86.588800000000006</v>
      </c>
      <c r="Z59">
        <v>90.328800000000001</v>
      </c>
      <c r="AA59">
        <v>95.480099999999993</v>
      </c>
      <c r="AB59">
        <v>100.93129999999999</v>
      </c>
      <c r="AC59">
        <v>118.71</v>
      </c>
      <c r="AD59">
        <v>124.063</v>
      </c>
      <c r="AE59">
        <v>132.02699999999999</v>
      </c>
      <c r="AF59">
        <v>166.25550000000001</v>
      </c>
      <c r="AG59">
        <v>221.87620000000001</v>
      </c>
      <c r="AH59">
        <v>229.04689999999999</v>
      </c>
      <c r="AI59">
        <v>236.6454</v>
      </c>
      <c r="AJ59">
        <v>243.8485</v>
      </c>
      <c r="AK59">
        <v>2298.4131000000002</v>
      </c>
    </row>
    <row r="60" spans="1:37">
      <c r="A60" t="s">
        <v>19</v>
      </c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>
      <c r="A61" t="s">
        <v>19</v>
      </c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>
      <c r="A62" t="s">
        <v>19</v>
      </c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19</v>
      </c>
      <c r="B63" s="29" t="s">
        <v>150</v>
      </c>
      <c r="C63">
        <v>13.207800000000001</v>
      </c>
      <c r="D63">
        <v>16.7087</v>
      </c>
      <c r="E63">
        <v>19.970800000000001</v>
      </c>
      <c r="F63">
        <v>21.1633</v>
      </c>
      <c r="G63">
        <v>32.324399999999997</v>
      </c>
      <c r="H63">
        <v>34.373399999999997</v>
      </c>
      <c r="I63">
        <v>33.238199999999999</v>
      </c>
      <c r="J63">
        <v>32.183300000000003</v>
      </c>
      <c r="K63">
        <v>31.201899999999998</v>
      </c>
      <c r="L63">
        <v>30.287800000000001</v>
      </c>
      <c r="M63">
        <v>103.5484</v>
      </c>
      <c r="N63">
        <v>102.03879999999999</v>
      </c>
      <c r="O63">
        <v>100.52930000000001</v>
      </c>
      <c r="P63">
        <v>99.034899999999993</v>
      </c>
      <c r="Q63">
        <v>97.832899999999995</v>
      </c>
      <c r="R63">
        <v>96.398499999999999</v>
      </c>
      <c r="S63">
        <v>95.008200000000002</v>
      </c>
      <c r="T63">
        <v>93.667699999999996</v>
      </c>
      <c r="U63">
        <v>92.380700000000004</v>
      </c>
      <c r="V63">
        <v>91.150099999999995</v>
      </c>
      <c r="W63">
        <v>215.27590000000001</v>
      </c>
      <c r="X63">
        <v>222.56039999999999</v>
      </c>
      <c r="Y63">
        <v>230.66839999999999</v>
      </c>
      <c r="Z63">
        <v>238.8167</v>
      </c>
      <c r="AA63">
        <v>247.0179</v>
      </c>
      <c r="AB63">
        <v>255.7312</v>
      </c>
      <c r="AC63">
        <v>264.7002</v>
      </c>
      <c r="AD63">
        <v>273.59960000000001</v>
      </c>
      <c r="AE63">
        <v>294.26209999999998</v>
      </c>
      <c r="AF63">
        <v>291.56330000000003</v>
      </c>
      <c r="AG63">
        <v>333.6454</v>
      </c>
      <c r="AH63">
        <v>345.43310000000002</v>
      </c>
      <c r="AI63">
        <v>357.2208</v>
      </c>
      <c r="AJ63">
        <v>369.00839999999999</v>
      </c>
      <c r="AK63">
        <v>5175.7525000000005</v>
      </c>
    </row>
    <row r="64" spans="1:37">
      <c r="A64" t="s">
        <v>19</v>
      </c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>
      <c r="A65" t="s">
        <v>19</v>
      </c>
      <c r="B65" s="29" t="s">
        <v>152</v>
      </c>
      <c r="C65">
        <v>27.774000000000001</v>
      </c>
      <c r="D65">
        <v>34.0075</v>
      </c>
      <c r="E65">
        <v>33.767200000000003</v>
      </c>
      <c r="F65">
        <v>34.529899999999998</v>
      </c>
      <c r="G65">
        <v>34.279299999999999</v>
      </c>
      <c r="H65">
        <v>34.028199999999998</v>
      </c>
      <c r="I65">
        <v>33.777099999999997</v>
      </c>
      <c r="J65">
        <v>33.526899999999998</v>
      </c>
      <c r="K65">
        <v>33.278500000000001</v>
      </c>
      <c r="L65">
        <v>33.032600000000002</v>
      </c>
      <c r="M65">
        <v>31.538399999999999</v>
      </c>
      <c r="N65">
        <v>31.282399999999999</v>
      </c>
      <c r="O65">
        <v>31.027200000000001</v>
      </c>
      <c r="P65">
        <v>30.775099999999998</v>
      </c>
      <c r="Q65">
        <v>30.528199999999998</v>
      </c>
      <c r="R65">
        <v>30.2879</v>
      </c>
      <c r="S65">
        <v>30.055399999999999</v>
      </c>
      <c r="T65">
        <v>29.831499999999998</v>
      </c>
      <c r="U65">
        <v>29.616800000000001</v>
      </c>
      <c r="V65">
        <v>18.415500000000002</v>
      </c>
      <c r="W65">
        <v>14.9354</v>
      </c>
      <c r="X65">
        <v>14.807700000000001</v>
      </c>
      <c r="Y65">
        <v>14.6927</v>
      </c>
      <c r="Z65">
        <v>14.5892</v>
      </c>
      <c r="AA65">
        <v>14.496</v>
      </c>
      <c r="AB65">
        <v>6.1853999999999996</v>
      </c>
      <c r="AC65">
        <v>0.84209999999999996</v>
      </c>
      <c r="AD65">
        <v>0.83809999999999996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706.74619999999982</v>
      </c>
    </row>
    <row r="66" spans="1:37">
      <c r="A66" t="s">
        <v>19</v>
      </c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s="5" customFormat="1">
      <c r="A67" s="5" t="s">
        <v>19</v>
      </c>
      <c r="B67" s="29" t="s">
        <v>154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19</v>
      </c>
      <c r="B68" s="29" t="s">
        <v>155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19</v>
      </c>
      <c r="B69" s="29" t="s">
        <v>156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>
      <c r="A70" t="s">
        <v>19</v>
      </c>
      <c r="B70" s="29" t="s">
        <v>157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19</v>
      </c>
      <c r="B71" s="29" t="s">
        <v>158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19</v>
      </c>
      <c r="B72" s="29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 t="s">
        <v>19</v>
      </c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 t="s">
        <v>19</v>
      </c>
      <c r="B74" s="29" t="s">
        <v>161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19</v>
      </c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19</v>
      </c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19</v>
      </c>
      <c r="B77" s="29" t="s">
        <v>164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19</v>
      </c>
      <c r="B78" s="29" t="s">
        <v>165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19</v>
      </c>
      <c r="B79" s="29" t="s">
        <v>166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19</v>
      </c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19</v>
      </c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19</v>
      </c>
      <c r="B82" s="29" t="s">
        <v>169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19</v>
      </c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19</v>
      </c>
      <c r="B84" s="29" t="s">
        <v>170</v>
      </c>
      <c r="C84">
        <v>591.16880000000003</v>
      </c>
      <c r="D84">
        <v>607.40499999999997</v>
      </c>
      <c r="E84">
        <v>624.07479999999998</v>
      </c>
      <c r="F84">
        <v>640.26340000000005</v>
      </c>
      <c r="G84">
        <v>656.83600000000001</v>
      </c>
      <c r="H84">
        <v>673.23990000000003</v>
      </c>
      <c r="I84">
        <v>693.28660000000002</v>
      </c>
      <c r="J84">
        <v>713.03560000000004</v>
      </c>
      <c r="K84">
        <v>732.803</v>
      </c>
      <c r="L84">
        <v>751.89030000000002</v>
      </c>
      <c r="M84">
        <v>750.08140000000003</v>
      </c>
      <c r="N84">
        <v>764.90980000000002</v>
      </c>
      <c r="O84">
        <v>788.9896</v>
      </c>
      <c r="P84">
        <v>813.7423</v>
      </c>
      <c r="Q84">
        <v>837.47270000000003</v>
      </c>
      <c r="R84">
        <v>861.94830000000002</v>
      </c>
      <c r="S84">
        <v>889.75059999999996</v>
      </c>
      <c r="T84">
        <v>917.47670000000005</v>
      </c>
      <c r="U84">
        <v>945.1662</v>
      </c>
      <c r="V84">
        <v>972.12220000000002</v>
      </c>
      <c r="W84">
        <v>997.29319999999996</v>
      </c>
      <c r="X84">
        <v>1027.5598</v>
      </c>
      <c r="Y84">
        <v>1058.0655999999999</v>
      </c>
      <c r="Z84">
        <v>1088.5393999999999</v>
      </c>
      <c r="AA84">
        <v>1119.1153999999999</v>
      </c>
      <c r="AB84">
        <v>1149.7824000000001</v>
      </c>
      <c r="AC84">
        <v>1182.7472</v>
      </c>
      <c r="AD84">
        <v>1215.7873</v>
      </c>
      <c r="AE84">
        <v>1249.4152999999999</v>
      </c>
      <c r="AF84">
        <v>1279.7824000000001</v>
      </c>
      <c r="AG84">
        <v>1303.0096000000001</v>
      </c>
      <c r="AH84">
        <v>1338.0334</v>
      </c>
      <c r="AI84">
        <v>1372.8240000000001</v>
      </c>
      <c r="AJ84">
        <v>1408.0744999999999</v>
      </c>
      <c r="AK84">
        <v>32015.692700000003</v>
      </c>
    </row>
    <row r="85" spans="1:37">
      <c r="A85" t="s">
        <v>19</v>
      </c>
      <c r="B85" s="29" t="s">
        <v>171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19</v>
      </c>
      <c r="B86" s="29" t="s">
        <v>172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19</v>
      </c>
      <c r="B87" s="29" t="s">
        <v>173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19</v>
      </c>
      <c r="B88" s="29" t="s">
        <v>174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19</v>
      </c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19</v>
      </c>
      <c r="B90" s="29" t="s">
        <v>176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19</v>
      </c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19</v>
      </c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19</v>
      </c>
      <c r="B93" s="29" t="s">
        <v>179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19</v>
      </c>
      <c r="B94" s="29" t="s">
        <v>180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19</v>
      </c>
      <c r="B95" s="29" t="s">
        <v>181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19</v>
      </c>
      <c r="B96" s="29" t="s">
        <v>182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19</v>
      </c>
      <c r="B97" s="29" t="s">
        <v>183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19</v>
      </c>
      <c r="B98" s="29" t="s">
        <v>184</v>
      </c>
      <c r="C98">
        <v>19.2073</v>
      </c>
      <c r="D98">
        <v>19.506</v>
      </c>
      <c r="E98">
        <v>19.7864</v>
      </c>
      <c r="F98">
        <v>20.066800000000001</v>
      </c>
      <c r="G98">
        <v>20.369299999999999</v>
      </c>
      <c r="H98">
        <v>20.627800000000001</v>
      </c>
      <c r="I98">
        <v>20.895299999999999</v>
      </c>
      <c r="J98">
        <v>21.1629</v>
      </c>
      <c r="K98">
        <v>21.430399999999999</v>
      </c>
      <c r="L98">
        <v>21.901800000000001</v>
      </c>
      <c r="M98">
        <v>21.577500000000001</v>
      </c>
      <c r="N98">
        <v>22.214099999999998</v>
      </c>
      <c r="O98">
        <v>22.462599999999998</v>
      </c>
      <c r="P98">
        <v>22.664100000000001</v>
      </c>
      <c r="Q98">
        <v>23.016100000000002</v>
      </c>
      <c r="R98">
        <v>23.208200000000001</v>
      </c>
      <c r="S98">
        <v>23.435600000000001</v>
      </c>
      <c r="T98">
        <v>23.663</v>
      </c>
      <c r="U98">
        <v>23.8904</v>
      </c>
      <c r="V98">
        <v>23.644600000000001</v>
      </c>
      <c r="W98">
        <v>24.376200000000001</v>
      </c>
      <c r="X98">
        <v>24.581900000000001</v>
      </c>
      <c r="Y98">
        <v>24.754999999999999</v>
      </c>
      <c r="Z98">
        <v>24.959800000000001</v>
      </c>
      <c r="AA98">
        <v>25.1646</v>
      </c>
      <c r="AB98">
        <v>25.369599999999998</v>
      </c>
      <c r="AC98">
        <v>25.5502</v>
      </c>
      <c r="AD98">
        <v>25.730699999999999</v>
      </c>
      <c r="AE98">
        <v>25.844999999999999</v>
      </c>
      <c r="AF98">
        <v>25.492999999999999</v>
      </c>
      <c r="AG98">
        <v>26.272500000000001</v>
      </c>
      <c r="AH98">
        <v>26.4316</v>
      </c>
      <c r="AI98">
        <v>26.590699999999998</v>
      </c>
      <c r="AJ98">
        <v>26.7498</v>
      </c>
      <c r="AK98">
        <v>792.60080000000005</v>
      </c>
    </row>
    <row r="99" spans="1:37">
      <c r="A99" t="s">
        <v>19</v>
      </c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>
      <c r="A100" t="s">
        <v>19</v>
      </c>
      <c r="B100" s="29" t="s">
        <v>186</v>
      </c>
      <c r="C100">
        <v>210.93</v>
      </c>
      <c r="D100">
        <v>219.47399999999999</v>
      </c>
      <c r="E100">
        <v>228.55199999999999</v>
      </c>
      <c r="F100">
        <v>237.63</v>
      </c>
      <c r="G100">
        <v>246.97499999999999</v>
      </c>
      <c r="H100">
        <v>256.053</v>
      </c>
      <c r="I100">
        <v>268.33499999999998</v>
      </c>
      <c r="J100">
        <v>280.34989999999999</v>
      </c>
      <c r="K100">
        <v>292.63189999999997</v>
      </c>
      <c r="L100">
        <v>304.91390000000001</v>
      </c>
      <c r="M100">
        <v>316.9289</v>
      </c>
      <c r="N100">
        <v>333.21589999999998</v>
      </c>
      <c r="O100">
        <v>349.76990000000001</v>
      </c>
      <c r="P100">
        <v>366.05689999999998</v>
      </c>
      <c r="Q100">
        <v>382.34390000000002</v>
      </c>
      <c r="R100">
        <v>398.6309</v>
      </c>
      <c r="S100">
        <v>421.85989999999998</v>
      </c>
      <c r="T100">
        <v>445.08890000000002</v>
      </c>
      <c r="U100">
        <v>468.31790000000001</v>
      </c>
      <c r="V100">
        <v>514.77589999999998</v>
      </c>
      <c r="W100">
        <v>514.77589999999998</v>
      </c>
      <c r="X100">
        <v>547.61689999999999</v>
      </c>
      <c r="Y100">
        <v>580.19090000000006</v>
      </c>
      <c r="Z100">
        <v>613.03189999999995</v>
      </c>
      <c r="AA100">
        <v>645.87289999999996</v>
      </c>
      <c r="AB100">
        <v>678.71389999999997</v>
      </c>
      <c r="AC100">
        <v>723.56989999999996</v>
      </c>
      <c r="AD100">
        <v>768.42579999999998</v>
      </c>
      <c r="AE100">
        <v>813.28179999999998</v>
      </c>
      <c r="AF100">
        <v>927.02380000000005</v>
      </c>
      <c r="AG100">
        <v>902.99379999999996</v>
      </c>
      <c r="AH100">
        <v>961.46680000000003</v>
      </c>
      <c r="AI100">
        <v>1019.9398</v>
      </c>
      <c r="AJ100">
        <v>1078.4128000000001</v>
      </c>
      <c r="AK100">
        <v>17318.150600000001</v>
      </c>
    </row>
    <row r="101" spans="1:37">
      <c r="A101" t="s">
        <v>19</v>
      </c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19</v>
      </c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19</v>
      </c>
      <c r="B103" s="29" t="s">
        <v>189</v>
      </c>
      <c r="C103">
        <v>22.358799999999999</v>
      </c>
      <c r="D103">
        <v>22.9285</v>
      </c>
      <c r="E103">
        <v>23.4863</v>
      </c>
      <c r="F103">
        <v>24.033200000000001</v>
      </c>
      <c r="G103">
        <v>24.5703</v>
      </c>
      <c r="H103">
        <v>25.104600000000001</v>
      </c>
      <c r="I103">
        <v>25.605899999999998</v>
      </c>
      <c r="J103">
        <v>26.099399999999999</v>
      </c>
      <c r="K103">
        <v>26.591899999999999</v>
      </c>
      <c r="L103">
        <v>27.0715</v>
      </c>
      <c r="M103">
        <v>28.294699999999999</v>
      </c>
      <c r="N103">
        <v>28.675000000000001</v>
      </c>
      <c r="O103">
        <v>29.063400000000001</v>
      </c>
      <c r="P103">
        <v>29.446300000000001</v>
      </c>
      <c r="Q103">
        <v>29.8294</v>
      </c>
      <c r="R103">
        <v>30.219000000000001</v>
      </c>
      <c r="S103">
        <v>30.5684</v>
      </c>
      <c r="T103">
        <v>30.923300000000001</v>
      </c>
      <c r="U103">
        <v>31.276900000000001</v>
      </c>
      <c r="V103">
        <v>31.628900000000002</v>
      </c>
      <c r="W103">
        <v>32.0381</v>
      </c>
      <c r="X103">
        <v>32.374600000000001</v>
      </c>
      <c r="Y103">
        <v>32.698</v>
      </c>
      <c r="Z103">
        <v>33.021999999999998</v>
      </c>
      <c r="AA103">
        <v>33.340699999999998</v>
      </c>
      <c r="AB103">
        <v>33.654499999999999</v>
      </c>
      <c r="AC103">
        <v>33.930199999999999</v>
      </c>
      <c r="AD103">
        <v>34.195099999999996</v>
      </c>
      <c r="AE103">
        <v>34.462899999999998</v>
      </c>
      <c r="AF103">
        <v>34.727400000000003</v>
      </c>
      <c r="AG103">
        <v>35.268599999999999</v>
      </c>
      <c r="AH103">
        <v>35.472999999999999</v>
      </c>
      <c r="AI103">
        <v>35.670499999999997</v>
      </c>
      <c r="AJ103">
        <v>35.868099999999998</v>
      </c>
      <c r="AK103">
        <v>1024.4993999999999</v>
      </c>
    </row>
    <row r="104" spans="1:37">
      <c r="A104" t="s">
        <v>19</v>
      </c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19</v>
      </c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19</v>
      </c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19</v>
      </c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19</v>
      </c>
      <c r="B108" s="29" t="s">
        <v>194</v>
      </c>
      <c r="C108">
        <v>178.72059999999999</v>
      </c>
      <c r="D108">
        <v>188.15649999999999</v>
      </c>
      <c r="E108">
        <v>197.59710000000001</v>
      </c>
      <c r="F108">
        <v>207.03989999999999</v>
      </c>
      <c r="G108">
        <v>216.48249999999999</v>
      </c>
      <c r="H108">
        <v>225.91970000000001</v>
      </c>
      <c r="I108">
        <v>235.83860000000001</v>
      </c>
      <c r="J108">
        <v>245.7516</v>
      </c>
      <c r="K108">
        <v>255.66059999999999</v>
      </c>
      <c r="L108">
        <v>265.56459999999998</v>
      </c>
      <c r="M108">
        <v>278.80130000000003</v>
      </c>
      <c r="N108">
        <v>288.45190000000002</v>
      </c>
      <c r="O108">
        <v>298.10899999999998</v>
      </c>
      <c r="P108">
        <v>307.76440000000002</v>
      </c>
      <c r="Q108">
        <v>317.42419999999998</v>
      </c>
      <c r="R108">
        <v>327.08429999999998</v>
      </c>
      <c r="S108">
        <v>336.45740000000001</v>
      </c>
      <c r="T108">
        <v>345.82920000000001</v>
      </c>
      <c r="U108">
        <v>355.19909999999999</v>
      </c>
      <c r="V108">
        <v>364.5702</v>
      </c>
      <c r="W108">
        <v>374.5068</v>
      </c>
      <c r="X108">
        <v>382.87990000000002</v>
      </c>
      <c r="Y108">
        <v>391.24860000000001</v>
      </c>
      <c r="Z108">
        <v>399.60629999999998</v>
      </c>
      <c r="AA108">
        <v>407.96069999999997</v>
      </c>
      <c r="AB108">
        <v>416.30500000000001</v>
      </c>
      <c r="AC108">
        <v>423.12540000000001</v>
      </c>
      <c r="AD108">
        <v>429.93599999999998</v>
      </c>
      <c r="AE108">
        <v>436.74459999999999</v>
      </c>
      <c r="AF108">
        <v>443.548</v>
      </c>
      <c r="AG108">
        <v>450.89830000000001</v>
      </c>
      <c r="AH108">
        <v>456.03739999999999</v>
      </c>
      <c r="AI108">
        <v>461.17660000000001</v>
      </c>
      <c r="AJ108">
        <v>466.31580000000002</v>
      </c>
      <c r="AK108">
        <v>11376.712100000002</v>
      </c>
    </row>
    <row r="109" spans="1:37">
      <c r="A109" t="s">
        <v>19</v>
      </c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19</v>
      </c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19</v>
      </c>
      <c r="B111" s="29" t="s">
        <v>197</v>
      </c>
      <c r="C111">
        <v>0.48</v>
      </c>
      <c r="D111">
        <v>0.48</v>
      </c>
      <c r="E111">
        <v>0.48</v>
      </c>
      <c r="F111">
        <v>0.48</v>
      </c>
      <c r="G111">
        <v>0.48</v>
      </c>
      <c r="H111">
        <v>0.48</v>
      </c>
      <c r="I111">
        <v>0.48</v>
      </c>
      <c r="J111">
        <v>0.48</v>
      </c>
      <c r="K111">
        <v>0.48</v>
      </c>
      <c r="L111">
        <v>0.45600000000000002</v>
      </c>
      <c r="M111">
        <v>0.45600000000000002</v>
      </c>
      <c r="N111">
        <v>0.45600000000000002</v>
      </c>
      <c r="O111">
        <v>0.45600000000000002</v>
      </c>
      <c r="P111">
        <v>0.45600000000000002</v>
      </c>
      <c r="Q111">
        <v>0.45600000000000002</v>
      </c>
      <c r="R111">
        <v>0.45600000000000002</v>
      </c>
      <c r="S111">
        <v>0.45600000000000002</v>
      </c>
      <c r="T111">
        <v>0.45600000000000002</v>
      </c>
      <c r="U111">
        <v>0.45600000000000002</v>
      </c>
      <c r="V111">
        <v>0.45600000000000002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9.3360000000000021</v>
      </c>
    </row>
    <row r="112" spans="1:37">
      <c r="A112" t="s">
        <v>19</v>
      </c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19</v>
      </c>
      <c r="B113" s="29" t="s">
        <v>199</v>
      </c>
      <c r="C113">
        <v>0</v>
      </c>
      <c r="D113">
        <v>0</v>
      </c>
      <c r="E113">
        <v>0.24</v>
      </c>
      <c r="F113">
        <v>0.24</v>
      </c>
      <c r="G113">
        <v>0.48</v>
      </c>
      <c r="H113">
        <v>0.51349999999999996</v>
      </c>
      <c r="I113">
        <v>0.75349999999999995</v>
      </c>
      <c r="J113">
        <v>0.99350000000000005</v>
      </c>
      <c r="K113">
        <v>0.99350000000000005</v>
      </c>
      <c r="L113">
        <v>1.2559</v>
      </c>
      <c r="M113">
        <v>1.5921000000000001</v>
      </c>
      <c r="N113">
        <v>1.7359</v>
      </c>
      <c r="O113">
        <v>1.7359</v>
      </c>
      <c r="P113">
        <v>1.9759</v>
      </c>
      <c r="Q113">
        <v>2.2159</v>
      </c>
      <c r="R113">
        <v>2.4559000000000002</v>
      </c>
      <c r="S113">
        <v>2.6959</v>
      </c>
      <c r="T113">
        <v>2.9359000000000002</v>
      </c>
      <c r="U113">
        <v>3.1758999999999999</v>
      </c>
      <c r="V113">
        <v>3.6558999999999999</v>
      </c>
      <c r="W113">
        <v>4.32</v>
      </c>
      <c r="X113">
        <v>4.5599999999999996</v>
      </c>
      <c r="Y113">
        <v>5.04</v>
      </c>
      <c r="Z113">
        <v>5.52</v>
      </c>
      <c r="AA113">
        <v>5.76</v>
      </c>
      <c r="AB113">
        <v>6.24</v>
      </c>
      <c r="AC113">
        <v>6.72</v>
      </c>
      <c r="AD113">
        <v>7.2</v>
      </c>
      <c r="AE113">
        <v>7.68</v>
      </c>
      <c r="AF113">
        <v>8.16</v>
      </c>
      <c r="AG113">
        <v>8.64</v>
      </c>
      <c r="AH113">
        <v>9.36</v>
      </c>
      <c r="AI113">
        <v>9.84</v>
      </c>
      <c r="AJ113">
        <v>10.56</v>
      </c>
      <c r="AK113">
        <v>129.24510000000001</v>
      </c>
    </row>
    <row r="114" spans="1:37">
      <c r="A114" t="s">
        <v>19</v>
      </c>
      <c r="B114" s="29" t="s">
        <v>200</v>
      </c>
      <c r="C114">
        <v>0.48</v>
      </c>
      <c r="D114">
        <v>0.48</v>
      </c>
      <c r="E114">
        <v>0.48</v>
      </c>
      <c r="F114">
        <v>0.48</v>
      </c>
      <c r="G114">
        <v>0.48</v>
      </c>
      <c r="H114">
        <v>0.48</v>
      </c>
      <c r="I114">
        <v>0.48</v>
      </c>
      <c r="J114">
        <v>0.48</v>
      </c>
      <c r="K114">
        <v>0.48</v>
      </c>
      <c r="L114">
        <v>0.45600000000000002</v>
      </c>
      <c r="M114">
        <v>0.45600000000000002</v>
      </c>
      <c r="N114">
        <v>0.45600000000000002</v>
      </c>
      <c r="O114">
        <v>0.45600000000000002</v>
      </c>
      <c r="P114">
        <v>0.45600000000000002</v>
      </c>
      <c r="Q114">
        <v>0.45600000000000002</v>
      </c>
      <c r="R114">
        <v>0.45600000000000002</v>
      </c>
      <c r="S114">
        <v>0.45600000000000002</v>
      </c>
      <c r="T114">
        <v>0.45600000000000002</v>
      </c>
      <c r="U114">
        <v>0.45600000000000002</v>
      </c>
      <c r="V114">
        <v>0.45600000000000002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9.3360000000000021</v>
      </c>
    </row>
    <row r="115" spans="1:37">
      <c r="A115" t="s">
        <v>19</v>
      </c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19</v>
      </c>
      <c r="B116" s="29" t="s">
        <v>202</v>
      </c>
      <c r="C116">
        <v>0</v>
      </c>
      <c r="D116">
        <v>0</v>
      </c>
      <c r="E116">
        <v>0.24</v>
      </c>
      <c r="F116">
        <v>0.24</v>
      </c>
      <c r="G116">
        <v>0.48</v>
      </c>
      <c r="H116">
        <v>0.51349999999999996</v>
      </c>
      <c r="I116">
        <v>0.75349999999999995</v>
      </c>
      <c r="J116">
        <v>0.75349999999999995</v>
      </c>
      <c r="K116">
        <v>0.99350000000000005</v>
      </c>
      <c r="L116">
        <v>1.0159</v>
      </c>
      <c r="M116">
        <v>1.3521000000000001</v>
      </c>
      <c r="N116">
        <v>1.4959</v>
      </c>
      <c r="O116">
        <v>1.4959</v>
      </c>
      <c r="P116">
        <v>1.7359</v>
      </c>
      <c r="Q116">
        <v>1.9759</v>
      </c>
      <c r="R116">
        <v>2.2159</v>
      </c>
      <c r="S116">
        <v>2.4559000000000002</v>
      </c>
      <c r="T116">
        <v>2.6959</v>
      </c>
      <c r="U116">
        <v>2.9359000000000002</v>
      </c>
      <c r="V116">
        <v>3.1758999999999999</v>
      </c>
      <c r="W116">
        <v>3.84</v>
      </c>
      <c r="X116">
        <v>4.32</v>
      </c>
      <c r="Y116">
        <v>4.5599999999999996</v>
      </c>
      <c r="Z116">
        <v>4.8</v>
      </c>
      <c r="AA116">
        <v>5.28</v>
      </c>
      <c r="AB116">
        <v>5.52</v>
      </c>
      <c r="AC116">
        <v>6</v>
      </c>
      <c r="AD116">
        <v>6.48</v>
      </c>
      <c r="AE116">
        <v>6.96</v>
      </c>
      <c r="AF116">
        <v>7.44</v>
      </c>
      <c r="AG116">
        <v>7.92</v>
      </c>
      <c r="AH116">
        <v>8.4</v>
      </c>
      <c r="AI116">
        <v>8.8800000000000008</v>
      </c>
      <c r="AJ116">
        <v>9.6</v>
      </c>
      <c r="AK116">
        <v>116.52509999999999</v>
      </c>
    </row>
    <row r="117" spans="1:37">
      <c r="A117" t="s">
        <v>19</v>
      </c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19</v>
      </c>
      <c r="B118" s="29" t="s">
        <v>204</v>
      </c>
      <c r="C118">
        <v>2364000</v>
      </c>
      <c r="D118">
        <v>2547041.5</v>
      </c>
      <c r="E118">
        <v>2730161.5</v>
      </c>
      <c r="F118">
        <v>2913275.4</v>
      </c>
      <c r="G118">
        <v>3096389.4</v>
      </c>
      <c r="H118">
        <v>3279503.3</v>
      </c>
      <c r="I118">
        <v>3489521.3</v>
      </c>
      <c r="J118">
        <v>3699539.3</v>
      </c>
      <c r="K118">
        <v>3909557.2</v>
      </c>
      <c r="L118">
        <v>4119575.2</v>
      </c>
      <c r="M118">
        <v>4329587.0999999996</v>
      </c>
      <c r="N118">
        <v>4554875.0999999996</v>
      </c>
      <c r="O118">
        <v>4780157</v>
      </c>
      <c r="P118">
        <v>5005445</v>
      </c>
      <c r="Q118">
        <v>5230727</v>
      </c>
      <c r="R118">
        <v>5456008.9000000004</v>
      </c>
      <c r="S118">
        <v>5701846.9000000004</v>
      </c>
      <c r="T118">
        <v>5947678.7999999998</v>
      </c>
      <c r="U118">
        <v>6193510.7999999998</v>
      </c>
      <c r="V118">
        <v>6685180.7000000002</v>
      </c>
      <c r="W118">
        <v>6685180.7000000002</v>
      </c>
      <c r="X118">
        <v>6950146.5999999996</v>
      </c>
      <c r="Y118">
        <v>7215118.5999999996</v>
      </c>
      <c r="Z118">
        <v>7480084.5</v>
      </c>
      <c r="AA118">
        <v>7745050.5</v>
      </c>
      <c r="AB118">
        <v>8010022.4000000004</v>
      </c>
      <c r="AC118">
        <v>8292766.2999999998</v>
      </c>
      <c r="AD118">
        <v>8575504.3000000007</v>
      </c>
      <c r="AE118">
        <v>8858248.1999999993</v>
      </c>
      <c r="AF118">
        <v>9765148.0999999996</v>
      </c>
      <c r="AG118">
        <v>9423736.0999999996</v>
      </c>
      <c r="AH118">
        <v>9718996.0999999996</v>
      </c>
      <c r="AI118">
        <v>10014262</v>
      </c>
      <c r="AJ118">
        <v>10309522</v>
      </c>
      <c r="AK118">
        <v>205077367.79999998</v>
      </c>
    </row>
    <row r="119" spans="1:37">
      <c r="A119" t="s">
        <v>19</v>
      </c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19</v>
      </c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19</v>
      </c>
      <c r="B121" s="29" t="s">
        <v>207</v>
      </c>
      <c r="C121">
        <v>80.397800000000004</v>
      </c>
      <c r="D121">
        <v>86.825000000000003</v>
      </c>
      <c r="E121">
        <v>93.300299999999993</v>
      </c>
      <c r="F121">
        <v>99.815100000000001</v>
      </c>
      <c r="G121">
        <v>106.36150000000001</v>
      </c>
      <c r="H121">
        <v>112.93300000000001</v>
      </c>
      <c r="I121">
        <v>120.7256</v>
      </c>
      <c r="J121">
        <v>128.54810000000001</v>
      </c>
      <c r="K121">
        <v>136.40459999999999</v>
      </c>
      <c r="L121">
        <v>144.2885</v>
      </c>
      <c r="M121">
        <v>159.78809999999999</v>
      </c>
      <c r="N121">
        <v>168.74959999999999</v>
      </c>
      <c r="O121">
        <v>177.738</v>
      </c>
      <c r="P121">
        <v>186.76050000000001</v>
      </c>
      <c r="Q121">
        <v>195.81219999999999</v>
      </c>
      <c r="R121">
        <v>204.9014</v>
      </c>
      <c r="S121">
        <v>215.8845</v>
      </c>
      <c r="T121">
        <v>226.88120000000001</v>
      </c>
      <c r="U121">
        <v>237.91309999999999</v>
      </c>
      <c r="V121">
        <v>248.96299999999999</v>
      </c>
      <c r="W121">
        <v>261.637</v>
      </c>
      <c r="X121">
        <v>274.57</v>
      </c>
      <c r="Y121">
        <v>287.49349999999998</v>
      </c>
      <c r="Z121">
        <v>300.4058</v>
      </c>
      <c r="AA121">
        <v>313.3057</v>
      </c>
      <c r="AB121">
        <v>326.19229999999999</v>
      </c>
      <c r="AC121">
        <v>340.16160000000002</v>
      </c>
      <c r="AD121">
        <v>354.11930000000001</v>
      </c>
      <c r="AE121">
        <v>368.07850000000002</v>
      </c>
      <c r="AF121">
        <v>382.012</v>
      </c>
      <c r="AG121">
        <v>399.15350000000001</v>
      </c>
      <c r="AH121">
        <v>412.97570000000002</v>
      </c>
      <c r="AI121">
        <v>426.81150000000002</v>
      </c>
      <c r="AJ121">
        <v>440.6474</v>
      </c>
      <c r="AK121">
        <v>8020.5549000000001</v>
      </c>
    </row>
    <row r="122" spans="1:37">
      <c r="A122" t="s">
        <v>19</v>
      </c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19</v>
      </c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19</v>
      </c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>
      <c r="A125" t="s">
        <v>19</v>
      </c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19</v>
      </c>
      <c r="B126" s="29" t="s">
        <v>212</v>
      </c>
      <c r="C126">
        <v>210.65440000000001</v>
      </c>
      <c r="D126">
        <v>223.19800000000001</v>
      </c>
      <c r="E126">
        <v>236.047</v>
      </c>
      <c r="F126">
        <v>248.91480000000001</v>
      </c>
      <c r="G126">
        <v>261.80829999999997</v>
      </c>
      <c r="H126">
        <v>274.72480000000002</v>
      </c>
      <c r="I126">
        <v>290.5308</v>
      </c>
      <c r="J126">
        <v>306.36470000000003</v>
      </c>
      <c r="K126">
        <v>322.233</v>
      </c>
      <c r="L126">
        <v>338.11380000000003</v>
      </c>
      <c r="M126">
        <v>355.58670000000001</v>
      </c>
      <c r="N126">
        <v>374.57159999999999</v>
      </c>
      <c r="O126">
        <v>393.58690000000001</v>
      </c>
      <c r="P126">
        <v>412.6198</v>
      </c>
      <c r="Q126">
        <v>431.6671</v>
      </c>
      <c r="R126">
        <v>450.71629999999999</v>
      </c>
      <c r="S126">
        <v>473.91480000000001</v>
      </c>
      <c r="T126">
        <v>497.1173</v>
      </c>
      <c r="U126">
        <v>520.34050000000002</v>
      </c>
      <c r="V126">
        <v>543.56259999999997</v>
      </c>
      <c r="W126">
        <v>568.25250000000005</v>
      </c>
      <c r="X126">
        <v>595.28989999999999</v>
      </c>
      <c r="Y126">
        <v>622.31240000000003</v>
      </c>
      <c r="Z126">
        <v>649.33860000000004</v>
      </c>
      <c r="AA126">
        <v>676.35810000000004</v>
      </c>
      <c r="AB126">
        <v>703.37030000000004</v>
      </c>
      <c r="AC126">
        <v>732.74109999999996</v>
      </c>
      <c r="AD126">
        <v>762.1155</v>
      </c>
      <c r="AE126">
        <v>791.48329999999999</v>
      </c>
      <c r="AF126">
        <v>820.84450000000004</v>
      </c>
      <c r="AG126">
        <v>851.92960000000005</v>
      </c>
      <c r="AH126">
        <v>881.46109999999999</v>
      </c>
      <c r="AI126">
        <v>910.98270000000002</v>
      </c>
      <c r="AJ126">
        <v>940.50440000000003</v>
      </c>
      <c r="AK126">
        <v>17673.2572</v>
      </c>
    </row>
    <row r="127" spans="1:37">
      <c r="A127" t="s">
        <v>19</v>
      </c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19</v>
      </c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19</v>
      </c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19</v>
      </c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19</v>
      </c>
      <c r="B131" s="29" t="s">
        <v>217</v>
      </c>
      <c r="C131">
        <v>28.928799999999999</v>
      </c>
      <c r="D131">
        <v>30.689699999999998</v>
      </c>
      <c r="E131">
        <v>32.455199999999998</v>
      </c>
      <c r="F131">
        <v>34.224499999999999</v>
      </c>
      <c r="G131">
        <v>35.997300000000003</v>
      </c>
      <c r="H131">
        <v>37.773299999999999</v>
      </c>
      <c r="I131">
        <v>39.949300000000001</v>
      </c>
      <c r="J131">
        <v>42.125100000000003</v>
      </c>
      <c r="K131">
        <v>44.308399999999999</v>
      </c>
      <c r="L131">
        <v>46.490699999999997</v>
      </c>
      <c r="M131">
        <v>48.891800000000003</v>
      </c>
      <c r="N131">
        <v>51.504899999999999</v>
      </c>
      <c r="O131">
        <v>54.116900000000001</v>
      </c>
      <c r="P131">
        <v>56.735199999999999</v>
      </c>
      <c r="Q131">
        <v>59.355600000000003</v>
      </c>
      <c r="R131">
        <v>61.973500000000001</v>
      </c>
      <c r="S131">
        <v>65.164599999999993</v>
      </c>
      <c r="T131">
        <v>68.3536</v>
      </c>
      <c r="U131">
        <v>71.548199999999994</v>
      </c>
      <c r="V131">
        <v>74.739900000000006</v>
      </c>
      <c r="W131">
        <v>78.136099999999999</v>
      </c>
      <c r="X131">
        <v>81.852400000000003</v>
      </c>
      <c r="Y131">
        <v>85.567999999999998</v>
      </c>
      <c r="Z131">
        <v>89.282700000000006</v>
      </c>
      <c r="AA131">
        <v>93.000600000000006</v>
      </c>
      <c r="AB131">
        <v>96.713399999999993</v>
      </c>
      <c r="AC131">
        <v>100.75190000000001</v>
      </c>
      <c r="AD131">
        <v>104.7895</v>
      </c>
      <c r="AE131">
        <v>108.83029999999999</v>
      </c>
      <c r="AF131">
        <v>112.8661</v>
      </c>
      <c r="AG131">
        <v>117.1403</v>
      </c>
      <c r="AH131">
        <v>121.2022</v>
      </c>
      <c r="AI131">
        <v>125.26009999999999</v>
      </c>
      <c r="AJ131">
        <v>129.31800000000001</v>
      </c>
      <c r="AK131">
        <v>2430.0381000000002</v>
      </c>
    </row>
    <row r="132" spans="1:37">
      <c r="A132" t="s">
        <v>19</v>
      </c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B134" s="29" t="s">
        <v>228</v>
      </c>
    </row>
    <row r="464" spans="25:25">
      <c r="Y464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20"/>
  <sheetViews>
    <sheetView topLeftCell="A127" zoomScale="80" zoomScaleNormal="80" workbookViewId="0">
      <selection activeCell="B3" sqref="B3:AK134"/>
    </sheetView>
  </sheetViews>
  <sheetFormatPr defaultColWidth="8.77734375" defaultRowHeight="14.4"/>
  <cols>
    <col min="1" max="1" width="12.6640625" bestFit="1" customWidth="1"/>
    <col min="2" max="2" width="36" bestFit="1" customWidth="1"/>
  </cols>
  <sheetData>
    <row r="1" spans="1:37">
      <c r="A1" t="s">
        <v>21</v>
      </c>
    </row>
    <row r="2" spans="1:37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7">
      <c r="A3" t="s">
        <v>19</v>
      </c>
      <c r="B3" s="29" t="s">
        <v>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>
      <c r="A4" t="s">
        <v>19</v>
      </c>
      <c r="B4" s="29" t="s">
        <v>90</v>
      </c>
      <c r="C4">
        <v>2.9990000000000001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2.9990000000000001</v>
      </c>
    </row>
    <row r="5" spans="1:37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>
      <c r="A7" t="s">
        <v>19</v>
      </c>
      <c r="B7" s="29" t="s">
        <v>93</v>
      </c>
      <c r="C7">
        <v>47.114699999999999</v>
      </c>
      <c r="D7">
        <v>1.9432</v>
      </c>
      <c r="E7">
        <v>1.3465</v>
      </c>
      <c r="F7">
        <v>1.3559000000000001</v>
      </c>
      <c r="G7">
        <v>1.3643000000000001</v>
      </c>
      <c r="H7">
        <v>1.3720000000000001</v>
      </c>
      <c r="I7">
        <v>1.4878</v>
      </c>
      <c r="J7">
        <v>1.4944</v>
      </c>
      <c r="K7">
        <v>1.5004</v>
      </c>
      <c r="L7">
        <v>1.5058</v>
      </c>
      <c r="M7">
        <v>1.5544</v>
      </c>
      <c r="N7">
        <v>1.7539</v>
      </c>
      <c r="O7">
        <v>1.7539</v>
      </c>
      <c r="P7">
        <v>1.7539</v>
      </c>
      <c r="Q7">
        <v>1.7539</v>
      </c>
      <c r="R7">
        <v>1.7539</v>
      </c>
      <c r="S7">
        <v>2.0697000000000001</v>
      </c>
      <c r="T7">
        <v>2.0697000000000001</v>
      </c>
      <c r="U7">
        <v>2.0697000000000001</v>
      </c>
      <c r="V7">
        <v>2.0697000000000001</v>
      </c>
      <c r="W7">
        <v>1.4297</v>
      </c>
      <c r="X7">
        <v>0</v>
      </c>
      <c r="Y7">
        <v>0</v>
      </c>
      <c r="Z7">
        <v>0</v>
      </c>
      <c r="AA7">
        <v>0</v>
      </c>
      <c r="AB7">
        <v>26.765699999999999</v>
      </c>
      <c r="AC7">
        <v>0</v>
      </c>
      <c r="AD7">
        <v>0</v>
      </c>
      <c r="AE7">
        <v>0</v>
      </c>
      <c r="AF7">
        <v>0</v>
      </c>
      <c r="AG7">
        <v>64.020899999999997</v>
      </c>
      <c r="AH7">
        <v>4.4448999999999996</v>
      </c>
      <c r="AI7">
        <v>4.4448999999999996</v>
      </c>
      <c r="AJ7">
        <v>4.4448999999999996</v>
      </c>
      <c r="AK7">
        <v>184.63869999999994</v>
      </c>
    </row>
    <row r="8" spans="1:37">
      <c r="A8" t="s">
        <v>19</v>
      </c>
      <c r="B8" s="29" t="s">
        <v>94</v>
      </c>
      <c r="C8">
        <v>10.9168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10.9168</v>
      </c>
    </row>
    <row r="9" spans="1:37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>
      <c r="A10" t="s">
        <v>19</v>
      </c>
      <c r="B10" s="29" t="s">
        <v>96</v>
      </c>
      <c r="C10">
        <v>14270.519</v>
      </c>
      <c r="D10">
        <v>369.98750000000001</v>
      </c>
      <c r="E10">
        <v>369.98750000000001</v>
      </c>
      <c r="F10">
        <v>376.4785</v>
      </c>
      <c r="G10">
        <v>382.96960000000001</v>
      </c>
      <c r="H10">
        <v>389.4606</v>
      </c>
      <c r="I10">
        <v>425.9008</v>
      </c>
      <c r="J10">
        <v>432.8827</v>
      </c>
      <c r="K10">
        <v>439.86470000000003</v>
      </c>
      <c r="L10">
        <v>453.82870000000003</v>
      </c>
      <c r="M10">
        <v>460.81060000000002</v>
      </c>
      <c r="N10">
        <v>525.43669999999997</v>
      </c>
      <c r="O10">
        <v>533.279</v>
      </c>
      <c r="P10">
        <v>533.279</v>
      </c>
      <c r="Q10">
        <v>498.57740000000001</v>
      </c>
      <c r="R10">
        <v>17770.378000000001</v>
      </c>
      <c r="S10">
        <v>1037.4188999999999</v>
      </c>
      <c r="T10">
        <v>1037.4188999999999</v>
      </c>
      <c r="U10">
        <v>1052.454</v>
      </c>
      <c r="V10">
        <v>1052.454</v>
      </c>
      <c r="W10">
        <v>1052.454</v>
      </c>
      <c r="X10">
        <v>1184.893</v>
      </c>
      <c r="Y10">
        <v>1201.82</v>
      </c>
      <c r="Z10">
        <v>1201.82</v>
      </c>
      <c r="AA10">
        <v>1201.82</v>
      </c>
      <c r="AB10">
        <v>1201.82</v>
      </c>
      <c r="AC10">
        <v>1361.9114</v>
      </c>
      <c r="AD10">
        <v>1361.9114</v>
      </c>
      <c r="AE10">
        <v>1381.0932</v>
      </c>
      <c r="AF10">
        <v>1336.6994999999999</v>
      </c>
      <c r="AG10">
        <v>19359.448</v>
      </c>
      <c r="AH10">
        <v>1980.1654000000001</v>
      </c>
      <c r="AI10">
        <v>1980.1652999999999</v>
      </c>
      <c r="AJ10">
        <v>1980.1654000000001</v>
      </c>
      <c r="AK10">
        <v>80199.572699999961</v>
      </c>
    </row>
    <row r="11" spans="1:37">
      <c r="A11" t="s">
        <v>19</v>
      </c>
      <c r="B11" s="29" t="s">
        <v>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19</v>
      </c>
      <c r="B12" s="29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>
      <c r="A13" t="s">
        <v>19</v>
      </c>
      <c r="B13" s="29" t="s">
        <v>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>
      <c r="A14" t="s">
        <v>19</v>
      </c>
      <c r="B14" s="29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19</v>
      </c>
      <c r="B15" s="29" t="s">
        <v>101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>
      <c r="A16" t="s">
        <v>19</v>
      </c>
      <c r="B16" s="29" t="s">
        <v>102</v>
      </c>
      <c r="C16">
        <v>22705.575000000001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22705.575000000001</v>
      </c>
    </row>
    <row r="17" spans="1:37">
      <c r="A17" t="s">
        <v>19</v>
      </c>
      <c r="B17" s="29" t="s">
        <v>103</v>
      </c>
      <c r="C17">
        <v>0</v>
      </c>
      <c r="D17">
        <v>24041.418000000001</v>
      </c>
      <c r="E17">
        <v>369.52280000000002</v>
      </c>
      <c r="F17">
        <v>369.4228</v>
      </c>
      <c r="G17">
        <v>380.7509</v>
      </c>
      <c r="H17">
        <v>689.13289999999995</v>
      </c>
      <c r="I17">
        <v>350.09570000000002</v>
      </c>
      <c r="J17">
        <v>349.01260000000002</v>
      </c>
      <c r="K17">
        <v>345.19670000000002</v>
      </c>
      <c r="L17">
        <v>353.45769999999999</v>
      </c>
      <c r="M17">
        <v>350.04680000000002</v>
      </c>
      <c r="N17">
        <v>322.57650000000001</v>
      </c>
      <c r="O17">
        <v>242.7636</v>
      </c>
      <c r="P17">
        <v>323.24799999999999</v>
      </c>
      <c r="Q17">
        <v>316.29649999999998</v>
      </c>
      <c r="R17">
        <v>1194.3525999999999</v>
      </c>
      <c r="S17">
        <v>24327.218000000001</v>
      </c>
      <c r="T17">
        <v>655.32270000000005</v>
      </c>
      <c r="U17">
        <v>655.32270000000005</v>
      </c>
      <c r="V17">
        <v>666.55079999999998</v>
      </c>
      <c r="W17">
        <v>975.03290000000004</v>
      </c>
      <c r="X17">
        <v>603.99559999999997</v>
      </c>
      <c r="Y17">
        <v>602.9126</v>
      </c>
      <c r="Z17">
        <v>599.09659999999997</v>
      </c>
      <c r="AA17">
        <v>607.35770000000002</v>
      </c>
      <c r="AB17">
        <v>604.04679999999996</v>
      </c>
      <c r="AC17">
        <v>542.27639999999997</v>
      </c>
      <c r="AD17">
        <v>462.46359999999999</v>
      </c>
      <c r="AE17">
        <v>542.9479</v>
      </c>
      <c r="AF17">
        <v>536.09640000000002</v>
      </c>
      <c r="AG17">
        <v>1414.0525</v>
      </c>
      <c r="AH17">
        <v>24516.817999999999</v>
      </c>
      <c r="AI17">
        <v>844.82270000000005</v>
      </c>
      <c r="AJ17">
        <v>844.92269999999996</v>
      </c>
      <c r="AK17">
        <v>89998.550699999978</v>
      </c>
    </row>
    <row r="18" spans="1:37">
      <c r="A18" t="s">
        <v>19</v>
      </c>
      <c r="B18" s="29" t="s">
        <v>104</v>
      </c>
      <c r="C18">
        <v>1111.3743999999999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1111.3743999999999</v>
      </c>
    </row>
    <row r="19" spans="1:37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19</v>
      </c>
      <c r="B21" s="29" t="s">
        <v>107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>
      <c r="A22" t="s">
        <v>19</v>
      </c>
      <c r="B22" s="29" t="s">
        <v>108</v>
      </c>
      <c r="C22">
        <v>349.9581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349.9581</v>
      </c>
    </row>
    <row r="23" spans="1:37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19</v>
      </c>
      <c r="B24" s="29" t="s">
        <v>110</v>
      </c>
      <c r="C24">
        <v>690.83529999999996</v>
      </c>
      <c r="D24">
        <v>1347.0118</v>
      </c>
      <c r="E24">
        <v>46.345199999999998</v>
      </c>
      <c r="F24">
        <v>46.082599999999999</v>
      </c>
      <c r="G24">
        <v>45.829300000000003</v>
      </c>
      <c r="H24">
        <v>45.5854</v>
      </c>
      <c r="I24">
        <v>49.068199999999997</v>
      </c>
      <c r="J24">
        <v>48.8245</v>
      </c>
      <c r="K24">
        <v>48.590800000000002</v>
      </c>
      <c r="L24">
        <v>48.366999999999997</v>
      </c>
      <c r="M24">
        <v>47.6982</v>
      </c>
      <c r="N24">
        <v>53.8005</v>
      </c>
      <c r="O24">
        <v>53.582099999999997</v>
      </c>
      <c r="P24">
        <v>53.3752</v>
      </c>
      <c r="Q24">
        <v>53.179600000000001</v>
      </c>
      <c r="R24">
        <v>52.995199999999997</v>
      </c>
      <c r="S24">
        <v>62.624200000000002</v>
      </c>
      <c r="T24">
        <v>62.430999999999997</v>
      </c>
      <c r="U24">
        <v>62.249899999999997</v>
      </c>
      <c r="V24">
        <v>62.080399999999997</v>
      </c>
      <c r="W24">
        <v>61.331299999999999</v>
      </c>
      <c r="X24">
        <v>71.045699999999997</v>
      </c>
      <c r="Y24">
        <v>70.903199999999998</v>
      </c>
      <c r="Z24">
        <v>70.819699999999997</v>
      </c>
      <c r="AA24">
        <v>69.544899999999998</v>
      </c>
      <c r="AB24">
        <v>685.53639999999996</v>
      </c>
      <c r="AC24">
        <v>1286.0038999999999</v>
      </c>
      <c r="AD24">
        <v>120.6998</v>
      </c>
      <c r="AE24">
        <v>120.57</v>
      </c>
      <c r="AF24">
        <v>120.4532</v>
      </c>
      <c r="AG24">
        <v>119.4019</v>
      </c>
      <c r="AH24">
        <v>130.55500000000001</v>
      </c>
      <c r="AI24">
        <v>130.55500000000001</v>
      </c>
      <c r="AJ24">
        <v>130.55500000000001</v>
      </c>
      <c r="AK24">
        <v>6168.5314000000008</v>
      </c>
    </row>
    <row r="25" spans="1:37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>
      <c r="A27" t="s">
        <v>19</v>
      </c>
      <c r="B27" s="29" t="s">
        <v>113</v>
      </c>
      <c r="C27">
        <v>3.5387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3.5387</v>
      </c>
    </row>
    <row r="28" spans="1:37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19</v>
      </c>
      <c r="B29" s="29" t="s">
        <v>115</v>
      </c>
      <c r="C29">
        <v>447.81939999999997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447.81939999999997</v>
      </c>
    </row>
    <row r="30" spans="1:37">
      <c r="A30" t="s">
        <v>19</v>
      </c>
      <c r="B30" s="29" t="s">
        <v>116</v>
      </c>
      <c r="C30">
        <v>349.9581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349.9581</v>
      </c>
    </row>
    <row r="31" spans="1:37">
      <c r="A31" t="s">
        <v>19</v>
      </c>
      <c r="B31" s="29" t="s">
        <v>117</v>
      </c>
      <c r="C31">
        <v>690.83529999999996</v>
      </c>
      <c r="D31">
        <v>1333.4876999999999</v>
      </c>
      <c r="E31">
        <v>46.345199999999998</v>
      </c>
      <c r="F31">
        <v>46.082599999999999</v>
      </c>
      <c r="G31">
        <v>45.829300000000003</v>
      </c>
      <c r="H31">
        <v>45.5854</v>
      </c>
      <c r="I31">
        <v>49.068199999999997</v>
      </c>
      <c r="J31">
        <v>48.8245</v>
      </c>
      <c r="K31">
        <v>48.590800000000002</v>
      </c>
      <c r="L31">
        <v>48.366999999999997</v>
      </c>
      <c r="M31">
        <v>47.6982</v>
      </c>
      <c r="N31">
        <v>53.8005</v>
      </c>
      <c r="O31">
        <v>53.582099999999997</v>
      </c>
      <c r="P31">
        <v>53.3752</v>
      </c>
      <c r="Q31">
        <v>53.179600000000001</v>
      </c>
      <c r="R31">
        <v>52.995199999999997</v>
      </c>
      <c r="S31">
        <v>62.624200000000002</v>
      </c>
      <c r="T31">
        <v>62.430999999999997</v>
      </c>
      <c r="U31">
        <v>62.249899999999997</v>
      </c>
      <c r="V31">
        <v>62.080399999999997</v>
      </c>
      <c r="W31">
        <v>61.331299999999999</v>
      </c>
      <c r="X31">
        <v>71.045699999999997</v>
      </c>
      <c r="Y31">
        <v>70.903199999999998</v>
      </c>
      <c r="Z31">
        <v>70.819699999999997</v>
      </c>
      <c r="AA31">
        <v>69.544899999999998</v>
      </c>
      <c r="AB31">
        <v>697.67</v>
      </c>
      <c r="AC31">
        <v>1273.8862999999999</v>
      </c>
      <c r="AD31">
        <v>120.6998</v>
      </c>
      <c r="AE31">
        <v>120.57</v>
      </c>
      <c r="AF31">
        <v>120.4532</v>
      </c>
      <c r="AG31">
        <v>119.4019</v>
      </c>
      <c r="AH31">
        <v>130.55500000000001</v>
      </c>
      <c r="AI31">
        <v>130.55500000000001</v>
      </c>
      <c r="AJ31">
        <v>130.55500000000001</v>
      </c>
      <c r="AK31">
        <v>6155.0233000000007</v>
      </c>
    </row>
    <row r="32" spans="1:37">
      <c r="A32" t="s">
        <v>19</v>
      </c>
      <c r="B32" s="29" t="s">
        <v>118</v>
      </c>
      <c r="C32">
        <v>0</v>
      </c>
      <c r="D32">
        <v>19.646599999999999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19.646599999999999</v>
      </c>
    </row>
    <row r="33" spans="1:37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>
      <c r="A34" t="s">
        <v>19</v>
      </c>
      <c r="B34" s="29" t="s">
        <v>120</v>
      </c>
      <c r="C34">
        <v>3.2515000000000001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3.2515000000000001</v>
      </c>
    </row>
    <row r="35" spans="1:37">
      <c r="A35" t="s">
        <v>19</v>
      </c>
      <c r="B35" s="29" t="s">
        <v>121</v>
      </c>
      <c r="C35">
        <v>448.077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448.077</v>
      </c>
    </row>
    <row r="36" spans="1:37">
      <c r="A36" t="s">
        <v>19</v>
      </c>
      <c r="B36" s="29" t="s">
        <v>122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>
      <c r="A37" t="s">
        <v>19</v>
      </c>
      <c r="B37" s="29" t="s">
        <v>123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19</v>
      </c>
      <c r="B38" s="29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19</v>
      </c>
      <c r="B39" s="29" t="s">
        <v>125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>
      <c r="A40" t="s">
        <v>19</v>
      </c>
      <c r="B40" s="29" t="s">
        <v>126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>
      <c r="A41" t="s">
        <v>19</v>
      </c>
      <c r="B41" s="29" t="s">
        <v>127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>
      <c r="A42" t="s">
        <v>19</v>
      </c>
      <c r="B42" s="29" t="s">
        <v>128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>
      <c r="A43" t="s">
        <v>19</v>
      </c>
      <c r="B43" s="29" t="s">
        <v>129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>
      <c r="A44" t="s">
        <v>19</v>
      </c>
      <c r="B44" s="29" t="s">
        <v>130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>
      <c r="A46" t="s">
        <v>19</v>
      </c>
      <c r="B46" s="29" t="s">
        <v>132</v>
      </c>
      <c r="C46">
        <v>0</v>
      </c>
      <c r="D46">
        <v>0</v>
      </c>
      <c r="E46">
        <v>369</v>
      </c>
      <c r="F46">
        <v>27</v>
      </c>
      <c r="G46">
        <v>44.55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440.55</v>
      </c>
    </row>
    <row r="47" spans="1:37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>
      <c r="A49" t="s">
        <v>19</v>
      </c>
      <c r="B49" s="29" t="s">
        <v>135</v>
      </c>
      <c r="C49">
        <v>0</v>
      </c>
      <c r="D49">
        <v>233.74</v>
      </c>
      <c r="E49">
        <v>126.49</v>
      </c>
      <c r="F49">
        <v>0</v>
      </c>
      <c r="G49">
        <v>14.56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374.79</v>
      </c>
    </row>
    <row r="50" spans="1:37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>
      <c r="A52" t="s">
        <v>19</v>
      </c>
      <c r="B52" s="29" t="s">
        <v>138</v>
      </c>
      <c r="C52">
        <v>0</v>
      </c>
      <c r="D52">
        <v>0</v>
      </c>
      <c r="E52">
        <v>16.28</v>
      </c>
      <c r="F52">
        <v>1236.7765999999999</v>
      </c>
      <c r="G52">
        <v>29.578900000000001</v>
      </c>
      <c r="H52">
        <v>157.08000000000001</v>
      </c>
      <c r="I52">
        <v>3668.8451</v>
      </c>
      <c r="J52">
        <v>3695.1111999999998</v>
      </c>
      <c r="K52">
        <v>3786.1406000000002</v>
      </c>
      <c r="L52">
        <v>853.65260000000001</v>
      </c>
      <c r="M52">
        <v>0</v>
      </c>
      <c r="N52">
        <v>0</v>
      </c>
      <c r="O52">
        <v>0</v>
      </c>
      <c r="P52">
        <v>616</v>
      </c>
      <c r="Q52">
        <v>0</v>
      </c>
      <c r="R52">
        <v>0</v>
      </c>
      <c r="S52">
        <v>477.4</v>
      </c>
      <c r="T52">
        <v>2684.88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20.094799999999999</v>
      </c>
      <c r="AH52">
        <v>0</v>
      </c>
      <c r="AI52">
        <v>0</v>
      </c>
      <c r="AJ52">
        <v>0</v>
      </c>
      <c r="AK52">
        <v>17241.839799999998</v>
      </c>
    </row>
    <row r="53" spans="1:37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>
      <c r="A56" t="s">
        <v>19</v>
      </c>
      <c r="B56" s="29" t="s">
        <v>142</v>
      </c>
      <c r="C56">
        <v>0</v>
      </c>
      <c r="D56">
        <v>1595</v>
      </c>
      <c r="E56">
        <v>1692.68</v>
      </c>
      <c r="F56">
        <v>0</v>
      </c>
      <c r="G56">
        <v>1320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1900.3413</v>
      </c>
      <c r="O56">
        <v>6868.5736999999999</v>
      </c>
      <c r="P56">
        <v>2417.9737</v>
      </c>
      <c r="Q56">
        <v>2417.9737</v>
      </c>
      <c r="R56">
        <v>2417.9737</v>
      </c>
      <c r="S56">
        <v>4617.1466</v>
      </c>
      <c r="T56">
        <v>2936.3465999999999</v>
      </c>
      <c r="U56">
        <v>4412.7293</v>
      </c>
      <c r="V56">
        <v>4278.4080999999996</v>
      </c>
      <c r="W56">
        <v>0</v>
      </c>
      <c r="X56">
        <v>1305.4465</v>
      </c>
      <c r="Y56">
        <v>2667.3188</v>
      </c>
      <c r="Z56">
        <v>2673.2345</v>
      </c>
      <c r="AA56">
        <v>2678.7894000000001</v>
      </c>
      <c r="AB56">
        <v>2760.8827000000001</v>
      </c>
      <c r="AC56">
        <v>5065.5992999999999</v>
      </c>
      <c r="AD56">
        <v>4485.1220000000003</v>
      </c>
      <c r="AE56">
        <v>2534.2426999999998</v>
      </c>
      <c r="AF56">
        <v>1254.4675</v>
      </c>
      <c r="AG56">
        <v>0</v>
      </c>
      <c r="AH56">
        <v>3081.2015999999999</v>
      </c>
      <c r="AI56">
        <v>2469.8216000000002</v>
      </c>
      <c r="AJ56">
        <v>3903.3416000000002</v>
      </c>
      <c r="AK56">
        <v>71754.6149</v>
      </c>
    </row>
    <row r="57" spans="1:37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>
      <c r="A59" t="s">
        <v>19</v>
      </c>
      <c r="B59" s="29" t="s">
        <v>145</v>
      </c>
      <c r="C59">
        <v>4389.9543999999996</v>
      </c>
      <c r="D59">
        <v>7663.7159000000001</v>
      </c>
      <c r="E59">
        <v>47.7</v>
      </c>
      <c r="F59">
        <v>140.4</v>
      </c>
      <c r="G59">
        <v>105.6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12347.3703</v>
      </c>
    </row>
    <row r="60" spans="1:37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1056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39.620399999999997</v>
      </c>
      <c r="V60">
        <v>894.50739999999996</v>
      </c>
      <c r="W60">
        <v>1745.5572</v>
      </c>
      <c r="X60">
        <v>845.17989999999998</v>
      </c>
      <c r="Y60">
        <v>226.7963</v>
      </c>
      <c r="Z60">
        <v>207.66030000000001</v>
      </c>
      <c r="AA60">
        <v>286.0111</v>
      </c>
      <c r="AB60">
        <v>302.67009999999999</v>
      </c>
      <c r="AC60">
        <v>987.12159999999994</v>
      </c>
      <c r="AD60">
        <v>297.21319999999997</v>
      </c>
      <c r="AE60">
        <v>442.18540000000002</v>
      </c>
      <c r="AF60">
        <v>1900.4671000000001</v>
      </c>
      <c r="AG60">
        <v>4144.2266</v>
      </c>
      <c r="AH60">
        <v>398.13440000000003</v>
      </c>
      <c r="AI60">
        <v>421.89440000000002</v>
      </c>
      <c r="AJ60">
        <v>399.93439999999998</v>
      </c>
      <c r="AK60">
        <v>14595.1798</v>
      </c>
    </row>
    <row r="61" spans="1:37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>
      <c r="A64" t="s">
        <v>19</v>
      </c>
      <c r="B64" s="29" t="s">
        <v>150</v>
      </c>
      <c r="C64">
        <v>0</v>
      </c>
      <c r="D64">
        <v>288.55009999999999</v>
      </c>
      <c r="E64">
        <v>279.3372</v>
      </c>
      <c r="F64">
        <v>138.0787</v>
      </c>
      <c r="G64">
        <v>848.31359999999995</v>
      </c>
      <c r="H64">
        <v>224.32859999999999</v>
      </c>
      <c r="I64">
        <v>0</v>
      </c>
      <c r="J64">
        <v>0</v>
      </c>
      <c r="K64">
        <v>0</v>
      </c>
      <c r="L64">
        <v>0</v>
      </c>
      <c r="M64">
        <v>5575.0879000000004</v>
      </c>
      <c r="N64">
        <v>0</v>
      </c>
      <c r="O64">
        <v>0</v>
      </c>
      <c r="P64">
        <v>0</v>
      </c>
      <c r="Q64">
        <v>18.686199999999999</v>
      </c>
      <c r="R64">
        <v>0</v>
      </c>
      <c r="S64">
        <v>0</v>
      </c>
      <c r="T64">
        <v>0</v>
      </c>
      <c r="U64">
        <v>0</v>
      </c>
      <c r="V64">
        <v>0</v>
      </c>
      <c r="W64">
        <v>8131.4795000000004</v>
      </c>
      <c r="X64">
        <v>695.33389999999997</v>
      </c>
      <c r="Y64">
        <v>726.72540000000004</v>
      </c>
      <c r="Z64">
        <v>710.11699999999996</v>
      </c>
      <c r="AA64">
        <v>704.17280000000005</v>
      </c>
      <c r="AB64">
        <v>737.95690000000002</v>
      </c>
      <c r="AC64">
        <v>961.11500000000001</v>
      </c>
      <c r="AD64">
        <v>722.18320000000006</v>
      </c>
      <c r="AE64">
        <v>1372.8465000000001</v>
      </c>
      <c r="AF64">
        <v>0</v>
      </c>
      <c r="AG64">
        <v>3521.9793</v>
      </c>
      <c r="AH64">
        <v>745.79719999999998</v>
      </c>
      <c r="AI64">
        <v>746.60469999999998</v>
      </c>
      <c r="AJ64">
        <v>698.76840000000004</v>
      </c>
      <c r="AK64">
        <v>27847.462100000001</v>
      </c>
    </row>
    <row r="65" spans="1:37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19</v>
      </c>
      <c r="B66" s="29" t="s">
        <v>152</v>
      </c>
      <c r="C66">
        <v>357.99759999999998</v>
      </c>
      <c r="D66">
        <v>225.77699999999999</v>
      </c>
      <c r="E66">
        <v>0</v>
      </c>
      <c r="F66">
        <v>33.935299999999998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617.70989999999995</v>
      </c>
    </row>
    <row r="67" spans="1:37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s="5" customFormat="1">
      <c r="A68" s="5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459.69720000000001</v>
      </c>
      <c r="I68">
        <v>1316.7722000000001</v>
      </c>
      <c r="J68">
        <v>1316.7722000000001</v>
      </c>
      <c r="K68">
        <v>1316.7722000000001</v>
      </c>
      <c r="L68">
        <v>1316.7722000000001</v>
      </c>
      <c r="M68">
        <v>1316.7722000000001</v>
      </c>
      <c r="N68">
        <v>1573.5395000000001</v>
      </c>
      <c r="O68">
        <v>1573.5395000000001</v>
      </c>
      <c r="P68">
        <v>1573.5395000000001</v>
      </c>
      <c r="Q68">
        <v>1573.5395000000001</v>
      </c>
      <c r="R68">
        <v>1573.5395000000001</v>
      </c>
      <c r="S68">
        <v>1910.8798999999999</v>
      </c>
      <c r="T68">
        <v>1910.8798999999999</v>
      </c>
      <c r="U68">
        <v>1910.8798999999999</v>
      </c>
      <c r="V68">
        <v>1910.8798999999999</v>
      </c>
      <c r="W68">
        <v>1910.8798999999999</v>
      </c>
      <c r="X68">
        <v>1921.3886</v>
      </c>
      <c r="Y68">
        <v>2075.5421999999999</v>
      </c>
      <c r="Z68">
        <v>2080.1632</v>
      </c>
      <c r="AA68">
        <v>2084.5023999999999</v>
      </c>
      <c r="AB68">
        <v>2088.5700000000002</v>
      </c>
      <c r="AC68">
        <v>2163.3755000000001</v>
      </c>
      <c r="AD68">
        <v>2166.6012999999998</v>
      </c>
      <c r="AE68">
        <v>2169.6396</v>
      </c>
      <c r="AF68">
        <v>2172.4953999999998</v>
      </c>
      <c r="AG68">
        <v>3100.4506000000001</v>
      </c>
      <c r="AH68">
        <v>2082.2842999999998</v>
      </c>
      <c r="AI68">
        <v>2082.2842999999998</v>
      </c>
      <c r="AJ68">
        <v>2082.2842999999998</v>
      </c>
      <c r="AK68">
        <v>52735.236900000004</v>
      </c>
    </row>
    <row r="69" spans="1:37">
      <c r="A69" t="s">
        <v>19</v>
      </c>
      <c r="B69" s="29" t="s">
        <v>155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>
      <c r="A70" t="s">
        <v>19</v>
      </c>
      <c r="B70" s="29" t="s">
        <v>156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19</v>
      </c>
      <c r="B71" s="29" t="s">
        <v>157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19</v>
      </c>
      <c r="B72" s="29" t="s">
        <v>158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 t="s">
        <v>19</v>
      </c>
      <c r="B73" s="29" t="s">
        <v>159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19</v>
      </c>
      <c r="B75" s="29" t="s">
        <v>161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19</v>
      </c>
      <c r="B76" s="29" t="s">
        <v>162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19</v>
      </c>
      <c r="B77" s="29" t="s">
        <v>163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19</v>
      </c>
      <c r="B78" s="29" t="s">
        <v>164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19</v>
      </c>
      <c r="B79" s="29" t="s">
        <v>165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19</v>
      </c>
      <c r="B80" s="29" t="s">
        <v>166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19</v>
      </c>
      <c r="B81" s="29" t="s">
        <v>167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19</v>
      </c>
      <c r="B82" s="29" t="s">
        <v>168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19</v>
      </c>
      <c r="B83" s="29" t="s">
        <v>169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>
      <c r="A85" t="s">
        <v>19</v>
      </c>
      <c r="B85" s="29" t="s">
        <v>170</v>
      </c>
      <c r="C85">
        <v>9399.0951000000005</v>
      </c>
      <c r="D85">
        <v>297.85919999999999</v>
      </c>
      <c r="E85">
        <v>305.28550000000001</v>
      </c>
      <c r="F85">
        <v>297.47160000000002</v>
      </c>
      <c r="G85">
        <v>304.05970000000002</v>
      </c>
      <c r="H85">
        <v>301.4316</v>
      </c>
      <c r="I85">
        <v>362.30369999999999</v>
      </c>
      <c r="J85">
        <v>357.52519999999998</v>
      </c>
      <c r="K85">
        <v>357.98349999999999</v>
      </c>
      <c r="L85">
        <v>346.77319999999997</v>
      </c>
      <c r="M85">
        <v>0</v>
      </c>
      <c r="N85">
        <v>276.35649999999998</v>
      </c>
      <c r="O85">
        <v>430.73090000000002</v>
      </c>
      <c r="P85">
        <v>442.14879999999999</v>
      </c>
      <c r="Q85">
        <v>425.23039999999997</v>
      </c>
      <c r="R85">
        <v>437.68029999999999</v>
      </c>
      <c r="S85">
        <v>493.09230000000002</v>
      </c>
      <c r="T85">
        <v>491.76990000000001</v>
      </c>
      <c r="U85">
        <v>491.04989999999998</v>
      </c>
      <c r="V85">
        <v>478.66840000000002</v>
      </c>
      <c r="W85">
        <v>459.4194</v>
      </c>
      <c r="X85">
        <v>536.80280000000005</v>
      </c>
      <c r="Y85">
        <v>539.84169999999995</v>
      </c>
      <c r="Z85">
        <v>538.4221</v>
      </c>
      <c r="AA85">
        <v>520.72739999999999</v>
      </c>
      <c r="AB85">
        <v>9745.5889999999999</v>
      </c>
      <c r="AC85">
        <v>850.70979999999997</v>
      </c>
      <c r="AD85">
        <v>858.7079</v>
      </c>
      <c r="AE85">
        <v>860.33569999999997</v>
      </c>
      <c r="AF85">
        <v>812.02200000000005</v>
      </c>
      <c r="AG85">
        <v>747.601</v>
      </c>
      <c r="AH85">
        <v>939.31010000000003</v>
      </c>
      <c r="AI85">
        <v>931.00030000000004</v>
      </c>
      <c r="AJ85">
        <v>939.38059999999996</v>
      </c>
      <c r="AK85">
        <v>35576.385500000004</v>
      </c>
    </row>
    <row r="86" spans="1:37">
      <c r="A86" t="s">
        <v>19</v>
      </c>
      <c r="B86" s="29" t="s">
        <v>171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19</v>
      </c>
      <c r="B87" s="29" t="s">
        <v>172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19</v>
      </c>
      <c r="B88" s="29" t="s">
        <v>173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19</v>
      </c>
      <c r="B89" s="29" t="s">
        <v>174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19</v>
      </c>
      <c r="B90" s="29" t="s">
        <v>175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19</v>
      </c>
      <c r="B91" s="29" t="s">
        <v>176</v>
      </c>
      <c r="C91">
        <v>1989.7713000000001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1989.7713000000001</v>
      </c>
    </row>
    <row r="92" spans="1:37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19</v>
      </c>
      <c r="B94" s="29" t="s">
        <v>179</v>
      </c>
      <c r="C94">
        <v>0</v>
      </c>
      <c r="D94">
        <v>1404.0859</v>
      </c>
      <c r="E94">
        <v>133.53729999999999</v>
      </c>
      <c r="F94">
        <v>133.87520000000001</v>
      </c>
      <c r="G94">
        <v>6040.0355</v>
      </c>
      <c r="H94">
        <v>105.8085</v>
      </c>
      <c r="I94">
        <v>100.834</v>
      </c>
      <c r="J94">
        <v>101.0825</v>
      </c>
      <c r="K94">
        <v>101.32850000000001</v>
      </c>
      <c r="L94">
        <v>101.5714</v>
      </c>
      <c r="M94">
        <v>101.849</v>
      </c>
      <c r="N94">
        <v>99.0655</v>
      </c>
      <c r="O94">
        <v>99.310100000000006</v>
      </c>
      <c r="P94">
        <v>99.552400000000006</v>
      </c>
      <c r="Q94">
        <v>275.37709999999998</v>
      </c>
      <c r="R94">
        <v>1579.1428000000001</v>
      </c>
      <c r="S94">
        <v>1813.3887999999999</v>
      </c>
      <c r="T94">
        <v>495.78019999999998</v>
      </c>
      <c r="U94">
        <v>496.80770000000001</v>
      </c>
      <c r="V94">
        <v>6617.3001999999997</v>
      </c>
      <c r="W94">
        <v>469.91930000000002</v>
      </c>
      <c r="X94">
        <v>696.56920000000002</v>
      </c>
      <c r="Y94">
        <v>698.08360000000005</v>
      </c>
      <c r="Z94">
        <v>699.44659999999999</v>
      </c>
      <c r="AA94">
        <v>700.67319999999995</v>
      </c>
      <c r="AB94">
        <v>701.77719999999999</v>
      </c>
      <c r="AC94">
        <v>846.82100000000003</v>
      </c>
      <c r="AD94">
        <v>847.89859999999999</v>
      </c>
      <c r="AE94">
        <v>848.86829999999998</v>
      </c>
      <c r="AF94">
        <v>1030.5691999999999</v>
      </c>
      <c r="AG94">
        <v>2391.3834999999999</v>
      </c>
      <c r="AH94">
        <v>2786.3453</v>
      </c>
      <c r="AI94">
        <v>1421.9969000000001</v>
      </c>
      <c r="AJ94">
        <v>1421.9969000000001</v>
      </c>
      <c r="AK94">
        <v>35462.08140000001</v>
      </c>
    </row>
    <row r="95" spans="1:37">
      <c r="A95" t="s">
        <v>19</v>
      </c>
      <c r="B95" s="29" t="s">
        <v>180</v>
      </c>
      <c r="C95">
        <v>6531.1306999999997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6531.1306999999997</v>
      </c>
    </row>
    <row r="96" spans="1:37">
      <c r="A96" t="s">
        <v>19</v>
      </c>
      <c r="B96" s="29" t="s">
        <v>181</v>
      </c>
      <c r="C96">
        <v>3421.7516000000001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3421.7516000000001</v>
      </c>
    </row>
    <row r="97" spans="1:37">
      <c r="A97" t="s">
        <v>19</v>
      </c>
      <c r="B97" s="29" t="s">
        <v>182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19</v>
      </c>
      <c r="B98" s="29" t="s">
        <v>183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19</v>
      </c>
      <c r="B99" s="29" t="s">
        <v>184</v>
      </c>
      <c r="C99">
        <v>32.496499999999997</v>
      </c>
      <c r="D99">
        <v>203.4264</v>
      </c>
      <c r="E99">
        <v>200.44390000000001</v>
      </c>
      <c r="F99">
        <v>201.31039999999999</v>
      </c>
      <c r="G99">
        <v>202.98949999999999</v>
      </c>
      <c r="H99">
        <v>198.77340000000001</v>
      </c>
      <c r="I99">
        <v>198.9443</v>
      </c>
      <c r="J99">
        <v>198.9528</v>
      </c>
      <c r="K99">
        <v>199.8193</v>
      </c>
      <c r="L99">
        <v>222.52760000000001</v>
      </c>
      <c r="M99">
        <v>131.35570000000001</v>
      </c>
      <c r="N99">
        <v>241.63910000000001</v>
      </c>
      <c r="O99">
        <v>197.62540000000001</v>
      </c>
      <c r="P99">
        <v>191.30779999999999</v>
      </c>
      <c r="Q99">
        <v>40.709800000000001</v>
      </c>
      <c r="R99">
        <v>54.721600000000002</v>
      </c>
      <c r="S99">
        <v>229.7312</v>
      </c>
      <c r="T99">
        <v>226.74019999999999</v>
      </c>
      <c r="U99">
        <v>227.61519999999999</v>
      </c>
      <c r="V99">
        <v>174.56659999999999</v>
      </c>
      <c r="W99">
        <v>283.39789999999999</v>
      </c>
      <c r="X99">
        <v>222.73750000000001</v>
      </c>
      <c r="Y99">
        <v>218.96600000000001</v>
      </c>
      <c r="Z99">
        <v>223.51429999999999</v>
      </c>
      <c r="AA99">
        <v>246.2227</v>
      </c>
      <c r="AB99">
        <v>155.0592</v>
      </c>
      <c r="AC99">
        <v>262.52850000000001</v>
      </c>
      <c r="AD99">
        <v>218.51480000000001</v>
      </c>
      <c r="AE99">
        <v>204.52070000000001</v>
      </c>
      <c r="AF99">
        <v>0</v>
      </c>
      <c r="AG99">
        <v>144.88650000000001</v>
      </c>
      <c r="AH99">
        <v>248.1335</v>
      </c>
      <c r="AI99">
        <v>245.14259999999999</v>
      </c>
      <c r="AJ99">
        <v>246.01759999999999</v>
      </c>
      <c r="AK99">
        <v>6495.3385000000007</v>
      </c>
    </row>
    <row r="100" spans="1:37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19</v>
      </c>
      <c r="B101" s="29" t="s">
        <v>186</v>
      </c>
      <c r="C101">
        <v>0</v>
      </c>
      <c r="D101">
        <v>1370.5971</v>
      </c>
      <c r="E101">
        <v>1406.1999000000001</v>
      </c>
      <c r="F101">
        <v>1406.1999000000001</v>
      </c>
      <c r="G101">
        <v>1333.6649</v>
      </c>
      <c r="H101">
        <v>1400.9969000000001</v>
      </c>
      <c r="I101">
        <v>1605.9342999999999</v>
      </c>
      <c r="J101">
        <v>1576.6080999999999</v>
      </c>
      <c r="K101">
        <v>1491.4712999999999</v>
      </c>
      <c r="L101">
        <v>1558.0988</v>
      </c>
      <c r="M101">
        <v>1601.9998000000001</v>
      </c>
      <c r="N101">
        <v>1886.7998</v>
      </c>
      <c r="O101">
        <v>1815.5998</v>
      </c>
      <c r="P101">
        <v>1867.9318000000001</v>
      </c>
      <c r="Q101">
        <v>1833.9694</v>
      </c>
      <c r="R101">
        <v>1788.1202000000001</v>
      </c>
      <c r="S101">
        <v>2076.4512</v>
      </c>
      <c r="T101">
        <v>2081.1226999999999</v>
      </c>
      <c r="U101">
        <v>1997.8778</v>
      </c>
      <c r="V101">
        <v>2518.3474999999999</v>
      </c>
      <c r="W101">
        <v>0</v>
      </c>
      <c r="X101">
        <v>3559.9965999999999</v>
      </c>
      <c r="Y101">
        <v>3220.0194999999999</v>
      </c>
      <c r="Z101">
        <v>2912.4355</v>
      </c>
      <c r="AA101">
        <v>2569.2872000000002</v>
      </c>
      <c r="AB101">
        <v>2359.0727999999999</v>
      </c>
      <c r="AC101">
        <v>2722.2764999999999</v>
      </c>
      <c r="AD101">
        <v>2440.5891999999999</v>
      </c>
      <c r="AE101">
        <v>2162.4756000000002</v>
      </c>
      <c r="AF101">
        <v>3961.4169000000002</v>
      </c>
      <c r="AG101">
        <v>0</v>
      </c>
      <c r="AH101">
        <v>0</v>
      </c>
      <c r="AI101">
        <v>0</v>
      </c>
      <c r="AJ101">
        <v>0</v>
      </c>
      <c r="AK101">
        <v>58525.561000000002</v>
      </c>
    </row>
    <row r="102" spans="1:37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19</v>
      </c>
      <c r="B104" s="29" t="s">
        <v>189</v>
      </c>
      <c r="C104">
        <v>8.8499999999999995E-2</v>
      </c>
      <c r="D104">
        <v>172.39420000000001</v>
      </c>
      <c r="E104">
        <v>98.024500000000003</v>
      </c>
      <c r="F104">
        <v>175.7073</v>
      </c>
      <c r="G104">
        <v>99.754000000000005</v>
      </c>
      <c r="H104">
        <v>178.97020000000001</v>
      </c>
      <c r="I104">
        <v>100.0134</v>
      </c>
      <c r="J104">
        <v>179.79230000000001</v>
      </c>
      <c r="K104">
        <v>101.7152</v>
      </c>
      <c r="L104">
        <v>181.93559999999999</v>
      </c>
      <c r="M104">
        <v>105.7163</v>
      </c>
      <c r="N104">
        <v>376.14640000000003</v>
      </c>
      <c r="O104">
        <v>211.37620000000001</v>
      </c>
      <c r="P104">
        <v>377.93610000000001</v>
      </c>
      <c r="Q104">
        <v>128.48840000000001</v>
      </c>
      <c r="R104">
        <v>213.285</v>
      </c>
      <c r="S104">
        <v>125.5457</v>
      </c>
      <c r="T104">
        <v>210.23939999999999</v>
      </c>
      <c r="U104">
        <v>126.94629999999999</v>
      </c>
      <c r="V104">
        <v>211.07</v>
      </c>
      <c r="W104">
        <v>127.7598</v>
      </c>
      <c r="X104">
        <v>402.47280000000001</v>
      </c>
      <c r="Y104">
        <v>233.3049</v>
      </c>
      <c r="Z104">
        <v>404.11090000000002</v>
      </c>
      <c r="AA104">
        <v>148.83189999999999</v>
      </c>
      <c r="AB104">
        <v>235.4171</v>
      </c>
      <c r="AC104">
        <v>143.43989999999999</v>
      </c>
      <c r="AD104">
        <v>229.30449999999999</v>
      </c>
      <c r="AE104">
        <v>144.6808</v>
      </c>
      <c r="AF104">
        <v>230.2456</v>
      </c>
      <c r="AG104">
        <v>145.7955</v>
      </c>
      <c r="AH104">
        <v>424.7192</v>
      </c>
      <c r="AI104">
        <v>250.9641</v>
      </c>
      <c r="AJ104">
        <v>424.26510000000002</v>
      </c>
      <c r="AK104">
        <v>6920.4570999999996</v>
      </c>
    </row>
    <row r="105" spans="1:37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19</v>
      </c>
      <c r="B109" s="29" t="s">
        <v>194</v>
      </c>
      <c r="C109">
        <v>514.41729999999995</v>
      </c>
      <c r="D109">
        <v>1462.682</v>
      </c>
      <c r="E109">
        <v>1468.3072999999999</v>
      </c>
      <c r="F109">
        <v>1459.7755999999999</v>
      </c>
      <c r="G109">
        <v>1478.2177999999999</v>
      </c>
      <c r="H109">
        <v>1482.3480999999999</v>
      </c>
      <c r="I109">
        <v>1518.7239</v>
      </c>
      <c r="J109">
        <v>1508.4096999999999</v>
      </c>
      <c r="K109">
        <v>1525.7353000000001</v>
      </c>
      <c r="L109">
        <v>1528.9336000000001</v>
      </c>
      <c r="M109">
        <v>1550.6656</v>
      </c>
      <c r="N109">
        <v>1533.8395</v>
      </c>
      <c r="O109">
        <v>1549.2393</v>
      </c>
      <c r="P109">
        <v>1549.9885999999999</v>
      </c>
      <c r="Q109">
        <v>631.64020000000005</v>
      </c>
      <c r="R109">
        <v>1169.7799</v>
      </c>
      <c r="S109">
        <v>2136.7640999999999</v>
      </c>
      <c r="T109">
        <v>2137.8339999999998</v>
      </c>
      <c r="U109">
        <v>2124.6612</v>
      </c>
      <c r="V109">
        <v>2140.0147000000002</v>
      </c>
      <c r="W109">
        <v>2143.6860000000001</v>
      </c>
      <c r="X109">
        <v>2111.6291999999999</v>
      </c>
      <c r="Y109">
        <v>2098.0790999999999</v>
      </c>
      <c r="Z109">
        <v>2112.6605</v>
      </c>
      <c r="AA109">
        <v>2113.442</v>
      </c>
      <c r="AB109">
        <v>2113.9297000000001</v>
      </c>
      <c r="AC109">
        <v>1995.098</v>
      </c>
      <c r="AD109">
        <v>2009.7064</v>
      </c>
      <c r="AE109">
        <v>2010.0442</v>
      </c>
      <c r="AF109">
        <v>1084.9786999999999</v>
      </c>
      <c r="AG109">
        <v>1628.2281</v>
      </c>
      <c r="AH109">
        <v>2494.0853000000002</v>
      </c>
      <c r="AI109">
        <v>2494.0853000000002</v>
      </c>
      <c r="AJ109">
        <v>2479.8258000000001</v>
      </c>
      <c r="AK109">
        <v>59361.456000000006</v>
      </c>
    </row>
    <row r="110" spans="1:37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19</v>
      </c>
      <c r="B112" s="29" t="s">
        <v>197</v>
      </c>
      <c r="C112">
        <v>30.4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30.4</v>
      </c>
    </row>
    <row r="113" spans="1:37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19</v>
      </c>
      <c r="B114" s="29" t="s">
        <v>199</v>
      </c>
      <c r="C114">
        <v>0</v>
      </c>
      <c r="D114">
        <v>0</v>
      </c>
      <c r="E114">
        <v>16</v>
      </c>
      <c r="F114">
        <v>0</v>
      </c>
      <c r="G114">
        <v>16</v>
      </c>
      <c r="H114">
        <v>2.2355</v>
      </c>
      <c r="I114">
        <v>16</v>
      </c>
      <c r="J114">
        <v>16</v>
      </c>
      <c r="K114">
        <v>0</v>
      </c>
      <c r="L114">
        <v>17.488199999999999</v>
      </c>
      <c r="M114">
        <v>22.413799999999998</v>
      </c>
      <c r="N114">
        <v>9.5861999999999998</v>
      </c>
      <c r="O114">
        <v>0</v>
      </c>
      <c r="P114">
        <v>16</v>
      </c>
      <c r="Q114">
        <v>16</v>
      </c>
      <c r="R114">
        <v>16</v>
      </c>
      <c r="S114">
        <v>16</v>
      </c>
      <c r="T114">
        <v>16</v>
      </c>
      <c r="U114">
        <v>16</v>
      </c>
      <c r="V114">
        <v>32</v>
      </c>
      <c r="W114">
        <v>44.276200000000003</v>
      </c>
      <c r="X114">
        <v>16</v>
      </c>
      <c r="Y114">
        <v>48</v>
      </c>
      <c r="Z114">
        <v>32</v>
      </c>
      <c r="AA114">
        <v>32</v>
      </c>
      <c r="AB114">
        <v>34.235500000000002</v>
      </c>
      <c r="AC114">
        <v>48</v>
      </c>
      <c r="AD114">
        <v>48</v>
      </c>
      <c r="AE114">
        <v>32</v>
      </c>
      <c r="AF114">
        <v>49.488199999999999</v>
      </c>
      <c r="AG114">
        <v>54.413800000000002</v>
      </c>
      <c r="AH114">
        <v>57.586199999999998</v>
      </c>
      <c r="AI114">
        <v>32</v>
      </c>
      <c r="AJ114">
        <v>64</v>
      </c>
      <c r="AK114">
        <v>835.72360000000003</v>
      </c>
    </row>
    <row r="115" spans="1:37">
      <c r="A115" t="s">
        <v>19</v>
      </c>
      <c r="B115" s="29" t="s">
        <v>200</v>
      </c>
      <c r="C115">
        <v>30.4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30.4</v>
      </c>
    </row>
    <row r="116" spans="1:37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19</v>
      </c>
      <c r="B117" s="29" t="s">
        <v>202</v>
      </c>
      <c r="C117">
        <v>0</v>
      </c>
      <c r="D117">
        <v>0</v>
      </c>
      <c r="E117">
        <v>16</v>
      </c>
      <c r="F117">
        <v>0</v>
      </c>
      <c r="G117">
        <v>16</v>
      </c>
      <c r="H117">
        <v>2.2355</v>
      </c>
      <c r="I117">
        <v>16</v>
      </c>
      <c r="J117">
        <v>0</v>
      </c>
      <c r="K117">
        <v>16</v>
      </c>
      <c r="L117">
        <v>1.4882</v>
      </c>
      <c r="M117">
        <v>22.413799999999998</v>
      </c>
      <c r="N117">
        <v>9.5861999999999998</v>
      </c>
      <c r="O117">
        <v>0</v>
      </c>
      <c r="P117">
        <v>16</v>
      </c>
      <c r="Q117">
        <v>16</v>
      </c>
      <c r="R117">
        <v>16</v>
      </c>
      <c r="S117">
        <v>16</v>
      </c>
      <c r="T117">
        <v>16</v>
      </c>
      <c r="U117">
        <v>16</v>
      </c>
      <c r="V117">
        <v>16</v>
      </c>
      <c r="W117">
        <v>44.276200000000003</v>
      </c>
      <c r="X117">
        <v>32</v>
      </c>
      <c r="Y117">
        <v>32</v>
      </c>
      <c r="Z117">
        <v>16</v>
      </c>
      <c r="AA117">
        <v>48</v>
      </c>
      <c r="AB117">
        <v>18.235499999999998</v>
      </c>
      <c r="AC117">
        <v>48</v>
      </c>
      <c r="AD117">
        <v>32</v>
      </c>
      <c r="AE117">
        <v>48</v>
      </c>
      <c r="AF117">
        <v>33.488199999999999</v>
      </c>
      <c r="AG117">
        <v>54.413800000000002</v>
      </c>
      <c r="AH117">
        <v>41.586199999999998</v>
      </c>
      <c r="AI117">
        <v>32</v>
      </c>
      <c r="AJ117">
        <v>64</v>
      </c>
      <c r="AK117">
        <v>755.72360000000003</v>
      </c>
    </row>
    <row r="118" spans="1:37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19</v>
      </c>
      <c r="B119" s="29" t="s">
        <v>204</v>
      </c>
      <c r="C119">
        <v>0</v>
      </c>
      <c r="D119">
        <v>20962766</v>
      </c>
      <c r="E119">
        <v>20967998</v>
      </c>
      <c r="F119">
        <v>20967598</v>
      </c>
      <c r="G119">
        <v>20946630</v>
      </c>
      <c r="H119">
        <v>20890017</v>
      </c>
      <c r="I119">
        <v>22526704</v>
      </c>
      <c r="J119">
        <v>22400432</v>
      </c>
      <c r="K119">
        <v>22176428</v>
      </c>
      <c r="L119">
        <v>21894182</v>
      </c>
      <c r="M119">
        <v>22760797</v>
      </c>
      <c r="N119">
        <v>23779197</v>
      </c>
      <c r="O119">
        <v>23778797</v>
      </c>
      <c r="P119">
        <v>23541405</v>
      </c>
      <c r="Q119">
        <v>23074111</v>
      </c>
      <c r="R119">
        <v>22535166</v>
      </c>
      <c r="S119">
        <v>23100543</v>
      </c>
      <c r="T119">
        <v>22275169</v>
      </c>
      <c r="U119">
        <v>21384163</v>
      </c>
      <c r="V119">
        <v>26651942</v>
      </c>
      <c r="W119">
        <v>0</v>
      </c>
      <c r="X119">
        <v>38627163</v>
      </c>
      <c r="Y119">
        <v>34769515</v>
      </c>
      <c r="Z119">
        <v>31291915</v>
      </c>
      <c r="AA119">
        <v>28162724</v>
      </c>
      <c r="AB119">
        <v>25346714</v>
      </c>
      <c r="AC119">
        <v>24547138</v>
      </c>
      <c r="AD119">
        <v>22113469</v>
      </c>
      <c r="AE119">
        <v>19902314</v>
      </c>
      <c r="AF119">
        <v>35823992</v>
      </c>
      <c r="AG119">
        <v>0</v>
      </c>
      <c r="AH119">
        <v>0</v>
      </c>
      <c r="AI119">
        <v>0</v>
      </c>
      <c r="AJ119">
        <v>0</v>
      </c>
      <c r="AK119">
        <v>687198989</v>
      </c>
    </row>
    <row r="120" spans="1:37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19</v>
      </c>
      <c r="B122" s="29" t="s">
        <v>207</v>
      </c>
      <c r="C122">
        <v>272.0548</v>
      </c>
      <c r="D122">
        <v>723.18110000000001</v>
      </c>
      <c r="E122">
        <v>736.47550000000001</v>
      </c>
      <c r="F122">
        <v>748.74379999999996</v>
      </c>
      <c r="G122">
        <v>760.07719999999995</v>
      </c>
      <c r="H122">
        <v>770.55669999999998</v>
      </c>
      <c r="I122">
        <v>860.38099999999997</v>
      </c>
      <c r="J122">
        <v>806.54880000000003</v>
      </c>
      <c r="K122">
        <v>878.67039999999997</v>
      </c>
      <c r="L122">
        <v>887.17570000000001</v>
      </c>
      <c r="M122">
        <v>939.72979999999995</v>
      </c>
      <c r="N122">
        <v>1036.2268999999999</v>
      </c>
      <c r="O122">
        <v>1039.0426</v>
      </c>
      <c r="P122">
        <v>1042.5719999999999</v>
      </c>
      <c r="Q122">
        <v>563.07270000000005</v>
      </c>
      <c r="R122">
        <v>898.67750000000001</v>
      </c>
      <c r="S122">
        <v>1562.3251</v>
      </c>
      <c r="T122">
        <v>1565.778</v>
      </c>
      <c r="U122">
        <v>1570.7375</v>
      </c>
      <c r="V122">
        <v>1574.5972999999999</v>
      </c>
      <c r="W122">
        <v>1588.0032000000001</v>
      </c>
      <c r="X122">
        <v>1798.5612000000001</v>
      </c>
      <c r="Y122">
        <v>1730.6297</v>
      </c>
      <c r="Z122">
        <v>1804.9109000000001</v>
      </c>
      <c r="AA122">
        <v>1807.9947</v>
      </c>
      <c r="AB122">
        <v>1810.7701</v>
      </c>
      <c r="AC122">
        <v>1983.5404000000001</v>
      </c>
      <c r="AD122">
        <v>1985.107</v>
      </c>
      <c r="AE122">
        <v>1988.2128</v>
      </c>
      <c r="AF122">
        <v>1488.4048</v>
      </c>
      <c r="AG122">
        <v>1851.0903000000001</v>
      </c>
      <c r="AH122">
        <v>2546.9432999999999</v>
      </c>
      <c r="AI122">
        <v>2546.9432999999999</v>
      </c>
      <c r="AJ122">
        <v>2547.8458000000001</v>
      </c>
      <c r="AK122">
        <v>46715.581900000005</v>
      </c>
    </row>
    <row r="123" spans="1:37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19</v>
      </c>
      <c r="B127" s="29" t="s">
        <v>212</v>
      </c>
      <c r="C127">
        <v>0</v>
      </c>
      <c r="D127">
        <v>1892.8756000000001</v>
      </c>
      <c r="E127">
        <v>1915.4546</v>
      </c>
      <c r="F127">
        <v>1901.2251000000001</v>
      </c>
      <c r="G127">
        <v>1922.7307000000001</v>
      </c>
      <c r="H127">
        <v>1908.6792</v>
      </c>
      <c r="I127">
        <v>2121.1649000000002</v>
      </c>
      <c r="J127">
        <v>2124.8078999999998</v>
      </c>
      <c r="K127">
        <v>2111.0945000000002</v>
      </c>
      <c r="L127">
        <v>2131.5515999999998</v>
      </c>
      <c r="M127">
        <v>2126.2058999999999</v>
      </c>
      <c r="N127">
        <v>2351.2224000000001</v>
      </c>
      <c r="O127">
        <v>2336.5419999999999</v>
      </c>
      <c r="P127">
        <v>2357.0493000000001</v>
      </c>
      <c r="Q127">
        <v>1242.0078000000001</v>
      </c>
      <c r="R127">
        <v>1242.5447999999999</v>
      </c>
      <c r="S127">
        <v>3464.5183999999999</v>
      </c>
      <c r="T127">
        <v>3485.6223</v>
      </c>
      <c r="U127">
        <v>3470.2791000000002</v>
      </c>
      <c r="V127">
        <v>3490.2838000000002</v>
      </c>
      <c r="W127">
        <v>3484.1203</v>
      </c>
      <c r="X127">
        <v>3951.1731</v>
      </c>
      <c r="Y127">
        <v>3952.6170000000002</v>
      </c>
      <c r="Z127">
        <v>3937.6172000000001</v>
      </c>
      <c r="AA127">
        <v>3956.8496</v>
      </c>
      <c r="AB127">
        <v>3940.1749</v>
      </c>
      <c r="AC127">
        <v>4324.7704999999996</v>
      </c>
      <c r="AD127">
        <v>4309.2118</v>
      </c>
      <c r="AE127">
        <v>4328.6415999999999</v>
      </c>
      <c r="AF127">
        <v>3199.8874000000001</v>
      </c>
      <c r="AG127">
        <v>3205.8598999999999</v>
      </c>
      <c r="AH127">
        <v>5473.2941000000001</v>
      </c>
      <c r="AI127">
        <v>5491.0288</v>
      </c>
      <c r="AJ127">
        <v>5472.7640000000001</v>
      </c>
      <c r="AK127">
        <v>102623.8701</v>
      </c>
    </row>
    <row r="128" spans="1:37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19</v>
      </c>
      <c r="B132" s="29" t="s">
        <v>217</v>
      </c>
      <c r="C132">
        <v>0</v>
      </c>
      <c r="D132">
        <v>253.4606</v>
      </c>
      <c r="E132">
        <v>271.65440000000001</v>
      </c>
      <c r="F132">
        <v>254.57900000000001</v>
      </c>
      <c r="G132">
        <v>272.77609999999999</v>
      </c>
      <c r="H132">
        <v>255.5772</v>
      </c>
      <c r="I132">
        <v>300.26690000000002</v>
      </c>
      <c r="J132">
        <v>282.73809999999997</v>
      </c>
      <c r="K132">
        <v>301.27229999999997</v>
      </c>
      <c r="L132">
        <v>283.6354</v>
      </c>
      <c r="M132">
        <v>303.25549999999998</v>
      </c>
      <c r="N132">
        <v>314.03820000000002</v>
      </c>
      <c r="O132">
        <v>332.11360000000002</v>
      </c>
      <c r="P132">
        <v>314.73039999999997</v>
      </c>
      <c r="Q132">
        <v>170.8648</v>
      </c>
      <c r="R132">
        <v>170.7611</v>
      </c>
      <c r="S132">
        <v>469.46339999999998</v>
      </c>
      <c r="T132">
        <v>487.67910000000001</v>
      </c>
      <c r="U132">
        <v>470.24419999999998</v>
      </c>
      <c r="V132">
        <v>488.42200000000003</v>
      </c>
      <c r="W132">
        <v>472.1198</v>
      </c>
      <c r="X132">
        <v>552.00580000000002</v>
      </c>
      <c r="Y132">
        <v>533.85180000000003</v>
      </c>
      <c r="Z132">
        <v>552.56179999999995</v>
      </c>
      <c r="AA132">
        <v>534.60419999999999</v>
      </c>
      <c r="AB132">
        <v>552.74339999999995</v>
      </c>
      <c r="AC132">
        <v>585.27599999999995</v>
      </c>
      <c r="AD132">
        <v>603.40350000000001</v>
      </c>
      <c r="AE132">
        <v>585.89239999999995</v>
      </c>
      <c r="AF132">
        <v>439.98450000000003</v>
      </c>
      <c r="AG132">
        <v>440.7158</v>
      </c>
      <c r="AH132">
        <v>745.68020000000001</v>
      </c>
      <c r="AI132">
        <v>763.42250000000001</v>
      </c>
      <c r="AJ132">
        <v>745.42740000000003</v>
      </c>
      <c r="AK132">
        <v>14105.221400000004</v>
      </c>
    </row>
    <row r="133" spans="1:37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B135" s="29" t="s">
        <v>228</v>
      </c>
    </row>
    <row r="170" spans="1:33">
      <c r="A170" t="s">
        <v>19</v>
      </c>
      <c r="B170" t="s">
        <v>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19</v>
      </c>
      <c r="B171" t="s">
        <v>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19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19</v>
      </c>
      <c r="B173" t="s">
        <v>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19</v>
      </c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19</v>
      </c>
      <c r="B175" t="s">
        <v>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19</v>
      </c>
      <c r="B176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8.9300000000000002E-5</v>
      </c>
      <c r="AG176">
        <v>132.77714700000001</v>
      </c>
    </row>
    <row r="177" spans="1:33">
      <c r="A177" t="s">
        <v>19</v>
      </c>
      <c r="B177" t="s">
        <v>31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19</v>
      </c>
      <c r="B178" t="s">
        <v>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19</v>
      </c>
      <c r="B179" t="s">
        <v>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19</v>
      </c>
      <c r="B180" t="s">
        <v>38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19</v>
      </c>
      <c r="B181" t="s">
        <v>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19</v>
      </c>
      <c r="B182" t="s">
        <v>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19</v>
      </c>
      <c r="B183" t="s">
        <v>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19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19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19</v>
      </c>
      <c r="B186" t="s">
        <v>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19</v>
      </c>
      <c r="B187" t="s">
        <v>45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19</v>
      </c>
      <c r="B188" t="s">
        <v>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19</v>
      </c>
      <c r="B189" t="s">
        <v>47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19</v>
      </c>
      <c r="B190" t="s">
        <v>48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19</v>
      </c>
      <c r="B191" t="s">
        <v>49</v>
      </c>
      <c r="C191">
        <v>0</v>
      </c>
      <c r="D191">
        <v>0</v>
      </c>
      <c r="E191">
        <v>0</v>
      </c>
      <c r="F191">
        <v>0</v>
      </c>
      <c r="G191">
        <v>1.6429651999999999E-2</v>
      </c>
      <c r="H191">
        <v>1.0224543429999999</v>
      </c>
      <c r="I191">
        <v>0.99405972300000001</v>
      </c>
      <c r="J191">
        <v>0.96566508200000001</v>
      </c>
      <c r="K191">
        <v>0.937270461</v>
      </c>
      <c r="L191">
        <v>0.90887582099999997</v>
      </c>
      <c r="M191">
        <v>0.88048119999999996</v>
      </c>
      <c r="N191">
        <v>3.526519666</v>
      </c>
      <c r="O191">
        <v>3.5135208570000001</v>
      </c>
      <c r="P191">
        <v>4.3341382130000001</v>
      </c>
      <c r="Q191">
        <v>4.3009976549999998</v>
      </c>
      <c r="R191">
        <v>4.2678570970000003</v>
      </c>
      <c r="S191">
        <v>10.0795128</v>
      </c>
      <c r="T191">
        <v>10.000631329999999</v>
      </c>
      <c r="U191">
        <v>9.9217498610000003</v>
      </c>
      <c r="V191">
        <v>12.33566852</v>
      </c>
      <c r="W191">
        <v>12.24954657</v>
      </c>
      <c r="X191">
        <v>12.889996930000001</v>
      </c>
      <c r="Y191">
        <v>12.785012849999999</v>
      </c>
      <c r="Z191">
        <v>12.680028760000001</v>
      </c>
      <c r="AA191">
        <v>18.67906782</v>
      </c>
      <c r="AB191">
        <v>18.921650199999998</v>
      </c>
      <c r="AC191">
        <v>13.6828328</v>
      </c>
      <c r="AD191">
        <v>17.5104504</v>
      </c>
      <c r="AE191">
        <v>17.37242092</v>
      </c>
      <c r="AF191">
        <v>17.913609099999999</v>
      </c>
      <c r="AG191">
        <v>17.757540680000002</v>
      </c>
    </row>
    <row r="192" spans="1:33">
      <c r="A192" t="s">
        <v>19</v>
      </c>
      <c r="B192" t="s">
        <v>50</v>
      </c>
      <c r="C192">
        <v>0</v>
      </c>
      <c r="D192">
        <v>3.9357645880000001</v>
      </c>
      <c r="E192">
        <v>3.9464364280000002</v>
      </c>
      <c r="F192">
        <v>3.9464364280000002</v>
      </c>
      <c r="G192">
        <v>3.9378154169999999</v>
      </c>
      <c r="H192">
        <v>3.3950320829999998</v>
      </c>
      <c r="I192">
        <v>3.4254454609999998</v>
      </c>
      <c r="J192">
        <v>3.4254449089999999</v>
      </c>
      <c r="K192">
        <v>3.4254449029999998</v>
      </c>
      <c r="L192">
        <v>3.4254449089999999</v>
      </c>
      <c r="M192">
        <v>3.4254454550000002</v>
      </c>
      <c r="N192">
        <v>5.7785915269999997</v>
      </c>
      <c r="O192">
        <v>5.7892633739999999</v>
      </c>
      <c r="P192">
        <v>5.7892639150000003</v>
      </c>
      <c r="Q192">
        <v>5.7806423560000004</v>
      </c>
      <c r="R192">
        <v>5.2378590169999999</v>
      </c>
      <c r="S192">
        <v>1.468693225</v>
      </c>
      <c r="T192">
        <v>1.468692667</v>
      </c>
      <c r="U192">
        <v>1.468692667</v>
      </c>
      <c r="V192">
        <v>1.468692114</v>
      </c>
      <c r="W192">
        <v>1.4686932130000001</v>
      </c>
      <c r="X192">
        <v>1.259092986</v>
      </c>
      <c r="Y192">
        <v>1.2697648269999999</v>
      </c>
      <c r="Z192">
        <v>1.2697653680000001</v>
      </c>
      <c r="AA192">
        <v>0.82387957000000001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19</v>
      </c>
      <c r="B193" t="s">
        <v>51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19</v>
      </c>
      <c r="B194" t="s">
        <v>52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19</v>
      </c>
      <c r="B195" t="s">
        <v>53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76.013794869999998</v>
      </c>
      <c r="N195">
        <v>51.853621130000001</v>
      </c>
      <c r="O195">
        <v>51.52295771</v>
      </c>
      <c r="P195">
        <v>51.192296429999999</v>
      </c>
      <c r="Q195">
        <v>50.861633009999998</v>
      </c>
      <c r="R195">
        <v>50.530970660000001</v>
      </c>
      <c r="S195">
        <v>165.98711729999999</v>
      </c>
      <c r="T195">
        <v>165.5713748</v>
      </c>
      <c r="U195">
        <v>165.15563220000001</v>
      </c>
      <c r="V195">
        <v>164.7398896</v>
      </c>
      <c r="W195">
        <v>237.0101755</v>
      </c>
      <c r="X195">
        <v>597.89140329999998</v>
      </c>
      <c r="Y195">
        <v>596.2947696</v>
      </c>
      <c r="Z195">
        <v>594.69813690000001</v>
      </c>
      <c r="AA195">
        <v>593.10150109999995</v>
      </c>
      <c r="AB195">
        <v>693.23825599999998</v>
      </c>
      <c r="AC195">
        <v>928.24666000000002</v>
      </c>
      <c r="AD195">
        <v>926.01897899999994</v>
      </c>
      <c r="AE195">
        <v>923.79129809999995</v>
      </c>
      <c r="AF195">
        <v>921.56361719999995</v>
      </c>
      <c r="AG195">
        <v>1015.3244089999999</v>
      </c>
    </row>
    <row r="196" spans="1:33">
      <c r="A196" t="s">
        <v>19</v>
      </c>
      <c r="B196" t="s">
        <v>54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19</v>
      </c>
      <c r="B197" t="s">
        <v>55</v>
      </c>
      <c r="C197">
        <v>0</v>
      </c>
      <c r="D197">
        <v>175.95418129999999</v>
      </c>
      <c r="E197">
        <v>177.93783920000001</v>
      </c>
      <c r="F197">
        <v>179.6035593</v>
      </c>
      <c r="G197">
        <v>181.26925069999999</v>
      </c>
      <c r="H197">
        <v>182.9349124</v>
      </c>
      <c r="I197">
        <v>204.14874209999999</v>
      </c>
      <c r="J197">
        <v>206.0512526</v>
      </c>
      <c r="K197">
        <v>207.9537631</v>
      </c>
      <c r="L197">
        <v>209.85627360000001</v>
      </c>
      <c r="M197">
        <v>154.15555599999999</v>
      </c>
      <c r="N197">
        <v>392.82133909999999</v>
      </c>
      <c r="O197">
        <v>394.46028560000002</v>
      </c>
      <c r="P197">
        <v>395.75261640000002</v>
      </c>
      <c r="Q197">
        <v>397.0449175</v>
      </c>
      <c r="R197">
        <v>398.33718629999998</v>
      </c>
      <c r="S197">
        <v>351.3971507</v>
      </c>
      <c r="T197">
        <v>352.22704140000002</v>
      </c>
      <c r="U197">
        <v>353.05693200000002</v>
      </c>
      <c r="V197">
        <v>353.88682260000002</v>
      </c>
      <c r="W197">
        <v>295.47066080000002</v>
      </c>
      <c r="X197">
        <v>176.34509399999999</v>
      </c>
      <c r="Y197">
        <v>177.12077769999999</v>
      </c>
      <c r="Z197">
        <v>177.54025519999999</v>
      </c>
      <c r="AA197">
        <v>177.95970310000001</v>
      </c>
      <c r="AB197">
        <v>12.12646896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19</v>
      </c>
      <c r="B198" t="s">
        <v>56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81.211227120000004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19</v>
      </c>
      <c r="B199" t="s">
        <v>57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102.3390553</v>
      </c>
      <c r="X199">
        <v>64.611997740000007</v>
      </c>
      <c r="Y199">
        <v>64.223535589999997</v>
      </c>
      <c r="Z199">
        <v>63.8350735</v>
      </c>
      <c r="AA199">
        <v>96.274709689999995</v>
      </c>
      <c r="AB199">
        <v>116.87054500000001</v>
      </c>
      <c r="AC199">
        <v>139.36326560000001</v>
      </c>
      <c r="AD199">
        <v>138.49941340000001</v>
      </c>
      <c r="AE199">
        <v>137.63556130000001</v>
      </c>
      <c r="AF199">
        <v>136.7717055</v>
      </c>
      <c r="AG199">
        <v>135.90785690000001</v>
      </c>
    </row>
    <row r="200" spans="1:33">
      <c r="A200" t="s">
        <v>19</v>
      </c>
      <c r="B200" t="s">
        <v>58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19</v>
      </c>
      <c r="B201" t="s">
        <v>59</v>
      </c>
      <c r="C201">
        <v>0</v>
      </c>
      <c r="D201">
        <v>45.767087529999998</v>
      </c>
      <c r="E201">
        <v>46.033593500000002</v>
      </c>
      <c r="F201">
        <v>46.21738758</v>
      </c>
      <c r="G201">
        <v>46.401181639999997</v>
      </c>
      <c r="H201">
        <v>46.584975710000002</v>
      </c>
      <c r="I201">
        <v>51.70585955</v>
      </c>
      <c r="J201">
        <v>51.909052340000002</v>
      </c>
      <c r="K201">
        <v>52.112248399999999</v>
      </c>
      <c r="L201">
        <v>52.315444460000002</v>
      </c>
      <c r="M201">
        <v>52.518640410000003</v>
      </c>
      <c r="N201">
        <v>59.530621320000002</v>
      </c>
      <c r="O201">
        <v>59.567783609999999</v>
      </c>
      <c r="P201">
        <v>59.604945880000002</v>
      </c>
      <c r="Q201">
        <v>59.642104850000003</v>
      </c>
      <c r="R201">
        <v>59.679270449999997</v>
      </c>
      <c r="S201">
        <v>113.15403689999999</v>
      </c>
      <c r="T201">
        <v>113.3105249</v>
      </c>
      <c r="U201">
        <v>113.3809988</v>
      </c>
      <c r="V201">
        <v>113.4514661</v>
      </c>
      <c r="W201">
        <v>23.035349570000001</v>
      </c>
      <c r="X201">
        <v>49.076081809999998</v>
      </c>
      <c r="Y201">
        <v>49.106527890000002</v>
      </c>
      <c r="Z201">
        <v>49.13697037</v>
      </c>
      <c r="AA201">
        <v>19.356623620000001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19</v>
      </c>
      <c r="B202" t="s">
        <v>60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19</v>
      </c>
      <c r="B203" t="s">
        <v>61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19</v>
      </c>
      <c r="B204" t="s">
        <v>62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19</v>
      </c>
      <c r="B205" t="s">
        <v>63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19</v>
      </c>
      <c r="B206" t="s">
        <v>64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19</v>
      </c>
      <c r="B207" t="s">
        <v>65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19</v>
      </c>
      <c r="B208" t="s">
        <v>66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19</v>
      </c>
      <c r="B209" t="s">
        <v>67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19</v>
      </c>
      <c r="B210" t="s">
        <v>68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41.753533400000002</v>
      </c>
      <c r="X210">
        <v>27.759137590000002</v>
      </c>
      <c r="Y210">
        <v>27.636154149999999</v>
      </c>
      <c r="Z210">
        <v>27.513171639999999</v>
      </c>
      <c r="AA210">
        <v>27.390190050000001</v>
      </c>
      <c r="AB210">
        <v>27.26720663</v>
      </c>
      <c r="AC210">
        <v>92.827719920000007</v>
      </c>
      <c r="AD210">
        <v>92.445652839999994</v>
      </c>
      <c r="AE210">
        <v>92.063585759999995</v>
      </c>
      <c r="AF210">
        <v>91.68151958</v>
      </c>
      <c r="AG210">
        <v>91.299451599999998</v>
      </c>
    </row>
    <row r="211" spans="1:33">
      <c r="A211" t="s">
        <v>19</v>
      </c>
      <c r="B211" t="s">
        <v>69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19</v>
      </c>
      <c r="B212" t="s">
        <v>70</v>
      </c>
      <c r="C212">
        <v>0</v>
      </c>
      <c r="D212">
        <v>45.865371510000003</v>
      </c>
      <c r="E212">
        <v>46.781116429999997</v>
      </c>
      <c r="F212">
        <v>47.580493339999997</v>
      </c>
      <c r="G212">
        <v>48.379832280000002</v>
      </c>
      <c r="H212">
        <v>49.179131300000002</v>
      </c>
      <c r="I212">
        <v>51.355015960000003</v>
      </c>
      <c r="J212">
        <v>52.200348609999999</v>
      </c>
      <c r="K212">
        <v>53.045681270000003</v>
      </c>
      <c r="L212">
        <v>53.891013919999999</v>
      </c>
      <c r="M212">
        <v>54.736346570000002</v>
      </c>
      <c r="N212">
        <v>57.581069220000003</v>
      </c>
      <c r="O212">
        <v>57.885208759999998</v>
      </c>
      <c r="P212">
        <v>58.18930435</v>
      </c>
      <c r="Q212">
        <v>58.493487829999999</v>
      </c>
      <c r="R212">
        <v>58.79762736</v>
      </c>
      <c r="S212">
        <v>115.4738291</v>
      </c>
      <c r="T212">
        <v>116.0124218</v>
      </c>
      <c r="U212">
        <v>116.4120775</v>
      </c>
      <c r="V212">
        <v>116.8117336</v>
      </c>
      <c r="W212">
        <v>85.599054280000004</v>
      </c>
      <c r="X212">
        <v>65.573020099999994</v>
      </c>
      <c r="Y212">
        <v>65.736765930000004</v>
      </c>
      <c r="Z212">
        <v>65.900511059999999</v>
      </c>
      <c r="AA212">
        <v>66.064255470000006</v>
      </c>
      <c r="AB212">
        <v>66.228001309999996</v>
      </c>
      <c r="AC212">
        <v>22.458029249999999</v>
      </c>
      <c r="AD212">
        <v>22.503960119999999</v>
      </c>
      <c r="AE212">
        <v>22.549936819999999</v>
      </c>
      <c r="AF212">
        <v>22.595958920000001</v>
      </c>
      <c r="AG212">
        <v>22.641936430000001</v>
      </c>
    </row>
    <row r="213" spans="1:33">
      <c r="A213" t="s">
        <v>19</v>
      </c>
      <c r="B213" t="s">
        <v>71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19</v>
      </c>
      <c r="B214" t="s">
        <v>72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29.378785709999999</v>
      </c>
      <c r="X214">
        <v>19.46516377</v>
      </c>
      <c r="Y214">
        <v>19.311800420000001</v>
      </c>
      <c r="Z214">
        <v>19.158437079999999</v>
      </c>
      <c r="AA214">
        <v>19.005073419999999</v>
      </c>
      <c r="AB214">
        <v>18.851710390000001</v>
      </c>
      <c r="AC214">
        <v>63.918130920000003</v>
      </c>
      <c r="AD214">
        <v>63.393876120000002</v>
      </c>
      <c r="AE214">
        <v>62.86962132</v>
      </c>
      <c r="AF214">
        <v>62.345366820000002</v>
      </c>
      <c r="AG214">
        <v>80.784135480000003</v>
      </c>
    </row>
    <row r="215" spans="1:33">
      <c r="A215" t="s">
        <v>19</v>
      </c>
      <c r="B215" t="s">
        <v>73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19</v>
      </c>
      <c r="B216" t="s">
        <v>74</v>
      </c>
      <c r="C216">
        <v>0</v>
      </c>
      <c r="D216">
        <v>37.437990730000003</v>
      </c>
      <c r="E216">
        <v>37.71162382</v>
      </c>
      <c r="F216">
        <v>37.890208540000003</v>
      </c>
      <c r="G216">
        <v>38.068804839999999</v>
      </c>
      <c r="H216">
        <v>38.247377970000002</v>
      </c>
      <c r="I216">
        <v>39.465561479999998</v>
      </c>
      <c r="J216">
        <v>39.648977739999999</v>
      </c>
      <c r="K216">
        <v>39.83239399</v>
      </c>
      <c r="L216">
        <v>40.01581024</v>
      </c>
      <c r="M216">
        <v>40.199226500000002</v>
      </c>
      <c r="N216">
        <v>42.10782768</v>
      </c>
      <c r="O216">
        <v>42.150568890000002</v>
      </c>
      <c r="P216">
        <v>42.193334</v>
      </c>
      <c r="Q216">
        <v>42.236075200000002</v>
      </c>
      <c r="R216">
        <v>42.278840330000001</v>
      </c>
      <c r="S216">
        <v>82.828922899999995</v>
      </c>
      <c r="T216">
        <v>83.012420259999999</v>
      </c>
      <c r="U216">
        <v>83.096194550000007</v>
      </c>
      <c r="V216">
        <v>83.179980889999996</v>
      </c>
      <c r="W216">
        <v>60.80728757</v>
      </c>
      <c r="X216">
        <v>46.511729819999999</v>
      </c>
      <c r="Y216">
        <v>46.558491770000003</v>
      </c>
      <c r="Z216">
        <v>46.605229610000002</v>
      </c>
      <c r="AA216">
        <v>46.651991840000001</v>
      </c>
      <c r="AB216">
        <v>46.698729409999999</v>
      </c>
      <c r="AC216">
        <v>15.819020650000001</v>
      </c>
      <c r="AD216">
        <v>15.834816930000001</v>
      </c>
      <c r="AE216">
        <v>15.85066168</v>
      </c>
      <c r="AF216">
        <v>15.866469800000001</v>
      </c>
      <c r="AG216">
        <v>0</v>
      </c>
    </row>
    <row r="217" spans="1:33">
      <c r="A217" t="s">
        <v>19</v>
      </c>
      <c r="B217" t="s">
        <v>75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19</v>
      </c>
      <c r="B218" t="s">
        <v>76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19</v>
      </c>
      <c r="B219" t="s">
        <v>77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19</v>
      </c>
      <c r="B220" t="s">
        <v>78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</sheetData>
  <autoFilter ref="A2:AJ246" xr:uid="{00000000-0001-0000-02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C028-2B0E-4320-9ED3-8D63064B964B}">
  <dimension ref="A1:AJ44"/>
  <sheetViews>
    <sheetView topLeftCell="E35" workbookViewId="0">
      <selection activeCell="B52" sqref="B52"/>
    </sheetView>
  </sheetViews>
  <sheetFormatPr defaultRowHeight="14.4"/>
  <cols>
    <col min="1" max="1" width="12" customWidth="1"/>
    <col min="2" max="2" width="26.5546875" bestFit="1" customWidth="1"/>
    <col min="3" max="3" width="12.6640625" bestFit="1" customWidth="1"/>
  </cols>
  <sheetData>
    <row r="1" spans="1:36">
      <c r="A1" t="s">
        <v>21</v>
      </c>
    </row>
    <row r="2" spans="1:36">
      <c r="B2" s="31" t="s">
        <v>229</v>
      </c>
      <c r="C2" s="31" t="s">
        <v>230</v>
      </c>
      <c r="D2" s="31" t="s">
        <v>231</v>
      </c>
      <c r="E2" s="31" t="s">
        <v>232</v>
      </c>
      <c r="F2" s="31" t="s">
        <v>233</v>
      </c>
      <c r="G2" s="31" t="s">
        <v>234</v>
      </c>
      <c r="H2" s="31" t="s">
        <v>235</v>
      </c>
      <c r="I2" s="31" t="s">
        <v>236</v>
      </c>
      <c r="J2" s="31" t="s">
        <v>237</v>
      </c>
      <c r="K2" s="31" t="s">
        <v>238</v>
      </c>
      <c r="L2" s="31" t="s">
        <v>239</v>
      </c>
      <c r="M2" s="31" t="s">
        <v>240</v>
      </c>
      <c r="N2" s="31" t="s">
        <v>241</v>
      </c>
      <c r="O2" s="31" t="s">
        <v>242</v>
      </c>
      <c r="P2" s="31" t="s">
        <v>243</v>
      </c>
      <c r="Q2" s="31" t="s">
        <v>244</v>
      </c>
      <c r="R2" s="31" t="s">
        <v>245</v>
      </c>
      <c r="S2" s="31" t="s">
        <v>246</v>
      </c>
      <c r="T2" s="31" t="s">
        <v>247</v>
      </c>
      <c r="U2" s="31" t="s">
        <v>248</v>
      </c>
      <c r="V2" s="31" t="s">
        <v>249</v>
      </c>
      <c r="W2" s="31" t="s">
        <v>250</v>
      </c>
      <c r="X2" s="31" t="s">
        <v>251</v>
      </c>
      <c r="Y2" s="31" t="s">
        <v>252</v>
      </c>
      <c r="Z2" s="31" t="s">
        <v>253</v>
      </c>
      <c r="AA2" s="31" t="s">
        <v>254</v>
      </c>
      <c r="AB2" s="31" t="s">
        <v>255</v>
      </c>
      <c r="AC2" s="31" t="s">
        <v>256</v>
      </c>
      <c r="AD2" s="31" t="s">
        <v>257</v>
      </c>
      <c r="AE2" s="31" t="s">
        <v>258</v>
      </c>
      <c r="AF2" s="31" t="s">
        <v>259</v>
      </c>
      <c r="AG2" s="31" t="s">
        <v>260</v>
      </c>
      <c r="AH2" s="31" t="s">
        <v>261</v>
      </c>
      <c r="AI2" s="31" t="s">
        <v>262</v>
      </c>
      <c r="AJ2" s="31" t="s">
        <v>263</v>
      </c>
    </row>
    <row r="3" spans="1:36">
      <c r="B3" s="44" t="s">
        <v>90</v>
      </c>
      <c r="C3" s="32">
        <v>0.20265373280000001</v>
      </c>
      <c r="D3" s="32">
        <v>0.20265373280000001</v>
      </c>
      <c r="E3" s="32">
        <v>0.20265373280000001</v>
      </c>
      <c r="F3" s="32">
        <v>0.20265373280000001</v>
      </c>
      <c r="G3" s="32">
        <v>0.20265373280000001</v>
      </c>
      <c r="H3" s="32">
        <v>0.20265373280000001</v>
      </c>
      <c r="I3" s="32">
        <v>0.20265373280000001</v>
      </c>
      <c r="J3" s="32">
        <v>0.20265373280000001</v>
      </c>
      <c r="K3" s="32">
        <v>0.20265373280000001</v>
      </c>
      <c r="L3" s="32">
        <v>0.20265373280000001</v>
      </c>
      <c r="M3" s="32">
        <v>0.20265373280000001</v>
      </c>
      <c r="N3" s="32">
        <v>0.20265373280000001</v>
      </c>
      <c r="O3" s="32">
        <v>0.20265373280000001</v>
      </c>
      <c r="P3" s="32">
        <v>0.20265373280000001</v>
      </c>
      <c r="Q3" s="32">
        <v>0.20265373280000001</v>
      </c>
      <c r="R3" s="32">
        <v>0.20265373280000001</v>
      </c>
      <c r="S3" s="32">
        <v>0.20265373280000001</v>
      </c>
      <c r="T3" s="32">
        <v>0.20265373280000001</v>
      </c>
      <c r="U3" s="32">
        <v>0.20265373280000001</v>
      </c>
      <c r="V3" s="32">
        <v>0.20265373280000001</v>
      </c>
      <c r="W3" s="32">
        <v>0.20265373280000001</v>
      </c>
      <c r="X3" s="32">
        <v>0.20265373280000001</v>
      </c>
      <c r="Y3" s="32">
        <v>0.20265373280000001</v>
      </c>
      <c r="Z3" s="32">
        <v>0.20265373280000001</v>
      </c>
      <c r="AA3" s="32">
        <v>0.20265373280000001</v>
      </c>
      <c r="AB3" s="32"/>
      <c r="AC3" s="32"/>
      <c r="AD3" s="32"/>
      <c r="AE3" s="32"/>
      <c r="AF3" s="32"/>
      <c r="AG3" s="32"/>
      <c r="AH3" s="32"/>
      <c r="AI3" s="32"/>
      <c r="AJ3" s="32"/>
    </row>
    <row r="4" spans="1:36">
      <c r="B4" s="44" t="s">
        <v>93</v>
      </c>
      <c r="C4" s="32">
        <v>3.1837178475000001</v>
      </c>
      <c r="D4" s="32">
        <v>3.3150271951999999</v>
      </c>
      <c r="E4" s="32">
        <v>3.4060152749000001</v>
      </c>
      <c r="F4" s="32">
        <v>3.4976385480999999</v>
      </c>
      <c r="G4" s="32">
        <v>3.589829441</v>
      </c>
      <c r="H4" s="32">
        <v>3.6825406519000001</v>
      </c>
      <c r="I4" s="32">
        <v>3.7830769052000002</v>
      </c>
      <c r="J4" s="32">
        <v>3.8840591453000002</v>
      </c>
      <c r="K4" s="32">
        <v>3.9854468281000002</v>
      </c>
      <c r="L4" s="32">
        <v>4.0871994093000001</v>
      </c>
      <c r="M4" s="32">
        <v>4.1922360756000003</v>
      </c>
      <c r="N4" s="32">
        <v>4.3107537088000001</v>
      </c>
      <c r="O4" s="32">
        <v>4.4292713419999998</v>
      </c>
      <c r="P4" s="32">
        <v>4.5477889751999996</v>
      </c>
      <c r="Q4" s="32">
        <v>4.6663066084000002</v>
      </c>
      <c r="R4" s="32">
        <v>4.7848242416</v>
      </c>
      <c r="S4" s="32">
        <v>4.9246816710000001</v>
      </c>
      <c r="T4" s="32">
        <v>5.0645391004000002</v>
      </c>
      <c r="U4" s="32">
        <v>5.2043965298000003</v>
      </c>
      <c r="V4" s="32">
        <v>5.3442539591999996</v>
      </c>
      <c r="W4" s="32">
        <v>5.4408641764999999</v>
      </c>
      <c r="X4" s="32">
        <v>5.4408641764999999</v>
      </c>
      <c r="Y4" s="32">
        <v>5.4408641764999999</v>
      </c>
      <c r="Z4" s="32">
        <v>5.4408641764999999</v>
      </c>
      <c r="AA4" s="32">
        <v>5.4408641764999999</v>
      </c>
      <c r="AB4" s="32">
        <v>4.0658055540999998</v>
      </c>
      <c r="AC4" s="32">
        <v>3.9344962064</v>
      </c>
      <c r="AD4" s="32">
        <v>3.8435081267000002</v>
      </c>
      <c r="AE4" s="32">
        <v>3.7518848535</v>
      </c>
      <c r="AF4" s="32">
        <v>3.6596939605999999</v>
      </c>
      <c r="AG4" s="32">
        <v>7.8931162483000001</v>
      </c>
      <c r="AH4" s="32">
        <v>8.0929386401999999</v>
      </c>
      <c r="AI4" s="32">
        <v>8.2923150452000005</v>
      </c>
      <c r="AJ4" s="32">
        <v>8.4912860075999994</v>
      </c>
    </row>
    <row r="5" spans="1:36">
      <c r="B5" s="44" t="s">
        <v>94</v>
      </c>
      <c r="C5" s="32">
        <v>0.73768931989999997</v>
      </c>
      <c r="D5" s="32">
        <v>0.73768931989999997</v>
      </c>
      <c r="E5" s="32">
        <v>0.73768931989999997</v>
      </c>
      <c r="F5" s="32">
        <v>0.73768931989999997</v>
      </c>
      <c r="G5" s="32">
        <v>0.73768931989999997</v>
      </c>
      <c r="H5" s="32">
        <v>0.73768931989999997</v>
      </c>
      <c r="I5" s="32">
        <v>0.73768931989999997</v>
      </c>
      <c r="J5" s="32">
        <v>0.73768931989999997</v>
      </c>
      <c r="K5" s="32">
        <v>0.73768931989999997</v>
      </c>
      <c r="L5" s="32">
        <v>0.73768931989999997</v>
      </c>
      <c r="M5" s="32">
        <v>0.73768931989999997</v>
      </c>
      <c r="N5" s="32">
        <v>0.73768931989999997</v>
      </c>
      <c r="O5" s="32">
        <v>0.73768931989999997</v>
      </c>
      <c r="P5" s="32">
        <v>0.73768931989999997</v>
      </c>
      <c r="Q5" s="32">
        <v>0.73768931989999997</v>
      </c>
      <c r="R5" s="32">
        <v>0.73768931989999997</v>
      </c>
      <c r="S5" s="32">
        <v>0.73768931989999997</v>
      </c>
      <c r="T5" s="32">
        <v>0.73768931989999997</v>
      </c>
      <c r="U5" s="32">
        <v>0.73768931989999997</v>
      </c>
      <c r="V5" s="32">
        <v>0.73768931989999997</v>
      </c>
      <c r="W5" s="32">
        <v>0.73768931989999997</v>
      </c>
      <c r="X5" s="32">
        <v>0.73768931989999997</v>
      </c>
      <c r="Y5" s="32">
        <v>0.73768931989999997</v>
      </c>
      <c r="Z5" s="32">
        <v>0.73768931989999997</v>
      </c>
      <c r="AA5" s="32">
        <v>0.73768931989999997</v>
      </c>
      <c r="AB5" s="32"/>
      <c r="AC5" s="32"/>
      <c r="AD5" s="32"/>
      <c r="AE5" s="32"/>
      <c r="AF5" s="32"/>
      <c r="AG5" s="32"/>
      <c r="AH5" s="32"/>
      <c r="AI5" s="32"/>
      <c r="AJ5" s="32"/>
    </row>
    <row r="6" spans="1:36">
      <c r="B6" s="44" t="s">
        <v>96</v>
      </c>
      <c r="C6" s="32">
        <v>1309.3851865059</v>
      </c>
      <c r="D6" s="32">
        <v>1343.3332266361999</v>
      </c>
      <c r="E6" s="32">
        <v>1377.2812667665</v>
      </c>
      <c r="F6" s="32">
        <v>1411.8248857434</v>
      </c>
      <c r="G6" s="32">
        <v>1446.9640927421999</v>
      </c>
      <c r="H6" s="32">
        <v>1482.6988785875999</v>
      </c>
      <c r="I6" s="32">
        <v>1521.7772189368</v>
      </c>
      <c r="J6" s="32">
        <v>1561.4961804458001</v>
      </c>
      <c r="K6" s="32">
        <v>1601.8557722901</v>
      </c>
      <c r="L6" s="32">
        <v>1643.4966248051001</v>
      </c>
      <c r="M6" s="32">
        <v>1685.7780984799001</v>
      </c>
      <c r="N6" s="32">
        <v>1733.9893115008001</v>
      </c>
      <c r="O6" s="32">
        <v>1782.9200913044999</v>
      </c>
      <c r="P6" s="32">
        <v>1831.8508711083</v>
      </c>
      <c r="Q6" s="32">
        <v>1877.5976208857001</v>
      </c>
      <c r="R6" s="32">
        <v>2198.7256421902998</v>
      </c>
      <c r="S6" s="32">
        <v>2259.9655163790999</v>
      </c>
      <c r="T6" s="32">
        <v>2321.2053905678999</v>
      </c>
      <c r="U6" s="32">
        <v>2383.2292248896001</v>
      </c>
      <c r="V6" s="32">
        <v>2444.6574711892999</v>
      </c>
      <c r="W6" s="32">
        <v>2505.4901386424999</v>
      </c>
      <c r="X6" s="32">
        <v>2575.1311337144998</v>
      </c>
      <c r="Y6" s="32">
        <v>2645.6846370573999</v>
      </c>
      <c r="Z6" s="32">
        <v>2715.5975100649998</v>
      </c>
      <c r="AA6" s="32">
        <v>2784.229122402</v>
      </c>
      <c r="AB6" s="32">
        <v>2852.2201135791001</v>
      </c>
      <c r="AC6" s="32">
        <v>2928.9704813173998</v>
      </c>
      <c r="AD6" s="32">
        <v>3005.0012822727999</v>
      </c>
      <c r="AE6" s="32">
        <v>3082.7921008399999</v>
      </c>
      <c r="AF6" s="32">
        <v>3159.6936250398999</v>
      </c>
      <c r="AG6" s="32">
        <v>3305.4980431077001</v>
      </c>
      <c r="AH6" s="32">
        <v>3391.9993330559</v>
      </c>
      <c r="AI6" s="32">
        <v>3478.5006138286999</v>
      </c>
      <c r="AJ6" s="32">
        <v>3563.6223647974002</v>
      </c>
    </row>
    <row r="7" spans="1:36">
      <c r="B7" s="44" t="s">
        <v>102</v>
      </c>
      <c r="C7" s="32">
        <v>2083.3400352222002</v>
      </c>
      <c r="D7" s="32">
        <v>2083.3400352222002</v>
      </c>
      <c r="E7" s="32">
        <v>2083.3400352222002</v>
      </c>
      <c r="F7" s="32">
        <v>2083.3400352222002</v>
      </c>
      <c r="G7" s="32">
        <v>2083.3400352222002</v>
      </c>
      <c r="H7" s="32">
        <v>2083.3400352222002</v>
      </c>
      <c r="I7" s="32">
        <v>2083.3400352222002</v>
      </c>
      <c r="J7" s="32">
        <v>2083.3400352222002</v>
      </c>
      <c r="K7" s="32">
        <v>2083.3400352222002</v>
      </c>
      <c r="L7" s="32">
        <v>2083.3400352222002</v>
      </c>
      <c r="M7" s="32">
        <v>2083.3400352222002</v>
      </c>
      <c r="N7" s="32">
        <v>2083.3400352222002</v>
      </c>
      <c r="O7" s="32">
        <v>2083.3400352222002</v>
      </c>
      <c r="P7" s="32">
        <v>2083.3400352222002</v>
      </c>
      <c r="Q7" s="32">
        <v>2083.3400352222002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>
      <c r="B8" s="44" t="s">
        <v>103</v>
      </c>
      <c r="C8" s="32"/>
      <c r="D8" s="32">
        <v>2205.9097214191002</v>
      </c>
      <c r="E8" s="32">
        <v>2239.8151232055998</v>
      </c>
      <c r="F8" s="32">
        <v>2273.7113495359999</v>
      </c>
      <c r="G8" s="32">
        <v>2308.6469806935002</v>
      </c>
      <c r="H8" s="32">
        <v>2371.8780664579999</v>
      </c>
      <c r="I8" s="32">
        <v>2404.0009432390998</v>
      </c>
      <c r="J8" s="32">
        <v>2436.0244406566999</v>
      </c>
      <c r="K8" s="32">
        <v>2467.6978118502002</v>
      </c>
      <c r="L8" s="32">
        <v>2500.1291674608001</v>
      </c>
      <c r="M8" s="32">
        <v>2532.2475574439</v>
      </c>
      <c r="N8" s="32">
        <v>2561.8454221477</v>
      </c>
      <c r="O8" s="32">
        <v>2584.1200893594</v>
      </c>
      <c r="P8" s="32">
        <v>2613.7795672499001</v>
      </c>
      <c r="Q8" s="32">
        <v>2642.8012133193001</v>
      </c>
      <c r="R8" s="32">
        <v>2752.3885101727001</v>
      </c>
      <c r="S8" s="32">
        <v>2778.6119633142998</v>
      </c>
      <c r="T8" s="32">
        <v>2804.8354072805</v>
      </c>
      <c r="U8" s="32">
        <v>2831.0680267026</v>
      </c>
      <c r="V8" s="32">
        <v>2857.2914706687998</v>
      </c>
      <c r="W8" s="32">
        <v>2883.5240992663998</v>
      </c>
      <c r="X8" s="32">
        <v>2906.8205727804998</v>
      </c>
      <c r="Y8" s="32">
        <v>2930.1170554700002</v>
      </c>
      <c r="Z8" s="32">
        <v>2953.4135289840001</v>
      </c>
      <c r="AA8" s="32">
        <v>2976.7100116736001</v>
      </c>
      <c r="AB8" s="32">
        <v>3000.0156698189999</v>
      </c>
      <c r="AC8" s="32">
        <v>3020.1741373937998</v>
      </c>
      <c r="AD8" s="32">
        <v>3040.3326141440002</v>
      </c>
      <c r="AE8" s="32">
        <v>3060.4910817188002</v>
      </c>
      <c r="AF8" s="32">
        <v>3080.6587247496</v>
      </c>
      <c r="AG8" s="32">
        <v>3100.8171923243999</v>
      </c>
      <c r="AH8" s="32">
        <v>3118.2138568298001</v>
      </c>
      <c r="AI8" s="32">
        <v>3135.6013458793</v>
      </c>
      <c r="AJ8" s="32">
        <v>3152.9980103847001</v>
      </c>
    </row>
    <row r="9" spans="1:36">
      <c r="B9" s="44" t="s">
        <v>104</v>
      </c>
      <c r="C9" s="32">
        <v>101.9736686537</v>
      </c>
      <c r="D9" s="32">
        <v>101.9736686537</v>
      </c>
      <c r="E9" s="32">
        <v>101.9736686537</v>
      </c>
      <c r="F9" s="32">
        <v>101.9736686537</v>
      </c>
      <c r="G9" s="32">
        <v>101.9736686537</v>
      </c>
      <c r="H9" s="32">
        <v>101.9736686537</v>
      </c>
      <c r="I9" s="32">
        <v>101.9736686537</v>
      </c>
      <c r="J9" s="32">
        <v>101.9736686537</v>
      </c>
      <c r="K9" s="32">
        <v>101.9736686537</v>
      </c>
      <c r="L9" s="32">
        <v>101.9736686537</v>
      </c>
      <c r="M9" s="32">
        <v>101.9736686537</v>
      </c>
      <c r="N9" s="32">
        <v>101.9736686537</v>
      </c>
      <c r="O9" s="32">
        <v>101.9736686537</v>
      </c>
      <c r="P9" s="32">
        <v>101.9736686537</v>
      </c>
      <c r="Q9" s="32">
        <v>101.9736686537</v>
      </c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>
      <c r="B10" s="44" t="s">
        <v>108</v>
      </c>
      <c r="C10" s="32">
        <v>23.647987758799999</v>
      </c>
      <c r="D10" s="32">
        <v>23.647987758799999</v>
      </c>
      <c r="E10" s="32">
        <v>23.647987758799999</v>
      </c>
      <c r="F10" s="32">
        <v>23.647987758799999</v>
      </c>
      <c r="G10" s="32">
        <v>23.647987758799999</v>
      </c>
      <c r="H10" s="32">
        <v>23.647987758799999</v>
      </c>
      <c r="I10" s="32">
        <v>23.647987758799999</v>
      </c>
      <c r="J10" s="32">
        <v>23.647987758799999</v>
      </c>
      <c r="K10" s="32">
        <v>23.647987758799999</v>
      </c>
      <c r="L10" s="32">
        <v>23.647987758799999</v>
      </c>
      <c r="M10" s="32">
        <v>23.647987758799999</v>
      </c>
      <c r="N10" s="32">
        <v>23.647987758799999</v>
      </c>
      <c r="O10" s="32">
        <v>23.647987758799999</v>
      </c>
      <c r="P10" s="32">
        <v>23.647987758799999</v>
      </c>
      <c r="Q10" s="32">
        <v>23.647987758799999</v>
      </c>
      <c r="R10" s="32">
        <v>23.647987758799999</v>
      </c>
      <c r="S10" s="32">
        <v>23.647987758799999</v>
      </c>
      <c r="T10" s="32">
        <v>23.647987758799999</v>
      </c>
      <c r="U10" s="32">
        <v>23.647987758799999</v>
      </c>
      <c r="V10" s="32">
        <v>23.647987758799999</v>
      </c>
      <c r="W10" s="32">
        <v>23.647987758799999</v>
      </c>
      <c r="X10" s="32">
        <v>23.647987758799999</v>
      </c>
      <c r="Y10" s="32">
        <v>23.647987758799999</v>
      </c>
      <c r="Z10" s="32">
        <v>23.647987758799999</v>
      </c>
      <c r="AA10" s="32">
        <v>23.647987758799999</v>
      </c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>
      <c r="B11" s="44" t="s">
        <v>110</v>
      </c>
      <c r="C11" s="32">
        <v>46.682344880000002</v>
      </c>
      <c r="D11" s="32">
        <v>137.70500890010001</v>
      </c>
      <c r="E11" s="32">
        <v>140.83672873250001</v>
      </c>
      <c r="F11" s="32">
        <v>143.95070369320001</v>
      </c>
      <c r="G11" s="32">
        <v>147.04756221829999</v>
      </c>
      <c r="H11" s="32">
        <v>150.1279395011</v>
      </c>
      <c r="I11" s="32">
        <v>153.44366270610001</v>
      </c>
      <c r="J11" s="32">
        <v>156.74291818360001</v>
      </c>
      <c r="K11" s="32">
        <v>160.0263816714</v>
      </c>
      <c r="L11" s="32">
        <v>163.29472214960001</v>
      </c>
      <c r="M11" s="32">
        <v>166.5178692913</v>
      </c>
      <c r="N11" s="32">
        <v>170.15337184270001</v>
      </c>
      <c r="O11" s="32">
        <v>173.7741162829</v>
      </c>
      <c r="P11" s="32">
        <v>177.3808797104</v>
      </c>
      <c r="Q11" s="32">
        <v>180.97442570870001</v>
      </c>
      <c r="R11" s="32">
        <v>184.555511104</v>
      </c>
      <c r="S11" s="32">
        <v>188.78726431960001</v>
      </c>
      <c r="T11" s="32">
        <v>193.005962283</v>
      </c>
      <c r="U11" s="32">
        <v>197.212422637</v>
      </c>
      <c r="V11" s="32">
        <v>201.40742923709999</v>
      </c>
      <c r="W11" s="32">
        <v>205.55181632700001</v>
      </c>
      <c r="X11" s="32">
        <v>210.35264203700001</v>
      </c>
      <c r="Y11" s="32">
        <v>215.143838485</v>
      </c>
      <c r="Z11" s="32">
        <v>219.92939252330001</v>
      </c>
      <c r="AA11" s="32">
        <v>224.62880352100001</v>
      </c>
      <c r="AB11" s="32">
        <v>224.27073687719999</v>
      </c>
      <c r="AC11" s="32">
        <v>220.14820314420001</v>
      </c>
      <c r="AD11" s="32">
        <v>225.172623698</v>
      </c>
      <c r="AE11" s="32">
        <v>230.2060180483</v>
      </c>
      <c r="AF11" s="32">
        <v>235.24863621809999</v>
      </c>
      <c r="AG11" s="32">
        <v>240.23669532689999</v>
      </c>
      <c r="AH11" s="32">
        <v>245.7430655149</v>
      </c>
      <c r="AI11" s="32">
        <v>251.26590343039999</v>
      </c>
      <c r="AJ11" s="32">
        <v>256.8045333357</v>
      </c>
    </row>
    <row r="12" spans="1:36">
      <c r="B12" s="44" t="s">
        <v>113</v>
      </c>
      <c r="C12" s="32">
        <v>0.2391232959</v>
      </c>
      <c r="D12" s="32">
        <v>0.2391232959</v>
      </c>
      <c r="E12" s="32">
        <v>0.2391232959</v>
      </c>
      <c r="F12" s="32">
        <v>0.2391232959</v>
      </c>
      <c r="G12" s="32">
        <v>0.2391232959</v>
      </c>
      <c r="H12" s="32">
        <v>0.2391232959</v>
      </c>
      <c r="I12" s="32">
        <v>0.2391232959</v>
      </c>
      <c r="J12" s="32">
        <v>0.2391232959</v>
      </c>
      <c r="K12" s="32">
        <v>0.2391232959</v>
      </c>
      <c r="L12" s="32">
        <v>0.2391232959</v>
      </c>
      <c r="M12" s="32">
        <v>0.2391232959</v>
      </c>
      <c r="N12" s="32">
        <v>0.2391232959</v>
      </c>
      <c r="O12" s="32">
        <v>0.2391232959</v>
      </c>
      <c r="P12" s="32">
        <v>0.2391232959</v>
      </c>
      <c r="Q12" s="32">
        <v>0.2391232959</v>
      </c>
      <c r="R12" s="32">
        <v>0.2391232959</v>
      </c>
      <c r="S12" s="32">
        <v>0.2391232959</v>
      </c>
      <c r="T12" s="32">
        <v>0.2391232959</v>
      </c>
      <c r="U12" s="32">
        <v>0.2391232959</v>
      </c>
      <c r="V12" s="32">
        <v>0.2391232959</v>
      </c>
      <c r="W12" s="32">
        <v>0.2391232959</v>
      </c>
      <c r="X12" s="32">
        <v>0.2391232959</v>
      </c>
      <c r="Y12" s="32">
        <v>0.2391232959</v>
      </c>
      <c r="Z12" s="32">
        <v>0.2391232959</v>
      </c>
      <c r="AA12" s="32">
        <v>0.2391232959</v>
      </c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>
      <c r="B13" s="44" t="s">
        <v>115</v>
      </c>
      <c r="C13" s="32">
        <v>30.260844625000001</v>
      </c>
      <c r="D13" s="32">
        <v>30.260844625000001</v>
      </c>
      <c r="E13" s="32">
        <v>30.260844625000001</v>
      </c>
      <c r="F13" s="32">
        <v>30.260844625000001</v>
      </c>
      <c r="G13" s="32">
        <v>30.260844625000001</v>
      </c>
      <c r="H13" s="32">
        <v>30.260844625000001</v>
      </c>
      <c r="I13" s="32">
        <v>30.260844625000001</v>
      </c>
      <c r="J13" s="32">
        <v>30.260844625000001</v>
      </c>
      <c r="K13" s="32">
        <v>30.260844625000001</v>
      </c>
      <c r="L13" s="32">
        <v>30.260844625000001</v>
      </c>
      <c r="M13" s="32">
        <v>30.260844625000001</v>
      </c>
      <c r="N13" s="32">
        <v>30.260844625000001</v>
      </c>
      <c r="O13" s="32">
        <v>30.260844625000001</v>
      </c>
      <c r="P13" s="32">
        <v>30.260844625000001</v>
      </c>
      <c r="Q13" s="32">
        <v>30.260844625000001</v>
      </c>
      <c r="R13" s="32">
        <v>30.260844625000001</v>
      </c>
      <c r="S13" s="32">
        <v>30.260844625000001</v>
      </c>
      <c r="T13" s="32">
        <v>30.260844625000001</v>
      </c>
      <c r="U13" s="32">
        <v>30.260844625000001</v>
      </c>
      <c r="V13" s="32">
        <v>30.260844625000001</v>
      </c>
      <c r="W13" s="32">
        <v>30.260844625000001</v>
      </c>
      <c r="X13" s="32">
        <v>30.260844625000001</v>
      </c>
      <c r="Y13" s="32">
        <v>30.260844625000001</v>
      </c>
      <c r="Z13" s="32">
        <v>30.260844625000001</v>
      </c>
      <c r="AA13" s="32">
        <v>30.260844625000001</v>
      </c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>
      <c r="B14" s="44" t="s">
        <v>116</v>
      </c>
      <c r="C14" s="32">
        <v>23.647987758799999</v>
      </c>
      <c r="D14" s="32">
        <v>23.647987758799999</v>
      </c>
      <c r="E14" s="32">
        <v>23.647987758799999</v>
      </c>
      <c r="F14" s="32">
        <v>23.647987758799999</v>
      </c>
      <c r="G14" s="32">
        <v>23.647987758799999</v>
      </c>
      <c r="H14" s="32">
        <v>23.647987758799999</v>
      </c>
      <c r="I14" s="32">
        <v>23.647987758799999</v>
      </c>
      <c r="J14" s="32">
        <v>23.647987758799999</v>
      </c>
      <c r="K14" s="32">
        <v>23.647987758799999</v>
      </c>
      <c r="L14" s="32">
        <v>23.647987758799999</v>
      </c>
      <c r="M14" s="32">
        <v>23.647987758799999</v>
      </c>
      <c r="N14" s="32">
        <v>23.647987758799999</v>
      </c>
      <c r="O14" s="32">
        <v>23.647987758799999</v>
      </c>
      <c r="P14" s="32">
        <v>23.647987758799999</v>
      </c>
      <c r="Q14" s="32">
        <v>23.647987758799999</v>
      </c>
      <c r="R14" s="32">
        <v>23.647987758799999</v>
      </c>
      <c r="S14" s="32">
        <v>23.647987758799999</v>
      </c>
      <c r="T14" s="32">
        <v>23.647987758799999</v>
      </c>
      <c r="U14" s="32">
        <v>23.647987758799999</v>
      </c>
      <c r="V14" s="32">
        <v>23.647987758799999</v>
      </c>
      <c r="W14" s="32">
        <v>23.647987758799999</v>
      </c>
      <c r="X14" s="32">
        <v>23.647987758799999</v>
      </c>
      <c r="Y14" s="32">
        <v>23.647987758799999</v>
      </c>
      <c r="Z14" s="32">
        <v>23.647987758799999</v>
      </c>
      <c r="AA14" s="32">
        <v>23.647987758799999</v>
      </c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>
      <c r="B15" s="44" t="s">
        <v>117</v>
      </c>
      <c r="C15" s="32">
        <v>46.682344880000002</v>
      </c>
      <c r="D15" s="32">
        <v>136.7911344927</v>
      </c>
      <c r="E15" s="32">
        <v>139.92285432509999</v>
      </c>
      <c r="F15" s="32">
        <v>143.0368292858</v>
      </c>
      <c r="G15" s="32">
        <v>146.1336878109</v>
      </c>
      <c r="H15" s="32">
        <v>149.21406509369999</v>
      </c>
      <c r="I15" s="32">
        <v>152.5297882987</v>
      </c>
      <c r="J15" s="32">
        <v>155.8290437762</v>
      </c>
      <c r="K15" s="32">
        <v>159.11250726399999</v>
      </c>
      <c r="L15" s="32">
        <v>162.38084774230001</v>
      </c>
      <c r="M15" s="32">
        <v>165.60399488389999</v>
      </c>
      <c r="N15" s="32">
        <v>169.2394974353</v>
      </c>
      <c r="O15" s="32">
        <v>172.86024187550001</v>
      </c>
      <c r="P15" s="32">
        <v>176.46700530300001</v>
      </c>
      <c r="Q15" s="32">
        <v>180.06055130129999</v>
      </c>
      <c r="R15" s="32">
        <v>183.64163669659999</v>
      </c>
      <c r="S15" s="32">
        <v>187.8733899122</v>
      </c>
      <c r="T15" s="32">
        <v>192.0920878757</v>
      </c>
      <c r="U15" s="32">
        <v>196.29854822959999</v>
      </c>
      <c r="V15" s="32">
        <v>200.4935548297</v>
      </c>
      <c r="W15" s="32">
        <v>204.6379419196</v>
      </c>
      <c r="X15" s="32">
        <v>209.43876762959999</v>
      </c>
      <c r="Y15" s="32">
        <v>214.22996407759999</v>
      </c>
      <c r="Z15" s="32">
        <v>219.01551811589999</v>
      </c>
      <c r="AA15" s="32">
        <v>223.71492911359999</v>
      </c>
      <c r="AB15" s="32">
        <v>224.1767755516</v>
      </c>
      <c r="AC15" s="32">
        <v>220.1492843245</v>
      </c>
      <c r="AD15" s="32">
        <v>225.17370487829999</v>
      </c>
      <c r="AE15" s="32">
        <v>230.20709922859999</v>
      </c>
      <c r="AF15" s="32">
        <v>235.24971739840001</v>
      </c>
      <c r="AG15" s="32">
        <v>240.23777650720001</v>
      </c>
      <c r="AH15" s="32">
        <v>245.74414669519999</v>
      </c>
      <c r="AI15" s="32">
        <v>251.26698461070001</v>
      </c>
      <c r="AJ15" s="32">
        <v>256.80561451599999</v>
      </c>
    </row>
    <row r="16" spans="1:36">
      <c r="B16" s="44" t="s">
        <v>118</v>
      </c>
      <c r="C16" s="32"/>
      <c r="D16" s="32">
        <v>1.3275948071999999</v>
      </c>
      <c r="E16" s="32">
        <v>1.3275948071999999</v>
      </c>
      <c r="F16" s="32">
        <v>1.3275948071999999</v>
      </c>
      <c r="G16" s="32">
        <v>1.3275948071999999</v>
      </c>
      <c r="H16" s="32">
        <v>1.3275948071999999</v>
      </c>
      <c r="I16" s="32">
        <v>1.3275948071999999</v>
      </c>
      <c r="J16" s="32">
        <v>1.3275948071999999</v>
      </c>
      <c r="K16" s="32">
        <v>1.3275948071999999</v>
      </c>
      <c r="L16" s="32">
        <v>1.3275948071999999</v>
      </c>
      <c r="M16" s="32">
        <v>1.3275948071999999</v>
      </c>
      <c r="N16" s="32">
        <v>1.3275948071999999</v>
      </c>
      <c r="O16" s="32">
        <v>1.3275948071999999</v>
      </c>
      <c r="P16" s="32">
        <v>1.3275948071999999</v>
      </c>
      <c r="Q16" s="32">
        <v>1.3275948071999999</v>
      </c>
      <c r="R16" s="32">
        <v>1.3275948071999999</v>
      </c>
      <c r="S16" s="32">
        <v>1.3275948071999999</v>
      </c>
      <c r="T16" s="32">
        <v>1.3275948071999999</v>
      </c>
      <c r="U16" s="32">
        <v>1.3275948071999999</v>
      </c>
      <c r="V16" s="32">
        <v>1.3275948071999999</v>
      </c>
      <c r="W16" s="32">
        <v>1.3275948071999999</v>
      </c>
      <c r="X16" s="32">
        <v>1.3275948071999999</v>
      </c>
      <c r="Y16" s="32">
        <v>1.3275948071999999</v>
      </c>
      <c r="Z16" s="32">
        <v>1.3275948071999999</v>
      </c>
      <c r="AA16" s="32">
        <v>1.3275948071999999</v>
      </c>
      <c r="AB16" s="32">
        <v>1.3275948071999999</v>
      </c>
      <c r="AC16" s="32"/>
      <c r="AD16" s="32"/>
      <c r="AE16" s="32"/>
      <c r="AF16" s="32"/>
      <c r="AG16" s="32"/>
      <c r="AH16" s="32"/>
      <c r="AI16" s="32"/>
      <c r="AJ16" s="32"/>
    </row>
    <row r="17" spans="2:36">
      <c r="B17" s="44" t="s">
        <v>120</v>
      </c>
      <c r="C17" s="32">
        <v>0.2197161094</v>
      </c>
      <c r="D17" s="32">
        <v>0.2197161094</v>
      </c>
      <c r="E17" s="32">
        <v>0.2197161094</v>
      </c>
      <c r="F17" s="32">
        <v>0.2197161094</v>
      </c>
      <c r="G17" s="32">
        <v>0.2197161094</v>
      </c>
      <c r="H17" s="32">
        <v>0.2197161094</v>
      </c>
      <c r="I17" s="32">
        <v>0.2197161094</v>
      </c>
      <c r="J17" s="32">
        <v>0.2197161094</v>
      </c>
      <c r="K17" s="32">
        <v>0.2197161094</v>
      </c>
      <c r="L17" s="32">
        <v>0.2197161094</v>
      </c>
      <c r="M17" s="32">
        <v>0.2197161094</v>
      </c>
      <c r="N17" s="32">
        <v>0.2197161094</v>
      </c>
      <c r="O17" s="32">
        <v>0.2197161094</v>
      </c>
      <c r="P17" s="32">
        <v>0.2197161094</v>
      </c>
      <c r="Q17" s="32">
        <v>0.2197161094</v>
      </c>
      <c r="R17" s="32">
        <v>0.2197161094</v>
      </c>
      <c r="S17" s="32">
        <v>0.2197161094</v>
      </c>
      <c r="T17" s="32">
        <v>0.2197161094</v>
      </c>
      <c r="U17" s="32">
        <v>0.2197161094</v>
      </c>
      <c r="V17" s="32">
        <v>0.2197161094</v>
      </c>
      <c r="W17" s="32">
        <v>0.2197161094</v>
      </c>
      <c r="X17" s="32">
        <v>0.2197161094</v>
      </c>
      <c r="Y17" s="32">
        <v>0.2197161094</v>
      </c>
      <c r="Z17" s="32">
        <v>0.2197161094</v>
      </c>
      <c r="AA17" s="32">
        <v>0.2197161094</v>
      </c>
      <c r="AB17" s="32"/>
      <c r="AC17" s="32"/>
      <c r="AD17" s="32"/>
      <c r="AE17" s="32"/>
      <c r="AF17" s="32"/>
      <c r="AG17" s="32"/>
      <c r="AH17" s="32"/>
      <c r="AI17" s="32"/>
      <c r="AJ17" s="32"/>
    </row>
    <row r="18" spans="2:36">
      <c r="B18" s="44" t="s">
        <v>121</v>
      </c>
      <c r="C18" s="32">
        <v>34.242721657799997</v>
      </c>
      <c r="D18" s="32">
        <v>34.242721657799997</v>
      </c>
      <c r="E18" s="32">
        <v>34.242721657799997</v>
      </c>
      <c r="F18" s="32">
        <v>34.242721657799997</v>
      </c>
      <c r="G18" s="32">
        <v>34.242721657799997</v>
      </c>
      <c r="H18" s="32">
        <v>34.242721657799997</v>
      </c>
      <c r="I18" s="32">
        <v>34.242721657799997</v>
      </c>
      <c r="J18" s="32">
        <v>34.242721657799997</v>
      </c>
      <c r="K18" s="32">
        <v>34.242721657799997</v>
      </c>
      <c r="L18" s="32">
        <v>34.242721657799997</v>
      </c>
      <c r="M18" s="32">
        <v>34.242721657799997</v>
      </c>
      <c r="N18" s="32">
        <v>34.242721657799997</v>
      </c>
      <c r="O18" s="32">
        <v>34.242721657799997</v>
      </c>
      <c r="P18" s="32">
        <v>34.242721657799997</v>
      </c>
      <c r="Q18" s="32">
        <v>34.242721657799997</v>
      </c>
      <c r="R18" s="32">
        <v>34.242721657799997</v>
      </c>
      <c r="S18" s="32">
        <v>34.242721657799997</v>
      </c>
      <c r="T18" s="32">
        <v>34.242721657799997</v>
      </c>
      <c r="U18" s="32">
        <v>34.242721657799997</v>
      </c>
      <c r="V18" s="32">
        <v>34.242721657799997</v>
      </c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</row>
    <row r="19" spans="2:36">
      <c r="B19" s="44" t="s">
        <v>132</v>
      </c>
      <c r="C19" s="32"/>
      <c r="D19" s="32"/>
      <c r="E19" s="32">
        <v>20.480610924099999</v>
      </c>
      <c r="F19" s="32">
        <v>21.979192211200001</v>
      </c>
      <c r="G19" s="32">
        <v>24.451851334899999</v>
      </c>
      <c r="H19" s="32">
        <v>24.451851334899999</v>
      </c>
      <c r="I19" s="32">
        <v>24.451851334899999</v>
      </c>
      <c r="J19" s="32">
        <v>24.451851334899999</v>
      </c>
      <c r="K19" s="32">
        <v>24.451851334899999</v>
      </c>
      <c r="L19" s="32">
        <v>24.451851334899999</v>
      </c>
      <c r="M19" s="32">
        <v>24.451851334899999</v>
      </c>
      <c r="N19" s="32">
        <v>24.451851334899999</v>
      </c>
      <c r="O19" s="32">
        <v>24.451851334899999</v>
      </c>
      <c r="P19" s="32">
        <v>24.451851334899999</v>
      </c>
      <c r="Q19" s="32">
        <v>24.451851334899999</v>
      </c>
      <c r="R19" s="32">
        <v>24.451851334899999</v>
      </c>
      <c r="S19" s="32">
        <v>24.451851334899999</v>
      </c>
      <c r="T19" s="32">
        <v>24.451851334899999</v>
      </c>
      <c r="U19" s="32">
        <v>24.451851334899999</v>
      </c>
      <c r="V19" s="32">
        <v>24.451851334899999</v>
      </c>
      <c r="W19" s="32">
        <v>24.451851334899999</v>
      </c>
      <c r="X19" s="32">
        <v>24.451851334899999</v>
      </c>
      <c r="Y19" s="32">
        <v>24.451851334899999</v>
      </c>
      <c r="Z19" s="32">
        <v>24.451851334899999</v>
      </c>
      <c r="AA19" s="32">
        <v>24.451851334899999</v>
      </c>
      <c r="AB19" s="32">
        <v>24.451851334899999</v>
      </c>
      <c r="AC19" s="32">
        <v>24.451851334899999</v>
      </c>
      <c r="AD19" s="32">
        <v>24.451851334899999</v>
      </c>
      <c r="AE19" s="32">
        <v>24.451851334899999</v>
      </c>
      <c r="AF19" s="32">
        <v>24.451851334899999</v>
      </c>
      <c r="AG19" s="32">
        <v>24.451851334899999</v>
      </c>
      <c r="AH19" s="32">
        <v>24.451851334899999</v>
      </c>
      <c r="AI19" s="32">
        <v>24.451851334899999</v>
      </c>
      <c r="AJ19" s="32">
        <v>24.451851334899999</v>
      </c>
    </row>
    <row r="20" spans="2:36">
      <c r="B20" s="44" t="s">
        <v>135</v>
      </c>
      <c r="C20" s="32"/>
      <c r="D20" s="32">
        <v>12.9732737057</v>
      </c>
      <c r="E20" s="32">
        <v>19.993849520800001</v>
      </c>
      <c r="F20" s="32">
        <v>19.993849520800001</v>
      </c>
      <c r="G20" s="32">
        <v>20.801973355600001</v>
      </c>
      <c r="H20" s="32">
        <v>20.801973355600001</v>
      </c>
      <c r="I20" s="32">
        <v>20.801973355600001</v>
      </c>
      <c r="J20" s="32">
        <v>20.801973355600001</v>
      </c>
      <c r="K20" s="32">
        <v>20.801973355600001</v>
      </c>
      <c r="L20" s="32">
        <v>20.801973355600001</v>
      </c>
      <c r="M20" s="32">
        <v>20.801973355600001</v>
      </c>
      <c r="N20" s="32">
        <v>20.801973355600001</v>
      </c>
      <c r="O20" s="32">
        <v>20.801973355600001</v>
      </c>
      <c r="P20" s="32">
        <v>20.801973355600001</v>
      </c>
      <c r="Q20" s="32">
        <v>20.801973355600001</v>
      </c>
      <c r="R20" s="32">
        <v>20.801973355600001</v>
      </c>
      <c r="S20" s="32">
        <v>20.801973355600001</v>
      </c>
      <c r="T20" s="32">
        <v>20.801973355600001</v>
      </c>
      <c r="U20" s="32">
        <v>20.801973355600001</v>
      </c>
      <c r="V20" s="32">
        <v>20.801973355600001</v>
      </c>
      <c r="W20" s="32">
        <v>20.801973355600001</v>
      </c>
      <c r="X20" s="32">
        <v>20.801973355600001</v>
      </c>
      <c r="Y20" s="32">
        <v>20.801973355600001</v>
      </c>
      <c r="Z20" s="32">
        <v>20.801973355600001</v>
      </c>
      <c r="AA20" s="32">
        <v>20.801973355600001</v>
      </c>
      <c r="AB20" s="32">
        <v>20.801973355600001</v>
      </c>
      <c r="AC20" s="32">
        <v>20.801973355600001</v>
      </c>
      <c r="AD20" s="32">
        <v>20.801973355600001</v>
      </c>
      <c r="AE20" s="32">
        <v>20.801973355600001</v>
      </c>
      <c r="AF20" s="32">
        <v>20.801973355600001</v>
      </c>
      <c r="AG20" s="32">
        <v>20.801973355600001</v>
      </c>
      <c r="AH20" s="32">
        <v>20.801973355600001</v>
      </c>
      <c r="AI20" s="32">
        <v>20.801973355600001</v>
      </c>
      <c r="AJ20" s="32">
        <v>20.801973355600001</v>
      </c>
    </row>
    <row r="21" spans="2:36">
      <c r="B21" s="44" t="s">
        <v>138</v>
      </c>
      <c r="C21" s="32"/>
      <c r="D21" s="32"/>
      <c r="E21" s="32">
        <v>0.90358901309999995</v>
      </c>
      <c r="F21" s="32">
        <v>69.548413795200005</v>
      </c>
      <c r="G21" s="32">
        <v>71.190131796499998</v>
      </c>
      <c r="H21" s="32">
        <v>79.908544706900003</v>
      </c>
      <c r="I21" s="32">
        <v>283.54049330790002</v>
      </c>
      <c r="J21" s="32">
        <v>488.63028953650002</v>
      </c>
      <c r="K21" s="32">
        <v>698.77249152130003</v>
      </c>
      <c r="L21" s="32">
        <v>746.15278085709997</v>
      </c>
      <c r="M21" s="32">
        <v>746.15278085709997</v>
      </c>
      <c r="N21" s="32">
        <v>746.15278085709997</v>
      </c>
      <c r="O21" s="32">
        <v>746.15278085709997</v>
      </c>
      <c r="P21" s="32">
        <v>780.3426354078</v>
      </c>
      <c r="Q21" s="32">
        <v>780.3426354078</v>
      </c>
      <c r="R21" s="32">
        <v>780.3426354078</v>
      </c>
      <c r="S21" s="32">
        <v>806.83977268470005</v>
      </c>
      <c r="T21" s="32">
        <v>955.85869587649995</v>
      </c>
      <c r="U21" s="32">
        <v>955.85869587649995</v>
      </c>
      <c r="V21" s="32">
        <v>955.85869587649995</v>
      </c>
      <c r="W21" s="32">
        <v>955.85869587649995</v>
      </c>
      <c r="X21" s="32">
        <v>955.85869587649995</v>
      </c>
      <c r="Y21" s="32">
        <v>955.85869587649995</v>
      </c>
      <c r="Z21" s="32">
        <v>955.85869587649995</v>
      </c>
      <c r="AA21" s="32">
        <v>955.85869587649995</v>
      </c>
      <c r="AB21" s="32">
        <v>955.85869587649995</v>
      </c>
      <c r="AC21" s="32">
        <v>955.85869587649995</v>
      </c>
      <c r="AD21" s="32">
        <v>955.85869587649995</v>
      </c>
      <c r="AE21" s="32">
        <v>955.85869587649995</v>
      </c>
      <c r="AF21" s="32">
        <v>955.85869587649995</v>
      </c>
      <c r="AG21" s="32">
        <v>956.97401777460004</v>
      </c>
      <c r="AH21" s="32">
        <v>956.97401777460004</v>
      </c>
      <c r="AI21" s="32">
        <v>956.97401777460004</v>
      </c>
      <c r="AJ21" s="32">
        <v>956.97401777460004</v>
      </c>
    </row>
    <row r="22" spans="2:36">
      <c r="B22" s="44" t="s">
        <v>142</v>
      </c>
      <c r="C22" s="32"/>
      <c r="D22" s="32">
        <v>107.780161326</v>
      </c>
      <c r="E22" s="32">
        <v>222.16092839379999</v>
      </c>
      <c r="F22" s="32">
        <v>222.16092839379999</v>
      </c>
      <c r="G22" s="32">
        <v>311.35830328430001</v>
      </c>
      <c r="H22" s="32">
        <v>311.35830328430001</v>
      </c>
      <c r="I22" s="32">
        <v>311.35830328430001</v>
      </c>
      <c r="J22" s="32">
        <v>311.35830328430001</v>
      </c>
      <c r="K22" s="32">
        <v>311.35830328430001</v>
      </c>
      <c r="L22" s="32">
        <v>311.35830328430001</v>
      </c>
      <c r="M22" s="32">
        <v>311.35830328430001</v>
      </c>
      <c r="N22" s="32">
        <v>439.7715270388</v>
      </c>
      <c r="O22" s="32">
        <v>903.90693861579996</v>
      </c>
      <c r="P22" s="32">
        <v>1067.2985345205</v>
      </c>
      <c r="Q22" s="32">
        <v>1230.6901304252001</v>
      </c>
      <c r="R22" s="32">
        <v>1394.0817263297999</v>
      </c>
      <c r="S22" s="32">
        <v>1706.0797234544</v>
      </c>
      <c r="T22" s="32">
        <v>1904.4997298850999</v>
      </c>
      <c r="U22" s="32">
        <v>2202.6844796291998</v>
      </c>
      <c r="V22" s="32">
        <v>2491.7926396520002</v>
      </c>
      <c r="W22" s="32">
        <v>2491.7926396520002</v>
      </c>
      <c r="X22" s="32">
        <v>2580.0065796974</v>
      </c>
      <c r="Y22" s="32">
        <v>2760.2473637549001</v>
      </c>
      <c r="Z22" s="32">
        <v>2940.8878939568999</v>
      </c>
      <c r="AA22" s="32">
        <v>3121.9037896875002</v>
      </c>
      <c r="AB22" s="32">
        <v>3308.467039097</v>
      </c>
      <c r="AC22" s="32">
        <v>3542.9885139884</v>
      </c>
      <c r="AD22" s="32">
        <v>3731.6843442413001</v>
      </c>
      <c r="AE22" s="32">
        <v>3902.9326746771999</v>
      </c>
      <c r="AF22" s="32">
        <v>3898.5043966695998</v>
      </c>
      <c r="AG22" s="32">
        <v>3898.5043966695998</v>
      </c>
      <c r="AH22" s="32">
        <v>4106.7128013880001</v>
      </c>
      <c r="AI22" s="32">
        <v>4273.6079553030004</v>
      </c>
      <c r="AJ22" s="32">
        <v>4537.371458349</v>
      </c>
    </row>
    <row r="23" spans="2:36">
      <c r="B23" s="44" t="s">
        <v>145</v>
      </c>
      <c r="C23" s="32">
        <v>210.6473130039</v>
      </c>
      <c r="D23" s="32">
        <v>578.38260473260004</v>
      </c>
      <c r="E23" s="32">
        <v>580.67143871919995</v>
      </c>
      <c r="F23" s="32">
        <v>587.40838403819998</v>
      </c>
      <c r="G23" s="32">
        <v>592.47548820980001</v>
      </c>
      <c r="H23" s="32">
        <v>592.47548820980001</v>
      </c>
      <c r="I23" s="32">
        <v>592.47548820980001</v>
      </c>
      <c r="J23" s="32">
        <v>592.47548820980001</v>
      </c>
      <c r="K23" s="32">
        <v>592.47548820980001</v>
      </c>
      <c r="L23" s="32">
        <v>592.47548820980001</v>
      </c>
      <c r="M23" s="32">
        <v>592.47548820980001</v>
      </c>
      <c r="N23" s="32">
        <v>592.47548820980001</v>
      </c>
      <c r="O23" s="32">
        <v>592.47548820980001</v>
      </c>
      <c r="P23" s="32">
        <v>592.47548820980001</v>
      </c>
      <c r="Q23" s="32">
        <v>592.47548820980001</v>
      </c>
      <c r="R23" s="32">
        <v>592.47548820980001</v>
      </c>
      <c r="S23" s="32">
        <v>592.47548820980001</v>
      </c>
      <c r="T23" s="32">
        <v>592.47548820980001</v>
      </c>
      <c r="U23" s="32">
        <v>592.47548820980001</v>
      </c>
      <c r="V23" s="32">
        <v>592.47548820980001</v>
      </c>
      <c r="W23" s="32">
        <v>592.47548820980001</v>
      </c>
      <c r="X23" s="32">
        <v>592.47548820980001</v>
      </c>
      <c r="Y23" s="32">
        <v>592.47548820980001</v>
      </c>
      <c r="Z23" s="32">
        <v>592.47548820980001</v>
      </c>
      <c r="AA23" s="32">
        <v>592.47548820980001</v>
      </c>
      <c r="AB23" s="32">
        <v>592.47548820980001</v>
      </c>
      <c r="AC23" s="32">
        <v>592.47548820980001</v>
      </c>
      <c r="AD23" s="32">
        <v>592.47548820980001</v>
      </c>
      <c r="AE23" s="32">
        <v>592.47548820980001</v>
      </c>
      <c r="AF23" s="32">
        <v>592.47548820980001</v>
      </c>
      <c r="AG23" s="32">
        <v>592.47548820980001</v>
      </c>
      <c r="AH23" s="32">
        <v>592.47548820980001</v>
      </c>
      <c r="AI23" s="32">
        <v>592.47548820980001</v>
      </c>
      <c r="AJ23" s="32">
        <v>592.47548820980001</v>
      </c>
    </row>
    <row r="24" spans="2:36">
      <c r="B24" s="44" t="s">
        <v>146</v>
      </c>
      <c r="C24" s="32"/>
      <c r="D24" s="32"/>
      <c r="E24" s="32"/>
      <c r="F24" s="32"/>
      <c r="G24" s="32"/>
      <c r="H24" s="32">
        <v>71.357899912400001</v>
      </c>
      <c r="I24" s="32">
        <v>71.357899912400001</v>
      </c>
      <c r="J24" s="32">
        <v>71.357899912400001</v>
      </c>
      <c r="K24" s="32">
        <v>71.357899912400001</v>
      </c>
      <c r="L24" s="32">
        <v>71.357899912400001</v>
      </c>
      <c r="M24" s="32">
        <v>71.357899912400001</v>
      </c>
      <c r="N24" s="32">
        <v>71.357899912400001</v>
      </c>
      <c r="O24" s="32">
        <v>71.357899912400001</v>
      </c>
      <c r="P24" s="32">
        <v>71.357899912400001</v>
      </c>
      <c r="Q24" s="32">
        <v>71.357899912400001</v>
      </c>
      <c r="R24" s="32">
        <v>71.357899912400001</v>
      </c>
      <c r="S24" s="32">
        <v>71.357899912400001</v>
      </c>
      <c r="T24" s="32">
        <v>71.357899912400001</v>
      </c>
      <c r="U24" s="32">
        <v>74.035199664000004</v>
      </c>
      <c r="V24" s="32">
        <v>134.48043595190001</v>
      </c>
      <c r="W24" s="32">
        <v>252.4343147104</v>
      </c>
      <c r="X24" s="32">
        <v>309.546305915</v>
      </c>
      <c r="Y24" s="32">
        <v>324.8717866687</v>
      </c>
      <c r="Z24" s="32">
        <v>338.90417578159997</v>
      </c>
      <c r="AA24" s="32">
        <v>358.2310237433</v>
      </c>
      <c r="AB24" s="32">
        <v>378.68358312049997</v>
      </c>
      <c r="AC24" s="32">
        <v>445.38710995209999</v>
      </c>
      <c r="AD24" s="32">
        <v>465.4709260299</v>
      </c>
      <c r="AE24" s="32">
        <v>495.35106004120001</v>
      </c>
      <c r="AF24" s="32">
        <v>623.77278457579996</v>
      </c>
      <c r="AG24" s="32">
        <v>832.45589502040002</v>
      </c>
      <c r="AH24" s="32">
        <v>859.35933693979996</v>
      </c>
      <c r="AI24" s="32">
        <v>887.86833160720005</v>
      </c>
      <c r="AJ24" s="32">
        <v>914.89340631059997</v>
      </c>
    </row>
    <row r="25" spans="2:36">
      <c r="B25" s="44" t="s">
        <v>150</v>
      </c>
      <c r="C25" s="32"/>
      <c r="D25" s="32">
        <v>17.8767600929</v>
      </c>
      <c r="E25" s="32">
        <v>35.182746503700002</v>
      </c>
      <c r="F25" s="32">
        <v>43.737239445599997</v>
      </c>
      <c r="G25" s="32">
        <v>96.293446186699995</v>
      </c>
      <c r="H25" s="32">
        <v>110.19144367200001</v>
      </c>
      <c r="I25" s="32">
        <v>110.19144367200001</v>
      </c>
      <c r="J25" s="32">
        <v>110.19144367200001</v>
      </c>
      <c r="K25" s="32">
        <v>110.19144367200001</v>
      </c>
      <c r="L25" s="32">
        <v>110.19144367200001</v>
      </c>
      <c r="M25" s="32">
        <v>455.58903280880003</v>
      </c>
      <c r="N25" s="32">
        <v>455.58903280880003</v>
      </c>
      <c r="O25" s="32">
        <v>455.58903280880003</v>
      </c>
      <c r="P25" s="32">
        <v>455.58903280880003</v>
      </c>
      <c r="Q25" s="32">
        <v>456.74671292900001</v>
      </c>
      <c r="R25" s="32">
        <v>456.74671292900001</v>
      </c>
      <c r="S25" s="32">
        <v>456.74671292900001</v>
      </c>
      <c r="T25" s="32">
        <v>456.74671292900001</v>
      </c>
      <c r="U25" s="32">
        <v>456.74671292900001</v>
      </c>
      <c r="V25" s="32">
        <v>456.74671292900001</v>
      </c>
      <c r="W25" s="32">
        <v>960.52234226309997</v>
      </c>
      <c r="X25" s="32">
        <v>1003.6008832679</v>
      </c>
      <c r="Y25" s="32">
        <v>1048.6242453433999</v>
      </c>
      <c r="Z25" s="32">
        <v>1092.6186547957</v>
      </c>
      <c r="AA25" s="32">
        <v>1136.2447987809001</v>
      </c>
      <c r="AB25" s="32">
        <v>1181.9639943735999</v>
      </c>
      <c r="AC25" s="32">
        <v>1241.5086705900001</v>
      </c>
      <c r="AD25" s="32">
        <v>1286.2506263527</v>
      </c>
      <c r="AE25" s="32">
        <v>1371.3036120383999</v>
      </c>
      <c r="AF25" s="32">
        <v>1371.3036120383999</v>
      </c>
      <c r="AG25" s="32">
        <v>1589.5034289794</v>
      </c>
      <c r="AH25" s="32">
        <v>1617.8316004472999</v>
      </c>
      <c r="AI25" s="32">
        <v>1646.7805732485999</v>
      </c>
      <c r="AJ25" s="32">
        <v>1681.5174014577999</v>
      </c>
    </row>
    <row r="26" spans="2:36">
      <c r="B26" s="44" t="s">
        <v>152</v>
      </c>
      <c r="C26" s="32">
        <v>24.191247073500001</v>
      </c>
      <c r="D26" s="32">
        <v>39.447849884599997</v>
      </c>
      <c r="E26" s="32">
        <v>39.447849884599997</v>
      </c>
      <c r="F26" s="32">
        <v>41.740986002900001</v>
      </c>
      <c r="G26" s="32">
        <v>41.740986002900001</v>
      </c>
      <c r="H26" s="32">
        <v>41.740986002900001</v>
      </c>
      <c r="I26" s="32">
        <v>41.740986002900001</v>
      </c>
      <c r="J26" s="32">
        <v>41.740986002900001</v>
      </c>
      <c r="K26" s="32">
        <v>41.740986002900001</v>
      </c>
      <c r="L26" s="32">
        <v>41.740986002900001</v>
      </c>
      <c r="M26" s="32">
        <v>41.740986002900001</v>
      </c>
      <c r="N26" s="32">
        <v>41.740986002900001</v>
      </c>
      <c r="O26" s="32">
        <v>41.740986002900001</v>
      </c>
      <c r="P26" s="32">
        <v>41.740986002900001</v>
      </c>
      <c r="Q26" s="32">
        <v>41.740986002900001</v>
      </c>
      <c r="R26" s="32">
        <v>41.740986002900001</v>
      </c>
      <c r="S26" s="32">
        <v>41.740986002900001</v>
      </c>
      <c r="T26" s="32">
        <v>41.740986002900001</v>
      </c>
      <c r="U26" s="32">
        <v>41.740986002900001</v>
      </c>
      <c r="V26" s="32">
        <v>41.740986002900001</v>
      </c>
      <c r="W26" s="32">
        <v>41.740986002900001</v>
      </c>
      <c r="X26" s="32">
        <v>41.740986002900001</v>
      </c>
      <c r="Y26" s="32">
        <v>41.740986002900001</v>
      </c>
      <c r="Z26" s="32">
        <v>41.740986002900001</v>
      </c>
      <c r="AA26" s="32">
        <v>41.740986002900001</v>
      </c>
      <c r="AB26" s="32">
        <v>17.5497389294</v>
      </c>
      <c r="AC26" s="32">
        <v>2.2931361183000001</v>
      </c>
      <c r="AD26" s="32">
        <v>2.2931361183000001</v>
      </c>
      <c r="AE26" s="32"/>
      <c r="AF26" s="32"/>
      <c r="AG26" s="32"/>
      <c r="AH26" s="32"/>
      <c r="AI26" s="32"/>
      <c r="AJ26" s="32"/>
    </row>
    <row r="27" spans="2:36">
      <c r="B27" s="44" t="s">
        <v>154</v>
      </c>
      <c r="C27" s="32"/>
      <c r="D27" s="32"/>
      <c r="E27" s="32"/>
      <c r="F27" s="32"/>
      <c r="G27" s="32"/>
      <c r="H27" s="32">
        <v>23.981630407600001</v>
      </c>
      <c r="I27" s="32">
        <v>92.675423259300004</v>
      </c>
      <c r="J27" s="32">
        <v>161.3692161111</v>
      </c>
      <c r="K27" s="32">
        <v>230.0630089629</v>
      </c>
      <c r="L27" s="32">
        <v>298.7568018147</v>
      </c>
      <c r="M27" s="32">
        <v>367.45059466650002</v>
      </c>
      <c r="N27" s="32">
        <v>449.53950606439997</v>
      </c>
      <c r="O27" s="32">
        <v>531.62841746239997</v>
      </c>
      <c r="P27" s="32">
        <v>613.71732886029997</v>
      </c>
      <c r="Q27" s="32">
        <v>695.80624025830002</v>
      </c>
      <c r="R27" s="32">
        <v>777.89515165629996</v>
      </c>
      <c r="S27" s="32">
        <v>877.58254482509994</v>
      </c>
      <c r="T27" s="32">
        <v>977.26993799399997</v>
      </c>
      <c r="U27" s="32">
        <v>1076.9573311628999</v>
      </c>
      <c r="V27" s="32">
        <v>1176.6447243317</v>
      </c>
      <c r="W27" s="32">
        <v>1276.3321175005999</v>
      </c>
      <c r="X27" s="32">
        <v>1376.5677318887001</v>
      </c>
      <c r="Y27" s="32">
        <v>1484.8452805352999</v>
      </c>
      <c r="Z27" s="32">
        <v>1593.3638989863</v>
      </c>
      <c r="AA27" s="32">
        <v>1702.1088862093</v>
      </c>
      <c r="AB27" s="32">
        <v>1811.0660732888</v>
      </c>
      <c r="AC27" s="32">
        <v>1923.9257375934001</v>
      </c>
      <c r="AD27" s="32">
        <v>2036.9536864629999</v>
      </c>
      <c r="AE27" s="32">
        <v>2150.1401383379002</v>
      </c>
      <c r="AF27" s="32">
        <v>2263.4755724995998</v>
      </c>
      <c r="AG27" s="32">
        <v>2425.2208700259998</v>
      </c>
      <c r="AH27" s="32">
        <v>2533.8501426995999</v>
      </c>
      <c r="AI27" s="32">
        <v>2642.4794153731</v>
      </c>
      <c r="AJ27" s="32">
        <v>2751.1086880466</v>
      </c>
    </row>
    <row r="28" spans="2:36">
      <c r="B28" s="44" t="s">
        <v>170</v>
      </c>
      <c r="C28" s="32">
        <v>635.13227974680001</v>
      </c>
      <c r="D28" s="32">
        <v>655.25974847939995</v>
      </c>
      <c r="E28" s="32">
        <v>675.88904029160005</v>
      </c>
      <c r="F28" s="32">
        <v>695.99031743130001</v>
      </c>
      <c r="G28" s="32">
        <v>716.53677731769994</v>
      </c>
      <c r="H28" s="32">
        <v>736.90564658209996</v>
      </c>
      <c r="I28" s="32">
        <v>761.38787306170002</v>
      </c>
      <c r="J28" s="32">
        <v>785.54719828689997</v>
      </c>
      <c r="K28" s="32">
        <v>809.73749257029999</v>
      </c>
      <c r="L28" s="32">
        <v>833.17026463269997</v>
      </c>
      <c r="M28" s="32">
        <v>833.17026463269997</v>
      </c>
      <c r="N28" s="32">
        <v>851.84471488559996</v>
      </c>
      <c r="O28" s="32">
        <v>880.95082516150001</v>
      </c>
      <c r="P28" s="32">
        <v>910.82848597290001</v>
      </c>
      <c r="Q28" s="32">
        <v>939.56290673319995</v>
      </c>
      <c r="R28" s="32">
        <v>969.13861415839995</v>
      </c>
      <c r="S28" s="32">
        <v>1002.4587192635</v>
      </c>
      <c r="T28" s="32">
        <v>1035.6894648166001</v>
      </c>
      <c r="U28" s="32">
        <v>1068.8715572562</v>
      </c>
      <c r="V28" s="32">
        <v>1101.2169850765999</v>
      </c>
      <c r="W28" s="32">
        <v>1132.2616854204</v>
      </c>
      <c r="X28" s="32">
        <v>1168.5354737491</v>
      </c>
      <c r="Y28" s="32">
        <v>1205.0146120039001</v>
      </c>
      <c r="Z28" s="32">
        <v>1241.3978225364999</v>
      </c>
      <c r="AA28" s="32">
        <v>1276.5853355013001</v>
      </c>
      <c r="AB28" s="32">
        <v>1299.9992342101</v>
      </c>
      <c r="AC28" s="32">
        <v>1337.3574328666</v>
      </c>
      <c r="AD28" s="32">
        <v>1374.7542702041001</v>
      </c>
      <c r="AE28" s="32">
        <v>1412.7891187951</v>
      </c>
      <c r="AF28" s="32">
        <v>1447.1140458431</v>
      </c>
      <c r="AG28" s="32">
        <v>1477.2633937495</v>
      </c>
      <c r="AH28" s="32">
        <v>1516.2538908518</v>
      </c>
      <c r="AI28" s="32">
        <v>1555.0057647041001</v>
      </c>
      <c r="AJ28" s="32">
        <v>1594.2929579531999</v>
      </c>
    </row>
    <row r="29" spans="2:36">
      <c r="B29" s="44" t="s">
        <v>176</v>
      </c>
      <c r="C29" s="32">
        <v>182.57058939160001</v>
      </c>
      <c r="D29" s="32">
        <v>182.57058939160001</v>
      </c>
      <c r="E29" s="32">
        <v>182.57058939160001</v>
      </c>
      <c r="F29" s="32">
        <v>182.57058939160001</v>
      </c>
      <c r="G29" s="32">
        <v>182.57058939160001</v>
      </c>
      <c r="H29" s="32">
        <v>182.57058939160001</v>
      </c>
      <c r="I29" s="32">
        <v>182.57058939160001</v>
      </c>
      <c r="J29" s="32">
        <v>182.57058939160001</v>
      </c>
      <c r="K29" s="32">
        <v>182.57058939160001</v>
      </c>
      <c r="L29" s="32">
        <v>182.57058939160001</v>
      </c>
      <c r="M29" s="32">
        <v>182.57058939160001</v>
      </c>
      <c r="N29" s="32">
        <v>182.57058939160001</v>
      </c>
      <c r="O29" s="32">
        <v>182.57058939160001</v>
      </c>
      <c r="P29" s="32">
        <v>182.57058939160001</v>
      </c>
      <c r="Q29" s="32">
        <v>182.57058939160001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2:36">
      <c r="B30" s="44" t="s">
        <v>179</v>
      </c>
      <c r="C30" s="32"/>
      <c r="D30" s="32">
        <v>128.8312834342</v>
      </c>
      <c r="E30" s="32">
        <v>141.08393958959999</v>
      </c>
      <c r="F30" s="32">
        <v>153.36759961070001</v>
      </c>
      <c r="G30" s="32">
        <v>707.56839704979996</v>
      </c>
      <c r="H30" s="32">
        <v>717.27680937210005</v>
      </c>
      <c r="I30" s="32">
        <v>726.52878863759997</v>
      </c>
      <c r="J30" s="32">
        <v>735.80356891120005</v>
      </c>
      <c r="K30" s="32">
        <v>745.10092080649997</v>
      </c>
      <c r="L30" s="32">
        <v>754.42055988430002</v>
      </c>
      <c r="M30" s="32">
        <v>763.76567002779996</v>
      </c>
      <c r="N30" s="32">
        <v>772.85538135460001</v>
      </c>
      <c r="O30" s="32">
        <v>781.9675358467</v>
      </c>
      <c r="P30" s="32">
        <v>791.10192246860004</v>
      </c>
      <c r="Q30" s="32">
        <v>816.36902701070005</v>
      </c>
      <c r="R30" s="32">
        <v>961.26257921419995</v>
      </c>
      <c r="S30" s="32">
        <v>998.81798655809996</v>
      </c>
      <c r="T30" s="32">
        <v>1032.0554243259</v>
      </c>
      <c r="U30" s="32">
        <v>1065.3561360381</v>
      </c>
      <c r="V30" s="32">
        <v>1118.3228043752999</v>
      </c>
      <c r="W30" s="32">
        <v>1151.7316304850001</v>
      </c>
      <c r="X30" s="32">
        <v>1206.3930514158001</v>
      </c>
      <c r="Y30" s="32">
        <v>1261.1706244437</v>
      </c>
      <c r="Z30" s="32">
        <v>1316.0506873146001</v>
      </c>
      <c r="AA30" s="32">
        <v>1371.0210091459001</v>
      </c>
      <c r="AB30" s="32">
        <v>1426.0671569451999</v>
      </c>
      <c r="AC30" s="32">
        <v>1494.6771335569999</v>
      </c>
      <c r="AD30" s="32">
        <v>1563.3635417170001</v>
      </c>
      <c r="AE30" s="32">
        <v>1632.1166921435999</v>
      </c>
      <c r="AF30" s="32">
        <v>1701.4090107135</v>
      </c>
      <c r="AG30" s="32">
        <v>1775.9357984538999</v>
      </c>
      <c r="AH30" s="32">
        <v>1865.2089936484001</v>
      </c>
      <c r="AI30" s="32">
        <v>1950.1935990769</v>
      </c>
      <c r="AJ30" s="32">
        <v>2035.0839266953001</v>
      </c>
    </row>
    <row r="31" spans="2:36">
      <c r="B31" s="44" t="s">
        <v>180</v>
      </c>
      <c r="C31" s="32">
        <v>599.26102125039995</v>
      </c>
      <c r="D31" s="32">
        <v>599.26102125039995</v>
      </c>
      <c r="E31" s="32">
        <v>599.26102125039995</v>
      </c>
      <c r="F31" s="32">
        <v>599.26102125039995</v>
      </c>
      <c r="G31" s="32">
        <v>599.26102125039995</v>
      </c>
      <c r="H31" s="32">
        <v>599.26102125039995</v>
      </c>
      <c r="I31" s="32">
        <v>599.26102125039995</v>
      </c>
      <c r="J31" s="32">
        <v>599.26102125039995</v>
      </c>
      <c r="K31" s="32">
        <v>599.26102125039995</v>
      </c>
      <c r="L31" s="32">
        <v>599.26102125039995</v>
      </c>
      <c r="M31" s="32">
        <v>599.26102125039995</v>
      </c>
      <c r="N31" s="32">
        <v>599.26102125039995</v>
      </c>
      <c r="O31" s="32">
        <v>599.26102125039995</v>
      </c>
      <c r="P31" s="32">
        <v>599.26102125039995</v>
      </c>
      <c r="Q31" s="32">
        <v>599.26102125039995</v>
      </c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2:36">
      <c r="B32" s="44" t="s">
        <v>181</v>
      </c>
      <c r="C32" s="32">
        <v>3421.7516000000001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2:36">
      <c r="B33" s="44" t="s">
        <v>184</v>
      </c>
      <c r="C33" s="32">
        <v>2.9817020469000002</v>
      </c>
      <c r="D33" s="32">
        <v>21.647001795600001</v>
      </c>
      <c r="E33" s="32">
        <v>40.038643570200001</v>
      </c>
      <c r="F33" s="32">
        <v>58.509790670699999</v>
      </c>
      <c r="G33" s="32">
        <v>77.135002852300005</v>
      </c>
      <c r="H33" s="32">
        <v>95.373368635000006</v>
      </c>
      <c r="I33" s="32">
        <v>113.62741527199999</v>
      </c>
      <c r="J33" s="32">
        <v>131.8822418227</v>
      </c>
      <c r="K33" s="32">
        <v>150.21657369939999</v>
      </c>
      <c r="L33" s="32">
        <v>170.6344956424</v>
      </c>
      <c r="M33" s="32">
        <v>182.68698005050001</v>
      </c>
      <c r="N33" s="32">
        <v>204.8584692599</v>
      </c>
      <c r="O33" s="32">
        <v>222.99150080819999</v>
      </c>
      <c r="P33" s="32">
        <v>240.54486375050001</v>
      </c>
      <c r="Q33" s="32">
        <v>244.2801735221</v>
      </c>
      <c r="R33" s="32">
        <v>246.31942778530001</v>
      </c>
      <c r="S33" s="32">
        <v>248.73301312539999</v>
      </c>
      <c r="T33" s="32">
        <v>251.14581855169999</v>
      </c>
      <c r="U33" s="32">
        <v>253.5594038918</v>
      </c>
      <c r="V33" s="32">
        <v>250.95147321900001</v>
      </c>
      <c r="W33" s="32">
        <v>258.7161569502</v>
      </c>
      <c r="X33" s="32">
        <v>260.89929153830002</v>
      </c>
      <c r="Y33" s="32">
        <v>262.7355938911</v>
      </c>
      <c r="Z33" s="32">
        <v>264.90971818150001</v>
      </c>
      <c r="AA33" s="32">
        <v>267.08385164729998</v>
      </c>
      <c r="AB33" s="32">
        <v>269.2587558514</v>
      </c>
      <c r="AC33" s="32">
        <v>271.17545354930002</v>
      </c>
      <c r="AD33" s="32">
        <v>273.09215124719998</v>
      </c>
      <c r="AE33" s="32">
        <v>274.30449506809998</v>
      </c>
      <c r="AF33" s="32">
        <v>270.56918529659998</v>
      </c>
      <c r="AG33" s="32">
        <v>278.84222598999997</v>
      </c>
      <c r="AH33" s="32">
        <v>280.53072092259998</v>
      </c>
      <c r="AI33" s="32">
        <v>282.21922503069999</v>
      </c>
      <c r="AJ33" s="32">
        <v>283.90772913879999</v>
      </c>
    </row>
    <row r="34" spans="2:36">
      <c r="B34" s="44" t="s">
        <v>186</v>
      </c>
      <c r="C34" s="32"/>
      <c r="D34" s="32">
        <v>104.7431021905</v>
      </c>
      <c r="E34" s="32">
        <v>212.20702417460001</v>
      </c>
      <c r="F34" s="32">
        <v>319.67094615870002</v>
      </c>
      <c r="G34" s="32">
        <v>421.59163379810002</v>
      </c>
      <c r="H34" s="32">
        <v>528.65793465729996</v>
      </c>
      <c r="I34" s="32">
        <v>651.38586140999996</v>
      </c>
      <c r="J34" s="32">
        <v>771.87263562880003</v>
      </c>
      <c r="K34" s="32">
        <v>885.85312689800003</v>
      </c>
      <c r="L34" s="32">
        <v>1004.925392432</v>
      </c>
      <c r="M34" s="32">
        <v>1127.3526387473</v>
      </c>
      <c r="N34" s="32">
        <v>1271.5447315690001</v>
      </c>
      <c r="O34" s="32">
        <v>1410.2956127642001</v>
      </c>
      <c r="P34" s="32">
        <v>1553.0457845049</v>
      </c>
      <c r="Q34" s="32">
        <v>1693.2004982997</v>
      </c>
      <c r="R34" s="32">
        <v>1829.8513469244001</v>
      </c>
      <c r="S34" s="32">
        <v>1988.5368864131999</v>
      </c>
      <c r="T34" s="32">
        <v>2147.5794289935002</v>
      </c>
      <c r="U34" s="32">
        <v>2300.2602704819001</v>
      </c>
      <c r="V34" s="32">
        <v>2492.7161931915998</v>
      </c>
      <c r="W34" s="32">
        <v>2492.7161931915998</v>
      </c>
      <c r="X34" s="32">
        <v>2660.0334125002</v>
      </c>
      <c r="Y34" s="32">
        <v>2798.6482481203998</v>
      </c>
      <c r="Z34" s="32">
        <v>2913.7570495134</v>
      </c>
      <c r="AA34" s="32">
        <v>3008.1851734586999</v>
      </c>
      <c r="AB34" s="32">
        <v>3081.4027819739999</v>
      </c>
      <c r="AC34" s="32">
        <v>3166.7153403722</v>
      </c>
      <c r="AD34" s="32">
        <v>3232.7420820368002</v>
      </c>
      <c r="AE34" s="32">
        <v>3284.0212449398</v>
      </c>
      <c r="AF34" s="32">
        <v>3467.6864470219002</v>
      </c>
      <c r="AG34" s="32">
        <v>3345.2592007067001</v>
      </c>
      <c r="AH34" s="32">
        <v>3201.0671078849</v>
      </c>
      <c r="AI34" s="32">
        <v>3062.3162266897002</v>
      </c>
      <c r="AJ34" s="32">
        <v>2919.5660549489999</v>
      </c>
    </row>
    <row r="35" spans="2:36">
      <c r="B35" s="44" t="s">
        <v>189</v>
      </c>
      <c r="C35" s="32">
        <v>1.0915385600000001E-2</v>
      </c>
      <c r="D35" s="32">
        <v>21.273617859400002</v>
      </c>
      <c r="E35" s="32">
        <v>33.363733296299998</v>
      </c>
      <c r="F35" s="32">
        <v>55.035065872300002</v>
      </c>
      <c r="G35" s="32">
        <v>67.338493844799999</v>
      </c>
      <c r="H35" s="32">
        <v>89.412264970999999</v>
      </c>
      <c r="I35" s="32">
        <v>101.7476867403</v>
      </c>
      <c r="J35" s="32">
        <v>123.9228537818</v>
      </c>
      <c r="K35" s="32">
        <v>136.46817163279999</v>
      </c>
      <c r="L35" s="32">
        <v>158.90768834619999</v>
      </c>
      <c r="M35" s="32">
        <v>171.93557724479999</v>
      </c>
      <c r="N35" s="32">
        <v>197.06590301559999</v>
      </c>
      <c r="O35" s="32">
        <v>211.04643990139999</v>
      </c>
      <c r="P35" s="32">
        <v>235.98887303449999</v>
      </c>
      <c r="Q35" s="32">
        <v>239.53290756679999</v>
      </c>
      <c r="R35" s="32">
        <v>243.76521574680001</v>
      </c>
      <c r="S35" s="32">
        <v>246.91431066050001</v>
      </c>
      <c r="T35" s="32">
        <v>250.6695856552</v>
      </c>
      <c r="U35" s="32">
        <v>253.7815312566</v>
      </c>
      <c r="V35" s="32">
        <v>257.37490086499997</v>
      </c>
      <c r="W35" s="32">
        <v>260.09369524430002</v>
      </c>
      <c r="X35" s="32">
        <v>263.340732618</v>
      </c>
      <c r="Y35" s="32">
        <v>266.04536783039998</v>
      </c>
      <c r="Z35" s="32">
        <v>269.27370721019997</v>
      </c>
      <c r="AA35" s="32">
        <v>271.78282751569998</v>
      </c>
      <c r="AB35" s="32">
        <v>274.51254961439997</v>
      </c>
      <c r="AC35" s="32">
        <v>276.71957891469998</v>
      </c>
      <c r="AD35" s="32">
        <v>279.07102431679999</v>
      </c>
      <c r="AE35" s="32">
        <v>281.25835658800003</v>
      </c>
      <c r="AF35" s="32">
        <v>283.62343080480002</v>
      </c>
      <c r="AG35" s="32">
        <v>285.8479123884</v>
      </c>
      <c r="AH35" s="32">
        <v>288.59173198500002</v>
      </c>
      <c r="AI35" s="32">
        <v>290.76977692809999</v>
      </c>
      <c r="AJ35" s="32">
        <v>293.25554940889998</v>
      </c>
    </row>
    <row r="36" spans="2:36">
      <c r="B36" s="44" t="s">
        <v>194</v>
      </c>
      <c r="C36" s="32">
        <v>47.200132826400001</v>
      </c>
      <c r="D36" s="32">
        <v>181.407875612</v>
      </c>
      <c r="E36" s="32">
        <v>316.13176532189999</v>
      </c>
      <c r="F36" s="32">
        <v>450.07283265540002</v>
      </c>
      <c r="G36" s="32">
        <v>585.70605592840002</v>
      </c>
      <c r="H36" s="32">
        <v>721.71825305909999</v>
      </c>
      <c r="I36" s="32">
        <v>861.06809569990003</v>
      </c>
      <c r="J36" s="32">
        <v>999.47156346179997</v>
      </c>
      <c r="K36" s="32">
        <v>1139.4647340219999</v>
      </c>
      <c r="L36" s="32">
        <v>1279.7513631902</v>
      </c>
      <c r="M36" s="32">
        <v>1422.0320024482</v>
      </c>
      <c r="N36" s="32">
        <v>1562.7687703105</v>
      </c>
      <c r="O36" s="32">
        <v>1704.9185400402</v>
      </c>
      <c r="P36" s="32">
        <v>1847.1370614614</v>
      </c>
      <c r="Q36" s="32">
        <v>1905.0929298556</v>
      </c>
      <c r="R36" s="32">
        <v>1965.2254366151999</v>
      </c>
      <c r="S36" s="32">
        <v>2027.0755428537</v>
      </c>
      <c r="T36" s="32">
        <v>2088.5076703712998</v>
      </c>
      <c r="U36" s="32">
        <v>2149.5139558022001</v>
      </c>
      <c r="V36" s="32">
        <v>2210.2368389247999</v>
      </c>
      <c r="W36" s="32">
        <v>2270.9176067045</v>
      </c>
      <c r="X36" s="32">
        <v>2325.3193714069998</v>
      </c>
      <c r="Y36" s="32">
        <v>2379.4242275299998</v>
      </c>
      <c r="Z36" s="32">
        <v>2433.2772907905</v>
      </c>
      <c r="AA36" s="32">
        <v>2486.9086016312999</v>
      </c>
      <c r="AB36" s="32">
        <v>2538.590651081</v>
      </c>
      <c r="AC36" s="32">
        <v>2580.9132216231001</v>
      </c>
      <c r="AD36" s="32">
        <v>2623.1631776067002</v>
      </c>
      <c r="AE36" s="32">
        <v>2665.3753765890001</v>
      </c>
      <c r="AF36" s="32">
        <v>2706.9712510189001</v>
      </c>
      <c r="AG36" s="32">
        <v>2749.0359637221</v>
      </c>
      <c r="AH36" s="32">
        <v>2781.8218130738001</v>
      </c>
      <c r="AI36" s="32">
        <v>2814.5094942220999</v>
      </c>
      <c r="AJ36" s="32">
        <v>2847.0974656905</v>
      </c>
    </row>
    <row r="37" spans="2:36">
      <c r="B37" s="44" t="s">
        <v>197</v>
      </c>
      <c r="C37" s="32">
        <v>2.3232139529000002</v>
      </c>
      <c r="D37" s="32">
        <v>2.3232139529000002</v>
      </c>
      <c r="E37" s="32">
        <v>2.3232139529000002</v>
      </c>
      <c r="F37" s="32">
        <v>2.3232139529000002</v>
      </c>
      <c r="G37" s="32">
        <v>2.3232139529000002</v>
      </c>
      <c r="H37" s="32">
        <v>2.3232139529000002</v>
      </c>
      <c r="I37" s="32">
        <v>2.3232139529000002</v>
      </c>
      <c r="J37" s="32">
        <v>2.3232139529000002</v>
      </c>
      <c r="K37" s="32">
        <v>2.3232139529000002</v>
      </c>
      <c r="L37" s="32">
        <v>2.3232139529000002</v>
      </c>
      <c r="M37" s="32">
        <v>2.3232139529000002</v>
      </c>
      <c r="N37" s="32">
        <v>2.3232139529000002</v>
      </c>
      <c r="O37" s="32">
        <v>2.3232139529000002</v>
      </c>
      <c r="P37" s="32">
        <v>2.3232139529000002</v>
      </c>
      <c r="Q37" s="32">
        <v>2.3232139529000002</v>
      </c>
      <c r="R37" s="32">
        <v>2.3232139529000002</v>
      </c>
      <c r="S37" s="32">
        <v>2.3232139529000002</v>
      </c>
      <c r="T37" s="32">
        <v>2.3232139529000002</v>
      </c>
      <c r="U37" s="32">
        <v>2.3232139529000002</v>
      </c>
      <c r="V37" s="32">
        <v>2.3232139529000002</v>
      </c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</row>
    <row r="38" spans="2:36">
      <c r="B38" s="44" t="s">
        <v>199</v>
      </c>
      <c r="C38" s="32"/>
      <c r="D38" s="32"/>
      <c r="E38" s="32">
        <v>1.2227441858000001</v>
      </c>
      <c r="F38" s="32">
        <v>1.2227441858000001</v>
      </c>
      <c r="G38" s="32">
        <v>2.4454883715000002</v>
      </c>
      <c r="H38" s="32">
        <v>2.6163286606999998</v>
      </c>
      <c r="I38" s="32">
        <v>3.8390728465000001</v>
      </c>
      <c r="J38" s="32">
        <v>5.0618170322999996</v>
      </c>
      <c r="K38" s="32">
        <v>5.0618170322999996</v>
      </c>
      <c r="L38" s="32">
        <v>6.3982917115999998</v>
      </c>
      <c r="M38" s="32">
        <v>8.1111881884999999</v>
      </c>
      <c r="N38" s="32">
        <v>8.8437800831000004</v>
      </c>
      <c r="O38" s="32">
        <v>8.8437800831000004</v>
      </c>
      <c r="P38" s="32">
        <v>10.0665242689</v>
      </c>
      <c r="Q38" s="32">
        <v>11.2892684546</v>
      </c>
      <c r="R38" s="32">
        <v>12.5120126404</v>
      </c>
      <c r="S38" s="32">
        <v>13.7347568262</v>
      </c>
      <c r="T38" s="32">
        <v>14.9575010119</v>
      </c>
      <c r="U38" s="32">
        <v>16.1802451977</v>
      </c>
      <c r="V38" s="32">
        <v>18.625733569200001</v>
      </c>
      <c r="W38" s="32">
        <v>22.009387701600001</v>
      </c>
      <c r="X38" s="32">
        <v>23.2321318873</v>
      </c>
      <c r="Y38" s="32">
        <v>25.677620258899999</v>
      </c>
      <c r="Z38" s="32">
        <v>28.123108630400001</v>
      </c>
      <c r="AA38" s="32">
        <v>29.345852816200001</v>
      </c>
      <c r="AB38" s="32">
        <v>31.791341187699999</v>
      </c>
      <c r="AC38" s="32">
        <v>34.236829559199997</v>
      </c>
      <c r="AD38" s="32">
        <v>36.682317930700002</v>
      </c>
      <c r="AE38" s="32">
        <v>39.127806302300002</v>
      </c>
      <c r="AF38" s="32">
        <v>41.5732946738</v>
      </c>
      <c r="AG38" s="32">
        <v>44.018783045299998</v>
      </c>
      <c r="AH38" s="32">
        <v>47.687015602599999</v>
      </c>
      <c r="AI38" s="32">
        <v>50.132503974099997</v>
      </c>
      <c r="AJ38" s="32">
        <v>53.800736531399998</v>
      </c>
    </row>
    <row r="39" spans="2:36">
      <c r="B39" s="44" t="s">
        <v>200</v>
      </c>
      <c r="C39" s="32">
        <v>2.3232139529000002</v>
      </c>
      <c r="D39" s="32">
        <v>2.3232139529000002</v>
      </c>
      <c r="E39" s="32">
        <v>2.3232139529000002</v>
      </c>
      <c r="F39" s="32">
        <v>2.3232139529000002</v>
      </c>
      <c r="G39" s="32">
        <v>2.3232139529000002</v>
      </c>
      <c r="H39" s="32">
        <v>2.3232139529000002</v>
      </c>
      <c r="I39" s="32">
        <v>2.3232139529000002</v>
      </c>
      <c r="J39" s="32">
        <v>2.3232139529000002</v>
      </c>
      <c r="K39" s="32">
        <v>2.3232139529000002</v>
      </c>
      <c r="L39" s="32">
        <v>2.3232139529000002</v>
      </c>
      <c r="M39" s="32">
        <v>2.3232139529000002</v>
      </c>
      <c r="N39" s="32">
        <v>2.3232139529000002</v>
      </c>
      <c r="O39" s="32">
        <v>2.3232139529000002</v>
      </c>
      <c r="P39" s="32">
        <v>2.3232139529000002</v>
      </c>
      <c r="Q39" s="32">
        <v>2.3232139529000002</v>
      </c>
      <c r="R39" s="32">
        <v>2.3232139529000002</v>
      </c>
      <c r="S39" s="32">
        <v>2.3232139529000002</v>
      </c>
      <c r="T39" s="32">
        <v>2.3232139529000002</v>
      </c>
      <c r="U39" s="32">
        <v>2.3232139529000002</v>
      </c>
      <c r="V39" s="32">
        <v>2.3232139529000002</v>
      </c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spans="2:36">
      <c r="B40" s="44" t="s">
        <v>202</v>
      </c>
      <c r="C40" s="32"/>
      <c r="D40" s="32"/>
      <c r="E40" s="32">
        <v>1.2227441858000001</v>
      </c>
      <c r="F40" s="32">
        <v>1.2227441858000001</v>
      </c>
      <c r="G40" s="32">
        <v>2.4454883715000002</v>
      </c>
      <c r="H40" s="32">
        <v>2.6163286606999998</v>
      </c>
      <c r="I40" s="32">
        <v>3.8390728465000001</v>
      </c>
      <c r="J40" s="32">
        <v>3.8390728465000001</v>
      </c>
      <c r="K40" s="32">
        <v>5.0618170322999996</v>
      </c>
      <c r="L40" s="32">
        <v>5.1755475257999999</v>
      </c>
      <c r="M40" s="32">
        <v>6.8884440028</v>
      </c>
      <c r="N40" s="32">
        <v>7.6210358973999996</v>
      </c>
      <c r="O40" s="32">
        <v>7.6210358973999996</v>
      </c>
      <c r="P40" s="32">
        <v>8.8437800831000004</v>
      </c>
      <c r="Q40" s="32">
        <v>10.0665242689</v>
      </c>
      <c r="R40" s="32">
        <v>11.2892684546</v>
      </c>
      <c r="S40" s="32">
        <v>12.5120126404</v>
      </c>
      <c r="T40" s="32">
        <v>13.7347568262</v>
      </c>
      <c r="U40" s="32">
        <v>14.9575010119</v>
      </c>
      <c r="V40" s="32">
        <v>16.1802451977</v>
      </c>
      <c r="W40" s="32">
        <v>19.5638993301</v>
      </c>
      <c r="X40" s="32">
        <v>22.009387701600001</v>
      </c>
      <c r="Y40" s="32">
        <v>23.2321318873</v>
      </c>
      <c r="Z40" s="32">
        <v>24.454876073099999</v>
      </c>
      <c r="AA40" s="32">
        <v>26.900364444600001</v>
      </c>
      <c r="AB40" s="32">
        <v>28.123108630400001</v>
      </c>
      <c r="AC40" s="32">
        <v>30.568597001899999</v>
      </c>
      <c r="AD40" s="32">
        <v>33.0140853734</v>
      </c>
      <c r="AE40" s="32">
        <v>35.459573745</v>
      </c>
      <c r="AF40" s="32">
        <v>37.905062116499998</v>
      </c>
      <c r="AG40" s="32">
        <v>40.350550488000003</v>
      </c>
      <c r="AH40" s="32">
        <v>42.796038859600003</v>
      </c>
      <c r="AI40" s="32">
        <v>45.241527231100001</v>
      </c>
      <c r="AJ40" s="32">
        <v>48.909759788400002</v>
      </c>
    </row>
    <row r="41" spans="2:36">
      <c r="B41" s="44" t="s">
        <v>204</v>
      </c>
      <c r="C41" s="32"/>
      <c r="D41" s="32">
        <v>1602006.2652505341</v>
      </c>
      <c r="E41" s="32">
        <v>3204412.3678498128</v>
      </c>
      <c r="F41" s="32">
        <v>4806787.9018444484</v>
      </c>
      <c r="G41" s="32">
        <v>6407561.0295836395</v>
      </c>
      <c r="H41" s="32">
        <v>8004007.7062860439</v>
      </c>
      <c r="I41" s="32">
        <v>9725532.4775611833</v>
      </c>
      <c r="J41" s="32">
        <v>11437407.35172228</v>
      </c>
      <c r="K41" s="32">
        <v>13132163.501596652</v>
      </c>
      <c r="L41" s="32">
        <v>14805349.985505097</v>
      </c>
      <c r="M41" s="32">
        <v>16544764.497697596</v>
      </c>
      <c r="N41" s="32">
        <v>18362006.677313909</v>
      </c>
      <c r="O41" s="32">
        <v>20179218.288325574</v>
      </c>
      <c r="P41" s="32">
        <v>21978288.043853082</v>
      </c>
      <c r="Q41" s="32">
        <v>23741646.485534213</v>
      </c>
      <c r="R41" s="32">
        <v>25463817.9356406</v>
      </c>
      <c r="S41" s="32">
        <v>27229196.350716613</v>
      </c>
      <c r="T41" s="32">
        <v>28931498.437068883</v>
      </c>
      <c r="U41" s="32">
        <v>30565708.498047411</v>
      </c>
      <c r="V41" s="32">
        <v>32602490.193034321</v>
      </c>
      <c r="W41" s="32">
        <v>32602490.193034321</v>
      </c>
      <c r="X41" s="32">
        <v>33952430.113456689</v>
      </c>
      <c r="Y41" s="32">
        <v>35007162.905110314</v>
      </c>
      <c r="Z41" s="32">
        <v>35796162.816593021</v>
      </c>
      <c r="AA41" s="32">
        <v>36347627.627994187</v>
      </c>
      <c r="AB41" s="32">
        <v>36688215.149522752</v>
      </c>
      <c r="AC41" s="32">
        <v>36842619.769911364</v>
      </c>
      <c r="AD41" s="32">
        <v>36820689.62367516</v>
      </c>
      <c r="AE41" s="32">
        <v>36646898.394221283</v>
      </c>
      <c r="AF41" s="32">
        <v>37711435.530863918</v>
      </c>
      <c r="AG41" s="32">
        <v>35972021.018671416</v>
      </c>
      <c r="AH41" s="32">
        <v>34154778.839055106</v>
      </c>
      <c r="AI41" s="32">
        <v>32337567.228043441</v>
      </c>
      <c r="AJ41" s="32">
        <v>30538497.472515933</v>
      </c>
    </row>
    <row r="42" spans="2:36">
      <c r="B42" s="44" t="s">
        <v>207</v>
      </c>
      <c r="C42" s="32">
        <v>24.9622683686</v>
      </c>
      <c r="D42" s="32">
        <v>91.317431730300001</v>
      </c>
      <c r="E42" s="32">
        <v>158.89241690950001</v>
      </c>
      <c r="F42" s="32">
        <v>227.5930745526</v>
      </c>
      <c r="G42" s="32">
        <v>297.33362332180002</v>
      </c>
      <c r="H42" s="32">
        <v>368.03571399859999</v>
      </c>
      <c r="I42" s="32">
        <v>446.97959376569997</v>
      </c>
      <c r="J42" s="32">
        <v>520.98412372810003</v>
      </c>
      <c r="K42" s="32">
        <v>601.60613933809998</v>
      </c>
      <c r="L42" s="32">
        <v>683.00855500420005</v>
      </c>
      <c r="M42" s="32">
        <v>769.23304897230003</v>
      </c>
      <c r="N42" s="32">
        <v>864.31159185640001</v>
      </c>
      <c r="O42" s="32">
        <v>959.64848805400004</v>
      </c>
      <c r="P42" s="32">
        <v>1055.3092227943</v>
      </c>
      <c r="Q42" s="32">
        <v>1106.9737104213</v>
      </c>
      <c r="R42" s="32">
        <v>1164.4692003125999</v>
      </c>
      <c r="S42" s="32">
        <v>1241.4644884969</v>
      </c>
      <c r="T42" s="32">
        <v>1317.5567741827001</v>
      </c>
      <c r="U42" s="32">
        <v>1392.9784441431</v>
      </c>
      <c r="V42" s="32">
        <v>1467.7143772265999</v>
      </c>
      <c r="W42" s="32">
        <v>1542.7188208534001</v>
      </c>
      <c r="X42" s="32">
        <v>1628.8011319560001</v>
      </c>
      <c r="Y42" s="32">
        <v>1713.5897679960001</v>
      </c>
      <c r="Z42" s="32">
        <v>1798.576557183</v>
      </c>
      <c r="AA42" s="32">
        <v>1883.0658990249999</v>
      </c>
      <c r="AB42" s="32">
        <v>1962.9878181695999</v>
      </c>
      <c r="AC42" s="32">
        <v>2049.9081511916002</v>
      </c>
      <c r="AD42" s="32">
        <v>2136.7138735931999</v>
      </c>
      <c r="AE42" s="32">
        <v>2223.4807287632998</v>
      </c>
      <c r="AF42" s="32">
        <v>2308.3841681082999</v>
      </c>
      <c r="AG42" s="32">
        <v>2395.7723851562</v>
      </c>
      <c r="AH42" s="32">
        <v>2486.1155944988</v>
      </c>
      <c r="AI42" s="32">
        <v>2576.1419845224</v>
      </c>
      <c r="AJ42" s="32">
        <v>2665.7961262977001</v>
      </c>
    </row>
    <row r="43" spans="2:36">
      <c r="B43" s="44" t="s">
        <v>212</v>
      </c>
      <c r="C43" s="32"/>
      <c r="D43" s="32">
        <v>173.67996710829999</v>
      </c>
      <c r="E43" s="32">
        <v>349.43166041839999</v>
      </c>
      <c r="F43" s="32">
        <v>523.87773222240003</v>
      </c>
      <c r="G43" s="32">
        <v>700.29704088380004</v>
      </c>
      <c r="H43" s="32">
        <v>875.4270603507</v>
      </c>
      <c r="I43" s="32">
        <v>1070.0536116482001</v>
      </c>
      <c r="J43" s="32">
        <v>1265.0144248065001</v>
      </c>
      <c r="K43" s="32">
        <v>1458.7169709868001</v>
      </c>
      <c r="L43" s="32">
        <v>1654.2965493688</v>
      </c>
      <c r="M43" s="32">
        <v>1849.3856354014999</v>
      </c>
      <c r="N43" s="32">
        <v>2065.1210113006</v>
      </c>
      <c r="O43" s="32">
        <v>2279.5093935626001</v>
      </c>
      <c r="P43" s="32">
        <v>2495.7794141052</v>
      </c>
      <c r="Q43" s="32">
        <v>2609.7392928486001</v>
      </c>
      <c r="R43" s="32">
        <v>2723.7484437905</v>
      </c>
      <c r="S43" s="32">
        <v>2867.9538367967002</v>
      </c>
      <c r="T43" s="32">
        <v>3012.0238826520999</v>
      </c>
      <c r="U43" s="32">
        <v>3155.9917414544002</v>
      </c>
      <c r="V43" s="32">
        <v>3299.8218858382002</v>
      </c>
      <c r="W43" s="32">
        <v>3444.3757901883</v>
      </c>
      <c r="X43" s="32">
        <v>3612.2873866947002</v>
      </c>
      <c r="Y43" s="32">
        <v>3779.9972057489999</v>
      </c>
      <c r="Z43" s="32">
        <v>3947.5889917376999</v>
      </c>
      <c r="AA43" s="32">
        <v>4115.0684059173</v>
      </c>
      <c r="AB43" s="32">
        <v>4281.5083326908998</v>
      </c>
      <c r="AC43" s="32">
        <v>4462.5903695108</v>
      </c>
      <c r="AD43" s="32">
        <v>4643.5918183009999</v>
      </c>
      <c r="AE43" s="32">
        <v>4824.4944015531</v>
      </c>
      <c r="AF43" s="32">
        <v>5004.1387820555001</v>
      </c>
      <c r="AG43" s="32">
        <v>5184.2818944666997</v>
      </c>
      <c r="AH43" s="32">
        <v>5368.5962242113001</v>
      </c>
      <c r="AI43" s="32">
        <v>5552.6014144935998</v>
      </c>
      <c r="AJ43" s="32">
        <v>5736.3385346546002</v>
      </c>
    </row>
    <row r="44" spans="2:36">
      <c r="B44" s="44" t="s">
        <v>217</v>
      </c>
      <c r="C44" s="32"/>
      <c r="D44" s="32">
        <v>23.256165736</v>
      </c>
      <c r="E44" s="32">
        <v>48.181695578999999</v>
      </c>
      <c r="F44" s="32">
        <v>71.540479614500001</v>
      </c>
      <c r="G44" s="32">
        <v>96.568930546999994</v>
      </c>
      <c r="H44" s="32">
        <v>120.0193039839</v>
      </c>
      <c r="I44" s="32">
        <v>147.57016116419999</v>
      </c>
      <c r="J44" s="32">
        <v>173.51267101970001</v>
      </c>
      <c r="K44" s="32">
        <v>201.15577823429999</v>
      </c>
      <c r="L44" s="32">
        <v>227.18061945619999</v>
      </c>
      <c r="M44" s="32">
        <v>255.0056943134</v>
      </c>
      <c r="N44" s="32">
        <v>283.82013106070002</v>
      </c>
      <c r="O44" s="32">
        <v>314.29306817510002</v>
      </c>
      <c r="P44" s="32">
        <v>343.17101742860001</v>
      </c>
      <c r="Q44" s="32">
        <v>358.84864190849999</v>
      </c>
      <c r="R44" s="32">
        <v>374.51675144059999</v>
      </c>
      <c r="S44" s="32">
        <v>394.33599323300001</v>
      </c>
      <c r="T44" s="32">
        <v>414.15724445019998</v>
      </c>
      <c r="U44" s="32">
        <v>433.94550990329998</v>
      </c>
      <c r="V44" s="32">
        <v>453.7320044933</v>
      </c>
      <c r="W44" s="32">
        <v>473.60077539700001</v>
      </c>
      <c r="X44" s="32">
        <v>496.6989673077</v>
      </c>
      <c r="Y44" s="32">
        <v>519.73979426769995</v>
      </c>
      <c r="Z44" s="32">
        <v>542.79675167929997</v>
      </c>
      <c r="AA44" s="32">
        <v>565.82428340369995</v>
      </c>
      <c r="AB44" s="32">
        <v>588.71593580060005</v>
      </c>
      <c r="AC44" s="32">
        <v>613.60324069410001</v>
      </c>
      <c r="AD44" s="32">
        <v>638.49532599999998</v>
      </c>
      <c r="AE44" s="32">
        <v>663.37567589790001</v>
      </c>
      <c r="AF44" s="32">
        <v>688.06863545850001</v>
      </c>
      <c r="AG44" s="32">
        <v>712.83821007649999</v>
      </c>
      <c r="AH44" s="32">
        <v>738.18236092229995</v>
      </c>
      <c r="AI44" s="32">
        <v>763.48307515960005</v>
      </c>
      <c r="AJ44" s="32">
        <v>788.73238849259997</v>
      </c>
    </row>
  </sheetData>
  <autoFilter ref="A2:AG44" xr:uid="{EE7FC028-2B0E-4320-9ED3-8D63064B964B}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55"/>
  <sheetViews>
    <sheetView zoomScale="70" zoomScaleNormal="70" workbookViewId="0">
      <selection activeCell="D3" sqref="D3:AK23"/>
    </sheetView>
  </sheetViews>
  <sheetFormatPr defaultColWidth="8.77734375" defaultRowHeight="14.4"/>
  <cols>
    <col min="2" max="2" width="29.109375" bestFit="1" customWidth="1"/>
    <col min="3" max="3" width="14.44140625" customWidth="1"/>
  </cols>
  <sheetData>
    <row r="1" spans="1:37">
      <c r="A1" t="s">
        <v>22</v>
      </c>
    </row>
    <row r="2" spans="1:37">
      <c r="A2" t="s">
        <v>19</v>
      </c>
      <c r="B2" t="s">
        <v>20</v>
      </c>
      <c r="C2" t="s">
        <v>18</v>
      </c>
      <c r="D2" s="22">
        <v>2020</v>
      </c>
      <c r="E2" s="22">
        <v>2021</v>
      </c>
      <c r="F2" s="22">
        <v>2022</v>
      </c>
      <c r="G2" s="22">
        <v>2023</v>
      </c>
      <c r="H2" s="22">
        <v>2024</v>
      </c>
      <c r="I2" s="22">
        <v>2025</v>
      </c>
      <c r="J2" s="22">
        <v>2026</v>
      </c>
      <c r="K2" s="22">
        <v>2027</v>
      </c>
      <c r="L2" s="22">
        <v>2028</v>
      </c>
      <c r="M2" s="22">
        <v>2029</v>
      </c>
      <c r="N2" s="22">
        <v>2030</v>
      </c>
      <c r="O2" s="22">
        <v>2031</v>
      </c>
      <c r="P2" s="22">
        <v>2032</v>
      </c>
      <c r="Q2" s="22">
        <v>2033</v>
      </c>
      <c r="R2" s="22">
        <v>2034</v>
      </c>
      <c r="S2" s="22">
        <v>2035</v>
      </c>
      <c r="T2" s="22">
        <v>2036</v>
      </c>
      <c r="U2" s="22">
        <v>2037</v>
      </c>
      <c r="V2" s="22">
        <v>2038</v>
      </c>
      <c r="W2" s="22">
        <v>2039</v>
      </c>
      <c r="X2" s="22">
        <v>2040</v>
      </c>
      <c r="Y2" s="22">
        <v>2041</v>
      </c>
      <c r="Z2" s="22">
        <v>2042</v>
      </c>
      <c r="AA2" s="22">
        <v>2043</v>
      </c>
      <c r="AB2" s="22">
        <v>2044</v>
      </c>
      <c r="AC2" s="22">
        <v>2045</v>
      </c>
      <c r="AD2" s="22">
        <v>2046</v>
      </c>
      <c r="AE2" s="22">
        <v>2047</v>
      </c>
      <c r="AF2" s="22">
        <v>2048</v>
      </c>
      <c r="AG2" s="22">
        <v>2049</v>
      </c>
      <c r="AH2" s="22">
        <v>2050</v>
      </c>
    </row>
    <row r="3" spans="1:37">
      <c r="A3" t="s">
        <v>19</v>
      </c>
      <c r="B3" s="29" t="s">
        <v>132</v>
      </c>
      <c r="D3">
        <v>4.5000999999999998</v>
      </c>
      <c r="E3">
        <v>5.2020999999999997</v>
      </c>
      <c r="F3">
        <v>4.7591999999999999</v>
      </c>
      <c r="G3">
        <v>5.0720000000000001</v>
      </c>
      <c r="H3">
        <v>5.2058999999999997</v>
      </c>
      <c r="X3">
        <v>0.96199999999999997</v>
      </c>
      <c r="Y3">
        <v>1.0598000000000001</v>
      </c>
      <c r="Z3">
        <v>1.1684000000000001</v>
      </c>
      <c r="AA3">
        <v>1.3109999999999999</v>
      </c>
      <c r="AB3">
        <v>1.3109999999999999</v>
      </c>
      <c r="AC3">
        <v>1.3109999999999999</v>
      </c>
      <c r="AD3">
        <v>1.3109999999999999</v>
      </c>
      <c r="AE3">
        <v>1.3109999999999999</v>
      </c>
      <c r="AF3">
        <v>1.3109999999999999</v>
      </c>
      <c r="AG3">
        <v>1.2305999999999999</v>
      </c>
      <c r="AH3">
        <v>1.1186</v>
      </c>
      <c r="AI3">
        <v>1.1186</v>
      </c>
      <c r="AJ3">
        <v>1.0748</v>
      </c>
      <c r="AK3">
        <v>1.0716000000000001</v>
      </c>
    </row>
    <row r="4" spans="1:37">
      <c r="A4" t="s">
        <v>19</v>
      </c>
      <c r="B4" s="29" t="s">
        <v>133</v>
      </c>
      <c r="D4">
        <v>209.44809999999998</v>
      </c>
      <c r="E4">
        <v>223.38680000000002</v>
      </c>
      <c r="F4">
        <v>239.14760000000004</v>
      </c>
      <c r="G4">
        <v>265.51369999999997</v>
      </c>
      <c r="H4">
        <v>285.69210000000004</v>
      </c>
      <c r="I4">
        <v>262.5129</v>
      </c>
      <c r="J4">
        <v>258.44769999999994</v>
      </c>
      <c r="K4">
        <v>254.24700000000004</v>
      </c>
      <c r="L4">
        <v>249.57549999999998</v>
      </c>
      <c r="M4">
        <v>260.02420000000001</v>
      </c>
      <c r="N4">
        <v>222.86199999999999</v>
      </c>
      <c r="O4">
        <v>220.99490000000003</v>
      </c>
      <c r="P4">
        <v>177.46600000000001</v>
      </c>
      <c r="Q4">
        <v>172.67580000000004</v>
      </c>
      <c r="R4">
        <v>167.85790000000003</v>
      </c>
      <c r="S4">
        <v>155.01689999999996</v>
      </c>
      <c r="T4">
        <v>132.17849999999999</v>
      </c>
      <c r="U4">
        <v>127.10899999999998</v>
      </c>
      <c r="V4">
        <v>107.46860000000001</v>
      </c>
      <c r="W4">
        <v>86.261999999999986</v>
      </c>
      <c r="X4">
        <v>89.17919999999998</v>
      </c>
      <c r="Y4">
        <v>93.964099999999974</v>
      </c>
      <c r="Z4">
        <v>92.593899999999991</v>
      </c>
      <c r="AA4">
        <v>91.220100000000002</v>
      </c>
      <c r="AB4">
        <v>89.843000000000004</v>
      </c>
      <c r="AC4">
        <v>88.380600000000001</v>
      </c>
      <c r="AD4">
        <v>81.807899999999989</v>
      </c>
      <c r="AE4">
        <v>80.411400000000015</v>
      </c>
      <c r="AF4">
        <v>79.811699999999988</v>
      </c>
      <c r="AG4">
        <v>90.607399999999998</v>
      </c>
      <c r="AH4">
        <v>100.44139999999999</v>
      </c>
      <c r="AI4">
        <v>94.954200000000014</v>
      </c>
      <c r="AJ4">
        <v>94.474099999999993</v>
      </c>
      <c r="AK4">
        <v>82.255499999999998</v>
      </c>
    </row>
    <row r="5" spans="1:37">
      <c r="A5" t="s">
        <v>19</v>
      </c>
      <c r="B5" s="29" t="s">
        <v>134</v>
      </c>
      <c r="D5">
        <v>70.199999999999989</v>
      </c>
      <c r="E5">
        <v>68.615799999999993</v>
      </c>
      <c r="F5">
        <v>64.381799999999984</v>
      </c>
      <c r="G5">
        <v>60.005099999999992</v>
      </c>
      <c r="H5">
        <v>64.968999999999994</v>
      </c>
      <c r="I5">
        <v>1.1774</v>
      </c>
      <c r="J5">
        <v>1.4883999999999999</v>
      </c>
      <c r="K5">
        <v>1.7730000000000001</v>
      </c>
      <c r="L5">
        <v>1.9663999999999999</v>
      </c>
      <c r="M5">
        <v>6.6182000000000007</v>
      </c>
      <c r="N5">
        <v>11.751200000000001</v>
      </c>
      <c r="O5">
        <v>13.424999999999997</v>
      </c>
      <c r="P5">
        <v>1.2662</v>
      </c>
      <c r="Q5">
        <v>1.2662</v>
      </c>
      <c r="R5">
        <v>1.2662</v>
      </c>
      <c r="S5">
        <v>1.2662</v>
      </c>
      <c r="T5">
        <v>1.2662</v>
      </c>
      <c r="U5">
        <v>1.2662</v>
      </c>
      <c r="V5">
        <v>1.2662</v>
      </c>
      <c r="W5">
        <v>1.2662</v>
      </c>
      <c r="X5">
        <v>1.2662</v>
      </c>
      <c r="Y5">
        <v>1.2662</v>
      </c>
      <c r="Z5">
        <v>1.264</v>
      </c>
      <c r="AA5">
        <v>1.3</v>
      </c>
      <c r="AB5">
        <v>1.264</v>
      </c>
      <c r="AC5">
        <v>1.264</v>
      </c>
    </row>
    <row r="6" spans="1:37">
      <c r="A6" t="s">
        <v>19</v>
      </c>
      <c r="B6" s="29" t="s">
        <v>135</v>
      </c>
      <c r="D6">
        <v>8.892199999999999</v>
      </c>
      <c r="E6">
        <v>5.8180000000000005</v>
      </c>
      <c r="F6">
        <v>9.0679999999999996</v>
      </c>
      <c r="G6">
        <v>4.6938000000000004</v>
      </c>
      <c r="H6">
        <v>4.8309999999999995</v>
      </c>
    </row>
    <row r="7" spans="1:37">
      <c r="A7" t="s">
        <v>19</v>
      </c>
      <c r="B7" s="29" t="s">
        <v>138</v>
      </c>
      <c r="D7">
        <v>38.808399999999999</v>
      </c>
      <c r="E7">
        <v>36.058199999999999</v>
      </c>
      <c r="F7">
        <v>37.530299999999997</v>
      </c>
      <c r="G7">
        <v>38.628000000000007</v>
      </c>
      <c r="H7">
        <v>38.839799999999997</v>
      </c>
      <c r="I7">
        <v>39.966599999999993</v>
      </c>
      <c r="J7">
        <v>66.260999999999996</v>
      </c>
      <c r="K7">
        <v>92.745000000000005</v>
      </c>
      <c r="L7">
        <v>119.88179999999998</v>
      </c>
      <c r="M7">
        <v>126.00000000000001</v>
      </c>
      <c r="N7">
        <v>126.00000000000001</v>
      </c>
      <c r="O7">
        <v>126.00000000000001</v>
      </c>
      <c r="P7">
        <v>126.00000000000001</v>
      </c>
      <c r="Q7">
        <v>126.00000000000001</v>
      </c>
      <c r="R7">
        <v>126.00000000000001</v>
      </c>
      <c r="S7">
        <v>126.00000000000001</v>
      </c>
      <c r="T7">
        <v>126.00000000000001</v>
      </c>
      <c r="U7">
        <v>126.00000000000001</v>
      </c>
      <c r="V7">
        <v>126.00000000000001</v>
      </c>
      <c r="W7">
        <v>126.00000000000001</v>
      </c>
      <c r="X7">
        <v>126.00000000000001</v>
      </c>
      <c r="Y7">
        <v>126.00000000000001</v>
      </c>
      <c r="Z7">
        <v>126.00000000000001</v>
      </c>
      <c r="AA7">
        <v>126.00000000000001</v>
      </c>
      <c r="AB7">
        <v>126.00000000000001</v>
      </c>
      <c r="AC7">
        <v>126.00000000000001</v>
      </c>
      <c r="AD7">
        <v>126.00000000000001</v>
      </c>
      <c r="AE7">
        <v>126.00000000000001</v>
      </c>
      <c r="AF7">
        <v>126.00000000000001</v>
      </c>
      <c r="AG7">
        <v>126.00000000000001</v>
      </c>
      <c r="AH7">
        <v>126.0005</v>
      </c>
      <c r="AI7">
        <v>126.0005</v>
      </c>
      <c r="AJ7">
        <v>126.0005</v>
      </c>
      <c r="AK7">
        <v>126.0005</v>
      </c>
    </row>
    <row r="8" spans="1:37">
      <c r="A8" t="s">
        <v>19</v>
      </c>
      <c r="B8" s="29" t="s">
        <v>142</v>
      </c>
      <c r="I8">
        <v>66.049200000000013</v>
      </c>
      <c r="J8">
        <v>66.049200000000013</v>
      </c>
      <c r="K8">
        <v>66.049200000000013</v>
      </c>
      <c r="L8">
        <v>66.049200000000013</v>
      </c>
      <c r="M8">
        <v>66.049200000000013</v>
      </c>
      <c r="N8">
        <v>66.049200000000013</v>
      </c>
      <c r="O8">
        <v>93.289799999999985</v>
      </c>
      <c r="P8">
        <v>180.59740000000002</v>
      </c>
      <c r="Q8">
        <v>212.61700000000005</v>
      </c>
      <c r="R8">
        <v>244.55680000000004</v>
      </c>
      <c r="S8">
        <v>273.98120000000006</v>
      </c>
      <c r="T8">
        <v>329.97800000000001</v>
      </c>
      <c r="U8">
        <v>368.20759999999996</v>
      </c>
      <c r="V8">
        <v>420.79000000000008</v>
      </c>
      <c r="W8">
        <v>471.90940000000006</v>
      </c>
      <c r="X8">
        <v>389.13400000000007</v>
      </c>
      <c r="Y8">
        <v>404.00659999999999</v>
      </c>
      <c r="Z8">
        <v>430.36960000000016</v>
      </c>
      <c r="AA8">
        <v>456.78980000000001</v>
      </c>
      <c r="AB8">
        <v>483.26520000000005</v>
      </c>
      <c r="AC8">
        <v>510.62660000000005</v>
      </c>
      <c r="AD8">
        <v>543.8587</v>
      </c>
      <c r="AE8">
        <v>571.44910000000004</v>
      </c>
      <c r="AF8">
        <v>590.01800000000014</v>
      </c>
      <c r="AG8">
        <v>601.14820000000009</v>
      </c>
      <c r="AH8">
        <v>576.25540000000001</v>
      </c>
      <c r="AI8">
        <v>604.95679999999982</v>
      </c>
      <c r="AJ8">
        <v>628.65100000000007</v>
      </c>
      <c r="AK8">
        <v>664.08439999999996</v>
      </c>
    </row>
    <row r="9" spans="1:37">
      <c r="A9" t="s">
        <v>19</v>
      </c>
      <c r="B9" s="29" t="s">
        <v>145</v>
      </c>
      <c r="D9">
        <v>25.885199999999987</v>
      </c>
      <c r="E9">
        <v>33.065800000000003</v>
      </c>
      <c r="F9">
        <v>36.306100000000008</v>
      </c>
      <c r="G9">
        <v>37.033799999999999</v>
      </c>
      <c r="H9">
        <v>39.271800000000006</v>
      </c>
      <c r="I9">
        <v>39.271800000000006</v>
      </c>
      <c r="J9">
        <v>39.271800000000006</v>
      </c>
      <c r="K9">
        <v>39.271800000000006</v>
      </c>
      <c r="L9">
        <v>39.271800000000006</v>
      </c>
      <c r="M9">
        <v>39.271800000000006</v>
      </c>
      <c r="N9">
        <v>39.271800000000006</v>
      </c>
      <c r="O9">
        <v>39.271800000000006</v>
      </c>
      <c r="P9">
        <v>39.271800000000006</v>
      </c>
      <c r="Q9">
        <v>39.271800000000006</v>
      </c>
      <c r="R9">
        <v>39.271800000000006</v>
      </c>
      <c r="S9">
        <v>39.271800000000006</v>
      </c>
      <c r="T9">
        <v>39.271800000000006</v>
      </c>
      <c r="U9">
        <v>39.271800000000006</v>
      </c>
      <c r="V9">
        <v>39.271800000000006</v>
      </c>
      <c r="W9">
        <v>39.271800000000006</v>
      </c>
      <c r="X9">
        <v>39.271800000000006</v>
      </c>
      <c r="Y9">
        <v>39.271800000000006</v>
      </c>
      <c r="Z9">
        <v>39.271800000000006</v>
      </c>
      <c r="AA9">
        <v>39.271800000000006</v>
      </c>
      <c r="AB9">
        <v>39.271800000000006</v>
      </c>
      <c r="AC9">
        <v>39.271800000000006</v>
      </c>
      <c r="AD9">
        <v>39.271800000000006</v>
      </c>
      <c r="AE9">
        <v>39.156600000000005</v>
      </c>
      <c r="AF9">
        <v>39.156600000000005</v>
      </c>
      <c r="AG9">
        <v>39.156600000000005</v>
      </c>
      <c r="AH9">
        <v>39.156600000000005</v>
      </c>
      <c r="AI9">
        <v>39.156600000000005</v>
      </c>
      <c r="AJ9">
        <v>39.156600000000005</v>
      </c>
      <c r="AK9">
        <v>39.156600000000005</v>
      </c>
    </row>
    <row r="10" spans="1:37">
      <c r="A10" t="s">
        <v>19</v>
      </c>
      <c r="B10" s="29" t="s">
        <v>146</v>
      </c>
      <c r="I10">
        <v>5.5426000000000002</v>
      </c>
      <c r="J10">
        <v>5.6577999999999999</v>
      </c>
      <c r="K10">
        <v>5.7598000000000003</v>
      </c>
      <c r="L10">
        <v>5.8164000000000007</v>
      </c>
      <c r="M10">
        <v>7.1935000000000011</v>
      </c>
      <c r="N10">
        <v>7.6731000000000016</v>
      </c>
      <c r="O10">
        <v>7.7795000000000014</v>
      </c>
      <c r="P10">
        <v>4.2029999999999994</v>
      </c>
      <c r="Q10">
        <v>4.0327999999999999</v>
      </c>
      <c r="R10">
        <v>3.8602000000000007</v>
      </c>
      <c r="S10">
        <v>3.6900000000000004</v>
      </c>
      <c r="T10">
        <v>3.4832000000000001</v>
      </c>
      <c r="U10">
        <v>3.2764000000000006</v>
      </c>
      <c r="V10">
        <v>3.2876000000000003</v>
      </c>
      <c r="W10">
        <v>8.0191999999999997</v>
      </c>
      <c r="X10">
        <v>17.805199999999999</v>
      </c>
      <c r="Y10">
        <v>22.325000000000003</v>
      </c>
      <c r="Z10">
        <v>23.422599999999999</v>
      </c>
      <c r="AA10">
        <v>24.451499999999999</v>
      </c>
      <c r="AB10">
        <v>25.697099999999999</v>
      </c>
      <c r="AC10">
        <v>26.963300000000004</v>
      </c>
      <c r="AD10">
        <v>29.497299999999999</v>
      </c>
      <c r="AE10">
        <v>30.755000000000003</v>
      </c>
      <c r="AF10">
        <v>32.661000000000001</v>
      </c>
      <c r="AG10">
        <v>45.9039</v>
      </c>
      <c r="AH10">
        <v>65.1113</v>
      </c>
      <c r="AI10">
        <v>67.091099999999997</v>
      </c>
      <c r="AJ10">
        <v>69.114999999999995</v>
      </c>
      <c r="AK10">
        <v>71.098799999999997</v>
      </c>
    </row>
    <row r="11" spans="1:37">
      <c r="A11" t="s">
        <v>19</v>
      </c>
      <c r="B11" s="29" t="s">
        <v>150</v>
      </c>
      <c r="D11">
        <v>4.9569999999999999</v>
      </c>
      <c r="E11">
        <v>5.2921999999999993</v>
      </c>
      <c r="F11">
        <v>6.5590999999999999</v>
      </c>
      <c r="G11">
        <v>9.1578999999999997</v>
      </c>
      <c r="H11">
        <v>13.720099999999999</v>
      </c>
      <c r="I11">
        <v>17.098199999999999</v>
      </c>
      <c r="J11">
        <v>17.098199999999999</v>
      </c>
      <c r="K11">
        <v>17.098199999999999</v>
      </c>
      <c r="L11">
        <v>17.098199999999999</v>
      </c>
      <c r="M11">
        <v>17.098199999999999</v>
      </c>
      <c r="N11">
        <v>71.401600000000002</v>
      </c>
      <c r="O11">
        <v>71.401600000000002</v>
      </c>
      <c r="P11">
        <v>71.401600000000002</v>
      </c>
      <c r="Q11">
        <v>71.401600000000002</v>
      </c>
      <c r="R11">
        <v>71.595399999999998</v>
      </c>
      <c r="S11">
        <v>71.595399999999998</v>
      </c>
      <c r="T11">
        <v>71.595399999999998</v>
      </c>
      <c r="U11">
        <v>71.595399999999998</v>
      </c>
      <c r="V11">
        <v>71.595399999999998</v>
      </c>
      <c r="W11">
        <v>71.595399999999998</v>
      </c>
      <c r="X11">
        <v>173.77699999999999</v>
      </c>
      <c r="Y11">
        <v>182.77559999999997</v>
      </c>
      <c r="Z11">
        <v>192.44040000000001</v>
      </c>
      <c r="AA11">
        <v>202.12540000000001</v>
      </c>
      <c r="AB11">
        <v>211.82900000000001</v>
      </c>
      <c r="AC11">
        <v>221.94040000000001</v>
      </c>
      <c r="AD11">
        <v>232.23959999999997</v>
      </c>
      <c r="AE11">
        <v>242.43700000000001</v>
      </c>
      <c r="AF11">
        <v>260.28380000000004</v>
      </c>
      <c r="AG11">
        <v>262.82779999999997</v>
      </c>
      <c r="AH11">
        <v>311.99869999999999</v>
      </c>
      <c r="AI11">
        <v>323.03979999999996</v>
      </c>
      <c r="AJ11">
        <v>334.0804</v>
      </c>
      <c r="AK11">
        <v>345.12110000000001</v>
      </c>
    </row>
    <row r="12" spans="1:37">
      <c r="A12" t="s">
        <v>19</v>
      </c>
      <c r="B12" s="29" t="s">
        <v>152</v>
      </c>
      <c r="D12">
        <v>3.7079999999999997</v>
      </c>
      <c r="E12">
        <v>4.5722000000000005</v>
      </c>
      <c r="F12">
        <v>3.7081999999999997</v>
      </c>
      <c r="G12">
        <v>4.7092000000000001</v>
      </c>
      <c r="H12">
        <v>4.4601999999999995</v>
      </c>
      <c r="I12">
        <v>4.7092000000000001</v>
      </c>
      <c r="J12">
        <v>4.7092000000000001</v>
      </c>
      <c r="K12">
        <v>4.7092000000000001</v>
      </c>
      <c r="L12">
        <v>4.7092000000000001</v>
      </c>
      <c r="M12">
        <v>4.7092000000000001</v>
      </c>
      <c r="N12">
        <v>4.5250000000000004</v>
      </c>
      <c r="O12">
        <v>4.5250000000000004</v>
      </c>
      <c r="P12">
        <v>4.5250000000000004</v>
      </c>
      <c r="Q12">
        <v>4.5250000000000004</v>
      </c>
      <c r="R12">
        <v>4.5250000000000004</v>
      </c>
      <c r="S12">
        <v>4.5250000000000004</v>
      </c>
      <c r="T12">
        <v>4.5250000000000004</v>
      </c>
      <c r="U12">
        <v>4.5250000000000004</v>
      </c>
      <c r="V12">
        <v>4.5250000000000004</v>
      </c>
      <c r="W12">
        <v>2.8333999999999997</v>
      </c>
      <c r="X12">
        <v>2.3317999999999994</v>
      </c>
      <c r="Y12">
        <v>2.3317999999999994</v>
      </c>
      <c r="Z12">
        <v>2.3317999999999994</v>
      </c>
      <c r="AA12">
        <v>2.3317999999999994</v>
      </c>
      <c r="AB12">
        <v>2.3317999999999994</v>
      </c>
      <c r="AC12">
        <v>1.0010000000000001</v>
      </c>
      <c r="AD12">
        <v>0.13719999999999996</v>
      </c>
      <c r="AE12">
        <v>0.13719999999999996</v>
      </c>
    </row>
    <row r="13" spans="1:37">
      <c r="A13" t="s">
        <v>19</v>
      </c>
      <c r="B13" s="29" t="s">
        <v>161</v>
      </c>
      <c r="D13">
        <v>440.98590000000002</v>
      </c>
      <c r="E13">
        <v>453.45089999999993</v>
      </c>
      <c r="F13">
        <v>466.26069999999999</v>
      </c>
      <c r="G13">
        <v>478.72989999999982</v>
      </c>
      <c r="H13">
        <v>491.58849999999984</v>
      </c>
      <c r="I13">
        <v>504.17269999999996</v>
      </c>
      <c r="J13">
        <v>519.59229999999991</v>
      </c>
      <c r="K13">
        <v>534.80810000000008</v>
      </c>
      <c r="L13">
        <v>550.05770000000018</v>
      </c>
      <c r="M13">
        <v>565.34440000000006</v>
      </c>
      <c r="N13">
        <v>556.6327</v>
      </c>
      <c r="O13">
        <v>575.49740000000008</v>
      </c>
      <c r="P13">
        <v>594.08820000000014</v>
      </c>
      <c r="Q13">
        <v>612.9473999999999</v>
      </c>
      <c r="R13">
        <v>631.75469999999996</v>
      </c>
      <c r="S13">
        <v>650.53110000000004</v>
      </c>
      <c r="T13">
        <v>672.0059</v>
      </c>
      <c r="U13">
        <v>693.43569999999988</v>
      </c>
      <c r="V13">
        <v>714.84790000000021</v>
      </c>
      <c r="W13">
        <v>736.41049999999996</v>
      </c>
      <c r="X13">
        <v>755.84249999999975</v>
      </c>
      <c r="Y13">
        <v>779.39909999999998</v>
      </c>
      <c r="Z13">
        <v>802.98720000000026</v>
      </c>
      <c r="AA13">
        <v>826.64699999999993</v>
      </c>
      <c r="AB13">
        <v>850.36059999999986</v>
      </c>
      <c r="AC13">
        <v>874.12100000000009</v>
      </c>
      <c r="AD13">
        <v>899.60469999999998</v>
      </c>
      <c r="AE13">
        <v>925.12670000000014</v>
      </c>
      <c r="AF13">
        <v>950.70649999999989</v>
      </c>
      <c r="AG13">
        <v>976.31759999999997</v>
      </c>
      <c r="AH13">
        <v>995.2355</v>
      </c>
      <c r="AI13">
        <v>1021.9914000000001</v>
      </c>
      <c r="AJ13">
        <v>1048.5684000000001</v>
      </c>
      <c r="AK13">
        <v>1075.4968000000001</v>
      </c>
    </row>
    <row r="14" spans="1:37">
      <c r="A14" t="s">
        <v>19</v>
      </c>
      <c r="B14" s="29" t="s">
        <v>164</v>
      </c>
      <c r="D14">
        <v>743.19129999999996</v>
      </c>
      <c r="E14">
        <v>1183.9745999999998</v>
      </c>
      <c r="F14">
        <v>1242.6016</v>
      </c>
      <c r="G14">
        <v>1334.6258999999998</v>
      </c>
      <c r="H14">
        <v>1407.2359999999999</v>
      </c>
      <c r="I14">
        <v>1497.748</v>
      </c>
      <c r="J14">
        <v>1494.0393000000001</v>
      </c>
      <c r="K14">
        <v>1489.8723999999997</v>
      </c>
      <c r="L14">
        <v>1484.1654999999998</v>
      </c>
      <c r="M14">
        <v>1526.1768000000004</v>
      </c>
      <c r="N14">
        <v>1419.1469999999999</v>
      </c>
      <c r="O14">
        <v>1485.1382000000006</v>
      </c>
      <c r="P14">
        <v>1556.7690000000002</v>
      </c>
      <c r="Q14">
        <v>1624.4905999999996</v>
      </c>
      <c r="R14">
        <v>1067.8233000000002</v>
      </c>
    </row>
    <row r="15" spans="1:37" ht="13.8" customHeight="1">
      <c r="A15" t="s">
        <v>19</v>
      </c>
      <c r="B15" s="29" t="s">
        <v>165</v>
      </c>
      <c r="D15">
        <v>140.44419999999997</v>
      </c>
      <c r="E15">
        <v>162.24450000000002</v>
      </c>
      <c r="F15">
        <v>156.2115</v>
      </c>
      <c r="G15">
        <v>149.87700000000001</v>
      </c>
      <c r="H15">
        <v>271.05500000000006</v>
      </c>
      <c r="I15">
        <v>155.89769999999999</v>
      </c>
      <c r="J15">
        <v>157.80269999999999</v>
      </c>
      <c r="K15">
        <v>159.66049999999998</v>
      </c>
      <c r="L15">
        <v>161.28469999999999</v>
      </c>
      <c r="M15">
        <v>174.05439999999999</v>
      </c>
      <c r="N15">
        <v>183.45739999999998</v>
      </c>
      <c r="O15">
        <v>188.32500000000002</v>
      </c>
      <c r="P15">
        <v>159.40670000000003</v>
      </c>
      <c r="Q15">
        <v>160.47320000000002</v>
      </c>
      <c r="R15">
        <v>164.011</v>
      </c>
      <c r="S15">
        <v>175.23139999999998</v>
      </c>
      <c r="T15">
        <v>180.02670000000001</v>
      </c>
      <c r="U15">
        <v>184.81329999999997</v>
      </c>
      <c r="V15">
        <v>189.9742</v>
      </c>
      <c r="W15">
        <v>203.38870000000003</v>
      </c>
      <c r="X15">
        <v>225.20850000000002</v>
      </c>
      <c r="Y15">
        <v>241.60580000000002</v>
      </c>
      <c r="Z15">
        <v>252.01930000000002</v>
      </c>
      <c r="AA15">
        <v>262.39480000000003</v>
      </c>
      <c r="AB15">
        <v>273.01659999999998</v>
      </c>
      <c r="AC15">
        <v>283.70120000000003</v>
      </c>
      <c r="AD15">
        <v>296.35050000000001</v>
      </c>
      <c r="AE15">
        <v>309.26900000000001</v>
      </c>
      <c r="AF15">
        <v>323.327</v>
      </c>
      <c r="AG15">
        <v>357.22739999999999</v>
      </c>
      <c r="AH15">
        <v>399.28149999999999</v>
      </c>
      <c r="AI15">
        <v>415.89799999999997</v>
      </c>
      <c r="AJ15">
        <v>432.59100000000001</v>
      </c>
      <c r="AK15">
        <v>449.21270000000004</v>
      </c>
    </row>
    <row r="16" spans="1:37" ht="13.8" customHeight="1">
      <c r="A16" t="s">
        <v>19</v>
      </c>
      <c r="B16" s="29" t="s">
        <v>166</v>
      </c>
      <c r="D16">
        <v>244.72019999999992</v>
      </c>
    </row>
    <row r="17" spans="1:37">
      <c r="A17" t="s">
        <v>19</v>
      </c>
      <c r="B17" s="29" t="s">
        <v>167</v>
      </c>
      <c r="R17">
        <v>624.04370000000006</v>
      </c>
      <c r="S17">
        <v>1736.9943999999998</v>
      </c>
      <c r="T17">
        <v>1803.6576</v>
      </c>
      <c r="U17">
        <v>1885.5689</v>
      </c>
      <c r="V17">
        <v>1954.4731000000002</v>
      </c>
      <c r="W17">
        <v>2015.0874999999996</v>
      </c>
      <c r="X17">
        <v>1844.2937000000004</v>
      </c>
      <c r="Y17">
        <v>1904.5224000000001</v>
      </c>
      <c r="Z17">
        <v>1971.7222000000002</v>
      </c>
      <c r="AA17">
        <v>2039.0643999999998</v>
      </c>
      <c r="AB17">
        <v>2106.5407999999998</v>
      </c>
      <c r="AC17">
        <v>2176.2429999999999</v>
      </c>
      <c r="AD17">
        <v>2244.1014</v>
      </c>
      <c r="AE17">
        <v>2315.0185000000001</v>
      </c>
      <c r="AF17">
        <v>2367.7714000000001</v>
      </c>
      <c r="AG17">
        <v>2439.3924999999999</v>
      </c>
      <c r="AH17">
        <v>2423.6454000000008</v>
      </c>
      <c r="AI17">
        <v>2485.1005999999993</v>
      </c>
      <c r="AJ17">
        <v>2550.8517999999999</v>
      </c>
      <c r="AK17">
        <v>2606.5280000000002</v>
      </c>
    </row>
    <row r="18" spans="1:37">
      <c r="A18" t="s">
        <v>19</v>
      </c>
      <c r="B18" s="29" t="s">
        <v>169</v>
      </c>
      <c r="D18">
        <v>15.2005</v>
      </c>
      <c r="E18">
        <v>143.8235</v>
      </c>
      <c r="F18">
        <v>159.36930000000001</v>
      </c>
      <c r="G18">
        <v>135.86329999999998</v>
      </c>
      <c r="H18">
        <v>35.692900000000002</v>
      </c>
      <c r="I18">
        <v>11.0006</v>
      </c>
      <c r="J18">
        <v>11.083600000000001</v>
      </c>
      <c r="K18">
        <v>11.1692</v>
      </c>
      <c r="L18">
        <v>11.2568</v>
      </c>
      <c r="M18">
        <v>11.346</v>
      </c>
      <c r="N18">
        <v>11.225</v>
      </c>
      <c r="O18">
        <v>11.330200000000001</v>
      </c>
      <c r="P18">
        <v>11.435</v>
      </c>
      <c r="Q18">
        <v>11.539199999999999</v>
      </c>
      <c r="R18">
        <v>9.3394000000000013</v>
      </c>
    </row>
    <row r="19" spans="1:37">
      <c r="A19" t="s">
        <v>19</v>
      </c>
      <c r="B19" s="29" t="s">
        <v>170</v>
      </c>
      <c r="D19">
        <v>440.98590000000002</v>
      </c>
      <c r="E19">
        <v>453.45089999999993</v>
      </c>
      <c r="F19">
        <v>466.26069999999999</v>
      </c>
      <c r="G19">
        <v>478.72989999999982</v>
      </c>
      <c r="H19">
        <v>491.58849999999984</v>
      </c>
      <c r="I19">
        <v>504.17269999999996</v>
      </c>
      <c r="J19">
        <v>519.59229999999991</v>
      </c>
      <c r="K19">
        <v>534.80810000000008</v>
      </c>
      <c r="L19">
        <v>550.05770000000018</v>
      </c>
      <c r="M19">
        <v>565.34440000000006</v>
      </c>
      <c r="N19">
        <v>556.6327</v>
      </c>
      <c r="O19">
        <v>575.49740000000008</v>
      </c>
      <c r="P19">
        <v>594.08820000000014</v>
      </c>
      <c r="Q19">
        <v>612.9473999999999</v>
      </c>
      <c r="R19">
        <v>631.75469999999996</v>
      </c>
      <c r="S19">
        <v>650.53110000000004</v>
      </c>
      <c r="T19">
        <v>672.0059</v>
      </c>
      <c r="U19">
        <v>693.43569999999988</v>
      </c>
      <c r="V19">
        <v>714.84790000000021</v>
      </c>
      <c r="W19">
        <v>736.41049999999996</v>
      </c>
      <c r="X19">
        <v>755.84249999999975</v>
      </c>
      <c r="Y19">
        <v>779.39909999999998</v>
      </c>
      <c r="Z19">
        <v>802.98720000000026</v>
      </c>
      <c r="AA19">
        <v>826.64699999999993</v>
      </c>
      <c r="AB19">
        <v>850.36059999999986</v>
      </c>
      <c r="AC19">
        <v>874.12099999999987</v>
      </c>
      <c r="AD19">
        <v>899.60469999999998</v>
      </c>
      <c r="AE19">
        <v>925.12670000000014</v>
      </c>
      <c r="AF19">
        <v>950.70649999999989</v>
      </c>
      <c r="AG19">
        <v>976.31759999999997</v>
      </c>
      <c r="AH19">
        <v>995.2355</v>
      </c>
      <c r="AI19">
        <v>1021.9914000000001</v>
      </c>
      <c r="AJ19">
        <v>1048.5684000000001</v>
      </c>
      <c r="AK19">
        <v>1075.4968000000001</v>
      </c>
    </row>
    <row r="20" spans="1:37">
      <c r="A20" t="s">
        <v>19</v>
      </c>
      <c r="B20" s="29" t="s">
        <v>171</v>
      </c>
      <c r="D20">
        <v>304.30330000000004</v>
      </c>
      <c r="E20">
        <v>22.564399999999999</v>
      </c>
      <c r="F20">
        <v>20.8063</v>
      </c>
      <c r="G20">
        <v>22.073300000000003</v>
      </c>
      <c r="H20">
        <v>20.827399999999997</v>
      </c>
      <c r="X20">
        <v>3.8588</v>
      </c>
      <c r="Y20">
        <v>4.24</v>
      </c>
      <c r="Z20">
        <v>4.6749999999999998</v>
      </c>
      <c r="AA20">
        <v>5.2460000000000004</v>
      </c>
      <c r="AB20">
        <v>5.2460000000000004</v>
      </c>
      <c r="AC20">
        <v>5.2451999999999996</v>
      </c>
      <c r="AD20">
        <v>5.2451999999999996</v>
      </c>
      <c r="AE20">
        <v>5.2451999999999996</v>
      </c>
      <c r="AF20">
        <v>5.2451999999999996</v>
      </c>
      <c r="AG20">
        <v>4.9234</v>
      </c>
      <c r="AH20">
        <v>4.4748000000000001</v>
      </c>
      <c r="AI20">
        <v>4.4748000000000001</v>
      </c>
      <c r="AJ20">
        <v>4.3002000000000002</v>
      </c>
      <c r="AK20">
        <v>4.2869999999999999</v>
      </c>
    </row>
    <row r="21" spans="1:37">
      <c r="A21" t="s">
        <v>19</v>
      </c>
      <c r="B21" s="29" t="s">
        <v>172</v>
      </c>
      <c r="D21">
        <v>740.25970000000029</v>
      </c>
      <c r="E21">
        <v>1179.3037999999997</v>
      </c>
      <c r="F21">
        <v>1237.6987999999999</v>
      </c>
      <c r="G21">
        <v>1329.3613</v>
      </c>
      <c r="H21">
        <v>1401.6855</v>
      </c>
      <c r="I21">
        <v>1491.8392000000003</v>
      </c>
      <c r="J21">
        <v>1488.1458000000007</v>
      </c>
      <c r="K21">
        <v>1483.9944</v>
      </c>
      <c r="L21">
        <v>1478.3102000000001</v>
      </c>
      <c r="M21">
        <v>1520.1557999999998</v>
      </c>
      <c r="N21">
        <v>1413.5487000000001</v>
      </c>
      <c r="O21">
        <v>1479.2795000000001</v>
      </c>
      <c r="P21">
        <v>1550.6273999999996</v>
      </c>
      <c r="Q21">
        <v>1618.0815000000002</v>
      </c>
      <c r="R21">
        <v>1685.1929</v>
      </c>
      <c r="S21">
        <v>1730.1409999999998</v>
      </c>
      <c r="T21">
        <v>1796.5422000000001</v>
      </c>
      <c r="U21">
        <v>1878.1304000000002</v>
      </c>
      <c r="V21">
        <v>1946.7629999999999</v>
      </c>
      <c r="W21">
        <v>2007.1376</v>
      </c>
      <c r="X21">
        <v>1837.0175999999997</v>
      </c>
      <c r="Y21">
        <v>1897.0086000000003</v>
      </c>
      <c r="Z21">
        <v>1963.9433000000001</v>
      </c>
      <c r="AA21">
        <v>2031.0198999999998</v>
      </c>
      <c r="AB21">
        <v>2098.2307999999998</v>
      </c>
      <c r="AC21">
        <v>2167.6581000000006</v>
      </c>
      <c r="AD21">
        <v>2235.2485000000001</v>
      </c>
      <c r="AE21">
        <v>2305.8861999999999</v>
      </c>
      <c r="AF21">
        <v>2358.4309999999996</v>
      </c>
      <c r="AG21">
        <v>2429.7689000000009</v>
      </c>
      <c r="AH21">
        <v>2414.0845999999997</v>
      </c>
      <c r="AI21">
        <v>2475.2966999999994</v>
      </c>
      <c r="AJ21">
        <v>2540.7888999999996</v>
      </c>
      <c r="AK21">
        <v>2596.2457999999997</v>
      </c>
    </row>
    <row r="22" spans="1:37">
      <c r="A22" t="s">
        <v>19</v>
      </c>
      <c r="B22" s="29" t="s">
        <v>173</v>
      </c>
      <c r="D22">
        <v>132.8989</v>
      </c>
      <c r="E22">
        <v>153.52860000000001</v>
      </c>
      <c r="F22">
        <v>147.82009999999997</v>
      </c>
      <c r="G22">
        <v>141.82559999999998</v>
      </c>
      <c r="H22">
        <v>256.49340000000001</v>
      </c>
      <c r="I22">
        <v>147.52229999999997</v>
      </c>
      <c r="J22">
        <v>149.32489999999999</v>
      </c>
      <c r="K22">
        <v>151.08319999999998</v>
      </c>
      <c r="L22">
        <v>152.62030000000001</v>
      </c>
      <c r="M22">
        <v>164.70399999999995</v>
      </c>
      <c r="N22">
        <v>173.60130000000001</v>
      </c>
      <c r="O22">
        <v>178.20759999999996</v>
      </c>
      <c r="P22">
        <v>150.84269999999998</v>
      </c>
      <c r="Q22">
        <v>151.8518</v>
      </c>
      <c r="R22">
        <v>155.20009999999999</v>
      </c>
      <c r="S22">
        <v>165.81759999999997</v>
      </c>
      <c r="T22">
        <v>170.35550000000001</v>
      </c>
      <c r="U22">
        <v>174.88470000000004</v>
      </c>
      <c r="V22">
        <v>179.76830000000001</v>
      </c>
      <c r="W22">
        <v>192.46229999999997</v>
      </c>
      <c r="X22">
        <v>213.10989999999998</v>
      </c>
      <c r="Y22">
        <v>228.62609999999995</v>
      </c>
      <c r="Z22">
        <v>238.48019999999997</v>
      </c>
      <c r="AA22">
        <v>248.29850000000002</v>
      </c>
      <c r="AB22">
        <v>258.34990000000005</v>
      </c>
      <c r="AC22">
        <v>268.45990000000006</v>
      </c>
      <c r="AD22">
        <v>280.43</v>
      </c>
      <c r="AE22">
        <v>292.65460000000002</v>
      </c>
      <c r="AF22">
        <v>305.95740000000001</v>
      </c>
      <c r="AG22">
        <v>338.03640000000001</v>
      </c>
      <c r="AH22">
        <v>377.83119999999997</v>
      </c>
      <c r="AI22">
        <v>393.55529999999999</v>
      </c>
      <c r="AJ22">
        <v>409.35090000000002</v>
      </c>
      <c r="AK22">
        <v>425.0802000000001</v>
      </c>
    </row>
    <row r="23" spans="1:37">
      <c r="A23" t="s">
        <v>19</v>
      </c>
      <c r="B23" s="29" t="s">
        <v>174</v>
      </c>
      <c r="D23">
        <v>264.4027999999999</v>
      </c>
      <c r="E23">
        <v>146.30419999999998</v>
      </c>
      <c r="F23">
        <v>162.11770000000001</v>
      </c>
      <c r="G23">
        <v>138.2064</v>
      </c>
      <c r="H23">
        <v>36.308099999999996</v>
      </c>
      <c r="I23">
        <v>11.190199999999999</v>
      </c>
      <c r="J23">
        <v>11.275</v>
      </c>
      <c r="K23">
        <v>11.361799999999999</v>
      </c>
      <c r="L23">
        <v>11.4506</v>
      </c>
      <c r="M23">
        <v>11.541799999999999</v>
      </c>
      <c r="N23">
        <v>11.4186</v>
      </c>
      <c r="O23">
        <v>11.525600000000001</v>
      </c>
      <c r="P23">
        <v>11.632199999999999</v>
      </c>
      <c r="Q23">
        <v>11.738200000000001</v>
      </c>
      <c r="R23">
        <v>9.5003999999999991</v>
      </c>
    </row>
    <row r="24" spans="1:37">
      <c r="AH24" s="15"/>
    </row>
    <row r="31" spans="1:37">
      <c r="AG31" s="15"/>
      <c r="AH31" s="15"/>
    </row>
    <row r="65" spans="4:26">
      <c r="D65" s="15"/>
      <c r="E65" s="15"/>
      <c r="F65" s="15"/>
      <c r="G65" s="15"/>
    </row>
    <row r="66" spans="4:26">
      <c r="D66" s="15"/>
      <c r="E66" s="15"/>
      <c r="F66" s="15"/>
      <c r="G66" s="15"/>
    </row>
    <row r="77" spans="4:26">
      <c r="Y77" s="15"/>
      <c r="Z77" s="15"/>
    </row>
    <row r="155" spans="33:33">
      <c r="AG155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44"/>
  <sheetViews>
    <sheetView workbookViewId="0">
      <selection activeCell="B3" sqref="B3:AK134"/>
    </sheetView>
  </sheetViews>
  <sheetFormatPr defaultColWidth="8.77734375" defaultRowHeight="14.4"/>
  <cols>
    <col min="2" max="2" width="28.109375" bestFit="1" customWidth="1"/>
  </cols>
  <sheetData>
    <row r="1" spans="1:37">
      <c r="A1" t="s">
        <v>27</v>
      </c>
    </row>
    <row r="2" spans="1:37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7">
      <c r="A3" t="s">
        <v>19</v>
      </c>
      <c r="B3" s="29" t="s">
        <v>89</v>
      </c>
      <c r="C3">
        <v>999999</v>
      </c>
      <c r="D3">
        <v>999999</v>
      </c>
      <c r="E3">
        <v>999999</v>
      </c>
      <c r="F3">
        <v>999999</v>
      </c>
      <c r="G3">
        <v>999999</v>
      </c>
      <c r="H3">
        <v>999999</v>
      </c>
      <c r="I3">
        <v>999999</v>
      </c>
      <c r="J3">
        <v>999999</v>
      </c>
      <c r="K3">
        <v>999999</v>
      </c>
      <c r="L3">
        <v>999999</v>
      </c>
      <c r="M3">
        <v>999999</v>
      </c>
      <c r="N3">
        <v>999999</v>
      </c>
      <c r="O3">
        <v>999999</v>
      </c>
      <c r="P3">
        <v>999999</v>
      </c>
      <c r="Q3">
        <v>999999</v>
      </c>
      <c r="R3">
        <v>999999</v>
      </c>
      <c r="S3">
        <v>999999</v>
      </c>
      <c r="T3">
        <v>999999</v>
      </c>
      <c r="U3">
        <v>999999</v>
      </c>
      <c r="V3">
        <v>999999</v>
      </c>
      <c r="W3">
        <v>999999</v>
      </c>
      <c r="X3">
        <v>999999</v>
      </c>
      <c r="Y3">
        <v>999999</v>
      </c>
      <c r="Z3">
        <v>999999</v>
      </c>
      <c r="AA3">
        <v>999999</v>
      </c>
      <c r="AB3">
        <v>999999</v>
      </c>
      <c r="AC3">
        <v>999999</v>
      </c>
      <c r="AD3">
        <v>999999</v>
      </c>
      <c r="AE3">
        <v>999999</v>
      </c>
      <c r="AF3">
        <v>999999</v>
      </c>
      <c r="AG3">
        <v>999999</v>
      </c>
      <c r="AH3">
        <v>999999</v>
      </c>
      <c r="AI3">
        <v>999999</v>
      </c>
      <c r="AJ3">
        <v>999999</v>
      </c>
      <c r="AK3">
        <v>33999966</v>
      </c>
    </row>
    <row r="4" spans="1:37">
      <c r="A4" t="s">
        <v>19</v>
      </c>
      <c r="B4" s="29" t="s">
        <v>90</v>
      </c>
      <c r="C4">
        <v>3.8999999999999998E-3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3.8999999999999998E-3</v>
      </c>
    </row>
    <row r="5" spans="1:37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>
      <c r="A7" t="s">
        <v>19</v>
      </c>
      <c r="B7" s="29" t="s">
        <v>93</v>
      </c>
      <c r="C7">
        <v>0.315</v>
      </c>
      <c r="D7">
        <v>1.29E-2</v>
      </c>
      <c r="E7">
        <v>8.8999999999999999E-3</v>
      </c>
      <c r="F7">
        <v>8.8999999999999999E-3</v>
      </c>
      <c r="G7">
        <v>8.8999999999999999E-3</v>
      </c>
      <c r="H7">
        <v>8.8999999999999999E-3</v>
      </c>
      <c r="I7">
        <v>9.5999999999999992E-3</v>
      </c>
      <c r="J7">
        <v>9.5999999999999992E-3</v>
      </c>
      <c r="K7">
        <v>9.5999999999999992E-3</v>
      </c>
      <c r="L7">
        <v>9.5999999999999992E-3</v>
      </c>
      <c r="M7">
        <v>9.5999999999999992E-3</v>
      </c>
      <c r="N7">
        <v>1.0800000000000001E-2</v>
      </c>
      <c r="O7">
        <v>1.0800000000000001E-2</v>
      </c>
      <c r="P7">
        <v>1.0800000000000001E-2</v>
      </c>
      <c r="Q7">
        <v>1.0800000000000001E-2</v>
      </c>
      <c r="R7">
        <v>1.0800000000000001E-2</v>
      </c>
      <c r="S7">
        <v>1.2699999999999999E-2</v>
      </c>
      <c r="T7">
        <v>1.2699999999999999E-2</v>
      </c>
      <c r="U7">
        <v>1.2699999999999999E-2</v>
      </c>
      <c r="V7">
        <v>1.2699999999999999E-2</v>
      </c>
      <c r="W7">
        <v>8.8000000000000005E-3</v>
      </c>
      <c r="X7">
        <v>0</v>
      </c>
      <c r="Y7">
        <v>0</v>
      </c>
      <c r="Z7">
        <v>0</v>
      </c>
      <c r="AA7">
        <v>0</v>
      </c>
      <c r="AB7">
        <v>0.16450000000000001</v>
      </c>
      <c r="AC7">
        <v>0</v>
      </c>
      <c r="AD7">
        <v>0</v>
      </c>
      <c r="AE7">
        <v>0</v>
      </c>
      <c r="AF7">
        <v>0</v>
      </c>
      <c r="AG7">
        <v>0.39350000000000002</v>
      </c>
      <c r="AH7">
        <v>2.7300000000000001E-2</v>
      </c>
      <c r="AI7">
        <v>2.7300000000000001E-2</v>
      </c>
      <c r="AJ7">
        <v>2.7300000000000001E-2</v>
      </c>
      <c r="AK7">
        <v>1.1650000000000003</v>
      </c>
    </row>
    <row r="8" spans="1:37">
      <c r="A8" t="s">
        <v>19</v>
      </c>
      <c r="B8" s="29" t="s">
        <v>94</v>
      </c>
      <c r="C8">
        <v>3.7499999999999999E-2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3.7499999999999999E-2</v>
      </c>
    </row>
    <row r="9" spans="1:37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>
      <c r="A10" t="s">
        <v>19</v>
      </c>
      <c r="B10" s="29" t="s">
        <v>96</v>
      </c>
      <c r="C10">
        <v>250.36</v>
      </c>
      <c r="D10">
        <v>6.4909999999999997</v>
      </c>
      <c r="E10">
        <v>6.4909999999999997</v>
      </c>
      <c r="F10">
        <v>6.4909999999999997</v>
      </c>
      <c r="G10">
        <v>6.4909999999999997</v>
      </c>
      <c r="H10">
        <v>6.4909999999999997</v>
      </c>
      <c r="I10">
        <v>6.9820000000000002</v>
      </c>
      <c r="J10">
        <v>6.9820000000000002</v>
      </c>
      <c r="K10">
        <v>6.9820000000000002</v>
      </c>
      <c r="L10">
        <v>6.9820000000000002</v>
      </c>
      <c r="M10">
        <v>6.9820000000000002</v>
      </c>
      <c r="N10">
        <v>7.8422999999999998</v>
      </c>
      <c r="O10">
        <v>7.8422999999999998</v>
      </c>
      <c r="P10">
        <v>7.8422999999999998</v>
      </c>
      <c r="Q10">
        <v>7.2257999999999996</v>
      </c>
      <c r="R10">
        <v>257.54169999999999</v>
      </c>
      <c r="S10">
        <v>15.0351</v>
      </c>
      <c r="T10">
        <v>15.0351</v>
      </c>
      <c r="U10">
        <v>15.0351</v>
      </c>
      <c r="V10">
        <v>15.0351</v>
      </c>
      <c r="W10">
        <v>15.0351</v>
      </c>
      <c r="X10">
        <v>16.927</v>
      </c>
      <c r="Y10">
        <v>16.927</v>
      </c>
      <c r="Z10">
        <v>16.927</v>
      </c>
      <c r="AA10">
        <v>16.927</v>
      </c>
      <c r="AB10">
        <v>16.927</v>
      </c>
      <c r="AC10">
        <v>19.181899999999999</v>
      </c>
      <c r="AD10">
        <v>19.181899999999999</v>
      </c>
      <c r="AE10">
        <v>19.181799999999999</v>
      </c>
      <c r="AF10">
        <v>18.565300000000001</v>
      </c>
      <c r="AG10">
        <v>268.88119999999998</v>
      </c>
      <c r="AH10">
        <v>27.502300000000002</v>
      </c>
      <c r="AI10">
        <v>27.502300000000002</v>
      </c>
      <c r="AJ10">
        <v>27.502300000000002</v>
      </c>
      <c r="AK10">
        <v>1193.3289000000009</v>
      </c>
    </row>
    <row r="11" spans="1:37">
      <c r="A11" t="s">
        <v>19</v>
      </c>
      <c r="B11" s="29" t="s">
        <v>97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  <c r="K11">
        <v>999999</v>
      </c>
      <c r="L11">
        <v>999999</v>
      </c>
      <c r="M11">
        <v>999999</v>
      </c>
      <c r="N11">
        <v>999999</v>
      </c>
      <c r="O11">
        <v>999999</v>
      </c>
      <c r="P11">
        <v>999999</v>
      </c>
      <c r="Q11">
        <v>999999</v>
      </c>
      <c r="R11">
        <v>999999</v>
      </c>
      <c r="S11">
        <v>999999</v>
      </c>
      <c r="T11">
        <v>999999</v>
      </c>
      <c r="U11">
        <v>999999</v>
      </c>
      <c r="V11">
        <v>999999</v>
      </c>
      <c r="W11">
        <v>999999</v>
      </c>
      <c r="X11">
        <v>999999</v>
      </c>
      <c r="Y11">
        <v>999999</v>
      </c>
      <c r="Z11">
        <v>999999</v>
      </c>
      <c r="AA11">
        <v>999999</v>
      </c>
      <c r="AB11">
        <v>999999</v>
      </c>
      <c r="AC11">
        <v>999999</v>
      </c>
      <c r="AD11">
        <v>999999</v>
      </c>
      <c r="AE11">
        <v>999999</v>
      </c>
      <c r="AF11">
        <v>999999</v>
      </c>
      <c r="AG11">
        <v>999999</v>
      </c>
      <c r="AH11">
        <v>999999</v>
      </c>
      <c r="AI11">
        <v>999999</v>
      </c>
      <c r="AJ11">
        <v>999999</v>
      </c>
      <c r="AK11">
        <v>33999966</v>
      </c>
    </row>
    <row r="12" spans="1:37">
      <c r="A12" t="s">
        <v>19</v>
      </c>
      <c r="B12" s="29" t="s">
        <v>98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  <c r="K12">
        <v>999999</v>
      </c>
      <c r="L12">
        <v>999999</v>
      </c>
      <c r="M12">
        <v>999999</v>
      </c>
      <c r="N12">
        <v>999999</v>
      </c>
      <c r="O12">
        <v>999999</v>
      </c>
      <c r="P12">
        <v>999999</v>
      </c>
      <c r="Q12">
        <v>999999</v>
      </c>
      <c r="R12">
        <v>999999</v>
      </c>
      <c r="S12">
        <v>999999</v>
      </c>
      <c r="T12">
        <v>999999</v>
      </c>
      <c r="U12">
        <v>999999</v>
      </c>
      <c r="V12">
        <v>999999</v>
      </c>
      <c r="W12">
        <v>999999</v>
      </c>
      <c r="X12">
        <v>999999</v>
      </c>
      <c r="Y12">
        <v>999999</v>
      </c>
      <c r="Z12">
        <v>999999</v>
      </c>
      <c r="AA12">
        <v>999999</v>
      </c>
      <c r="AB12">
        <v>999999</v>
      </c>
      <c r="AC12">
        <v>999999</v>
      </c>
      <c r="AD12">
        <v>999999</v>
      </c>
      <c r="AE12">
        <v>999999</v>
      </c>
      <c r="AF12">
        <v>999999</v>
      </c>
      <c r="AG12">
        <v>999999</v>
      </c>
      <c r="AH12">
        <v>999999</v>
      </c>
      <c r="AI12">
        <v>999999</v>
      </c>
      <c r="AJ12">
        <v>999999</v>
      </c>
      <c r="AK12">
        <v>33999966</v>
      </c>
    </row>
    <row r="13" spans="1:37">
      <c r="A13" t="s">
        <v>19</v>
      </c>
      <c r="B13" s="29" t="s">
        <v>99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  <c r="K13">
        <v>999999</v>
      </c>
      <c r="L13">
        <v>999999</v>
      </c>
      <c r="M13">
        <v>999999</v>
      </c>
      <c r="N13">
        <v>999999</v>
      </c>
      <c r="O13">
        <v>999999</v>
      </c>
      <c r="P13">
        <v>999999</v>
      </c>
      <c r="Q13">
        <v>999999</v>
      </c>
      <c r="R13">
        <v>999999</v>
      </c>
      <c r="S13">
        <v>999999</v>
      </c>
      <c r="T13">
        <v>999999</v>
      </c>
      <c r="U13">
        <v>999999</v>
      </c>
      <c r="V13">
        <v>999999</v>
      </c>
      <c r="W13">
        <v>999999</v>
      </c>
      <c r="X13">
        <v>999999</v>
      </c>
      <c r="Y13">
        <v>999999</v>
      </c>
      <c r="Z13">
        <v>999999</v>
      </c>
      <c r="AA13">
        <v>999999</v>
      </c>
      <c r="AB13">
        <v>999999</v>
      </c>
      <c r="AC13">
        <v>999999</v>
      </c>
      <c r="AD13">
        <v>999999</v>
      </c>
      <c r="AE13">
        <v>999999</v>
      </c>
      <c r="AF13">
        <v>999999</v>
      </c>
      <c r="AG13">
        <v>999999</v>
      </c>
      <c r="AH13">
        <v>999999</v>
      </c>
      <c r="AI13">
        <v>999999</v>
      </c>
      <c r="AJ13">
        <v>999999</v>
      </c>
      <c r="AK13">
        <v>33999966</v>
      </c>
    </row>
    <row r="14" spans="1:37">
      <c r="A14" t="s">
        <v>19</v>
      </c>
      <c r="B14" s="29" t="s">
        <v>100</v>
      </c>
      <c r="C14">
        <v>999999</v>
      </c>
      <c r="D14">
        <v>999999</v>
      </c>
      <c r="E14">
        <v>999999</v>
      </c>
      <c r="F14">
        <v>999999</v>
      </c>
      <c r="G14">
        <v>999999</v>
      </c>
      <c r="H14">
        <v>999999</v>
      </c>
      <c r="I14">
        <v>999999</v>
      </c>
      <c r="J14">
        <v>999999</v>
      </c>
      <c r="K14">
        <v>999999</v>
      </c>
      <c r="L14">
        <v>999999</v>
      </c>
      <c r="M14">
        <v>999999</v>
      </c>
      <c r="N14">
        <v>999999</v>
      </c>
      <c r="O14">
        <v>999999</v>
      </c>
      <c r="P14">
        <v>999999</v>
      </c>
      <c r="Q14">
        <v>999999</v>
      </c>
      <c r="R14">
        <v>999999</v>
      </c>
      <c r="S14">
        <v>999999</v>
      </c>
      <c r="T14">
        <v>999999</v>
      </c>
      <c r="U14">
        <v>999999</v>
      </c>
      <c r="V14">
        <v>999999</v>
      </c>
      <c r="W14">
        <v>999999</v>
      </c>
      <c r="X14">
        <v>999999</v>
      </c>
      <c r="Y14">
        <v>999999</v>
      </c>
      <c r="Z14">
        <v>999999</v>
      </c>
      <c r="AA14">
        <v>999999</v>
      </c>
      <c r="AB14">
        <v>999999</v>
      </c>
      <c r="AC14">
        <v>999999</v>
      </c>
      <c r="AD14">
        <v>999999</v>
      </c>
      <c r="AE14">
        <v>999999</v>
      </c>
      <c r="AF14">
        <v>999999</v>
      </c>
      <c r="AG14">
        <v>999999</v>
      </c>
      <c r="AH14">
        <v>999999</v>
      </c>
      <c r="AI14">
        <v>999999</v>
      </c>
      <c r="AJ14">
        <v>999999</v>
      </c>
      <c r="AK14">
        <v>33999966</v>
      </c>
    </row>
    <row r="15" spans="1:37">
      <c r="A15" t="s">
        <v>19</v>
      </c>
      <c r="B15" s="29" t="s">
        <v>101</v>
      </c>
      <c r="C15">
        <v>999999</v>
      </c>
      <c r="D15">
        <v>999999</v>
      </c>
      <c r="E15">
        <v>999999</v>
      </c>
      <c r="F15">
        <v>999999</v>
      </c>
      <c r="G15">
        <v>999999</v>
      </c>
      <c r="H15">
        <v>999999</v>
      </c>
      <c r="I15">
        <v>999999</v>
      </c>
      <c r="J15">
        <v>999999</v>
      </c>
      <c r="K15">
        <v>999999</v>
      </c>
      <c r="L15">
        <v>999999</v>
      </c>
      <c r="M15">
        <v>999999</v>
      </c>
      <c r="N15">
        <v>999999</v>
      </c>
      <c r="O15">
        <v>999999</v>
      </c>
      <c r="P15">
        <v>999999</v>
      </c>
      <c r="Q15">
        <v>999999</v>
      </c>
      <c r="R15">
        <v>999999</v>
      </c>
      <c r="S15">
        <v>999999</v>
      </c>
      <c r="T15">
        <v>999999</v>
      </c>
      <c r="U15">
        <v>999999</v>
      </c>
      <c r="V15">
        <v>999999</v>
      </c>
      <c r="W15">
        <v>999999</v>
      </c>
      <c r="X15">
        <v>999999</v>
      </c>
      <c r="Y15">
        <v>999999</v>
      </c>
      <c r="Z15">
        <v>999999</v>
      </c>
      <c r="AA15">
        <v>999999</v>
      </c>
      <c r="AB15">
        <v>999999</v>
      </c>
      <c r="AC15">
        <v>999999</v>
      </c>
      <c r="AD15">
        <v>999999</v>
      </c>
      <c r="AE15">
        <v>999999</v>
      </c>
      <c r="AF15">
        <v>999999</v>
      </c>
      <c r="AG15">
        <v>999999</v>
      </c>
      <c r="AH15">
        <v>999999</v>
      </c>
      <c r="AI15">
        <v>999999</v>
      </c>
      <c r="AJ15">
        <v>999999</v>
      </c>
      <c r="AK15">
        <v>33999966</v>
      </c>
    </row>
    <row r="16" spans="1:37">
      <c r="A16" t="s">
        <v>19</v>
      </c>
      <c r="B16" s="29" t="s">
        <v>102</v>
      </c>
      <c r="C16">
        <v>227.0558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227.0558</v>
      </c>
    </row>
    <row r="17" spans="1:37">
      <c r="A17" t="s">
        <v>19</v>
      </c>
      <c r="B17" s="29" t="s">
        <v>103</v>
      </c>
      <c r="C17">
        <v>0</v>
      </c>
      <c r="D17">
        <v>240.41419999999999</v>
      </c>
      <c r="E17">
        <v>3.6951999999999998</v>
      </c>
      <c r="F17">
        <v>3.6941999999999999</v>
      </c>
      <c r="G17">
        <v>3.8075000000000001</v>
      </c>
      <c r="H17">
        <v>6.8913000000000002</v>
      </c>
      <c r="I17">
        <v>3.5009999999999999</v>
      </c>
      <c r="J17">
        <v>3.4901</v>
      </c>
      <c r="K17">
        <v>3.452</v>
      </c>
      <c r="L17">
        <v>3.5346000000000002</v>
      </c>
      <c r="M17">
        <v>3.5005000000000002</v>
      </c>
      <c r="N17">
        <v>3.2258</v>
      </c>
      <c r="O17">
        <v>2.4276</v>
      </c>
      <c r="P17">
        <v>3.2324999999999999</v>
      </c>
      <c r="Q17">
        <v>3.1629999999999998</v>
      </c>
      <c r="R17">
        <v>11.9435</v>
      </c>
      <c r="S17">
        <v>243.2722</v>
      </c>
      <c r="T17">
        <v>6.5532000000000004</v>
      </c>
      <c r="U17">
        <v>6.5532000000000004</v>
      </c>
      <c r="V17">
        <v>6.6654999999999998</v>
      </c>
      <c r="W17">
        <v>9.7502999999999993</v>
      </c>
      <c r="X17">
        <v>6.04</v>
      </c>
      <c r="Y17">
        <v>6.0290999999999997</v>
      </c>
      <c r="Z17">
        <v>5.9909999999999997</v>
      </c>
      <c r="AA17">
        <v>6.0735999999999999</v>
      </c>
      <c r="AB17">
        <v>6.0404999999999998</v>
      </c>
      <c r="AC17">
        <v>5.4227999999999996</v>
      </c>
      <c r="AD17">
        <v>4.6246</v>
      </c>
      <c r="AE17">
        <v>5.4295</v>
      </c>
      <c r="AF17">
        <v>5.3609999999999998</v>
      </c>
      <c r="AG17">
        <v>14.140499999999999</v>
      </c>
      <c r="AH17">
        <v>245.16820000000001</v>
      </c>
      <c r="AI17">
        <v>8.4481999999999999</v>
      </c>
      <c r="AJ17">
        <v>8.4491999999999994</v>
      </c>
      <c r="AK17">
        <v>899.98559999999975</v>
      </c>
    </row>
    <row r="18" spans="1:37">
      <c r="A18" t="s">
        <v>19</v>
      </c>
      <c r="B18" s="29" t="s">
        <v>104</v>
      </c>
      <c r="C18">
        <v>11.1137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11.1137</v>
      </c>
    </row>
    <row r="19" spans="1:37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19</v>
      </c>
      <c r="B21" s="29" t="s">
        <v>107</v>
      </c>
      <c r="C21">
        <v>999999</v>
      </c>
      <c r="D21">
        <v>999999</v>
      </c>
      <c r="E21">
        <v>999999</v>
      </c>
      <c r="F21">
        <v>999999</v>
      </c>
      <c r="G21">
        <v>999999</v>
      </c>
      <c r="H21">
        <v>999999</v>
      </c>
      <c r="I21">
        <v>999999</v>
      </c>
      <c r="J21">
        <v>999999</v>
      </c>
      <c r="K21">
        <v>999999</v>
      </c>
      <c r="L21">
        <v>999999</v>
      </c>
      <c r="M21">
        <v>999999</v>
      </c>
      <c r="N21">
        <v>999999</v>
      </c>
      <c r="O21">
        <v>999999</v>
      </c>
      <c r="P21">
        <v>999999</v>
      </c>
      <c r="Q21">
        <v>999999</v>
      </c>
      <c r="R21">
        <v>999999</v>
      </c>
      <c r="S21">
        <v>999999</v>
      </c>
      <c r="T21">
        <v>999999</v>
      </c>
      <c r="U21">
        <v>999999</v>
      </c>
      <c r="V21">
        <v>999999</v>
      </c>
      <c r="W21">
        <v>999999</v>
      </c>
      <c r="X21">
        <v>999999</v>
      </c>
      <c r="Y21">
        <v>999999</v>
      </c>
      <c r="Z21">
        <v>999999</v>
      </c>
      <c r="AA21">
        <v>999999</v>
      </c>
      <c r="AB21">
        <v>999999</v>
      </c>
      <c r="AC21">
        <v>999999</v>
      </c>
      <c r="AD21">
        <v>999999</v>
      </c>
      <c r="AE21">
        <v>999999</v>
      </c>
      <c r="AF21">
        <v>999999</v>
      </c>
      <c r="AG21">
        <v>999999</v>
      </c>
      <c r="AH21">
        <v>999999</v>
      </c>
      <c r="AI21">
        <v>999999</v>
      </c>
      <c r="AJ21">
        <v>999999</v>
      </c>
      <c r="AK21">
        <v>33999966</v>
      </c>
    </row>
    <row r="22" spans="1:37">
      <c r="A22" t="s">
        <v>19</v>
      </c>
      <c r="B22" s="29" t="s">
        <v>108</v>
      </c>
      <c r="C22">
        <v>0.45779999999999998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0.45779999999999998</v>
      </c>
    </row>
    <row r="23" spans="1:37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19</v>
      </c>
      <c r="B24" s="29" t="s">
        <v>110</v>
      </c>
      <c r="C24">
        <v>1.1207</v>
      </c>
      <c r="D24">
        <v>2.1983999999999999</v>
      </c>
      <c r="E24">
        <v>7.6100000000000001E-2</v>
      </c>
      <c r="F24">
        <v>7.6100000000000001E-2</v>
      </c>
      <c r="G24">
        <v>7.6100000000000001E-2</v>
      </c>
      <c r="H24">
        <v>7.6100000000000001E-2</v>
      </c>
      <c r="I24">
        <v>8.2299999999999998E-2</v>
      </c>
      <c r="J24">
        <v>8.2299999999999998E-2</v>
      </c>
      <c r="K24">
        <v>8.2299999999999998E-2</v>
      </c>
      <c r="L24">
        <v>8.2299999999999998E-2</v>
      </c>
      <c r="M24">
        <v>8.2299999999999998E-2</v>
      </c>
      <c r="N24">
        <v>9.3200000000000005E-2</v>
      </c>
      <c r="O24">
        <v>9.3200000000000005E-2</v>
      </c>
      <c r="P24">
        <v>9.3200000000000005E-2</v>
      </c>
      <c r="Q24">
        <v>9.3200000000000005E-2</v>
      </c>
      <c r="R24">
        <v>9.3200000000000005E-2</v>
      </c>
      <c r="S24">
        <v>0.1106</v>
      </c>
      <c r="T24">
        <v>0.1106</v>
      </c>
      <c r="U24">
        <v>0.1106</v>
      </c>
      <c r="V24">
        <v>0.1106</v>
      </c>
      <c r="W24">
        <v>0.1106</v>
      </c>
      <c r="X24">
        <v>0.1283</v>
      </c>
      <c r="Y24">
        <v>0.1283</v>
      </c>
      <c r="Z24">
        <v>0.12839999999999999</v>
      </c>
      <c r="AA24">
        <v>0.1263</v>
      </c>
      <c r="AB24">
        <v>1.2470000000000001</v>
      </c>
      <c r="AC24">
        <v>2.3424999999999998</v>
      </c>
      <c r="AD24">
        <v>0.22009999999999999</v>
      </c>
      <c r="AE24">
        <v>0.22009999999999999</v>
      </c>
      <c r="AF24">
        <v>0.22009999999999999</v>
      </c>
      <c r="AG24">
        <v>0.22009999999999999</v>
      </c>
      <c r="AH24">
        <v>0.2407</v>
      </c>
      <c r="AI24">
        <v>0.2407</v>
      </c>
      <c r="AJ24">
        <v>0.2407</v>
      </c>
      <c r="AK24">
        <v>10.757300000000003</v>
      </c>
    </row>
    <row r="25" spans="1:37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>
      <c r="A27" t="s">
        <v>19</v>
      </c>
      <c r="B27" s="29" t="s">
        <v>113</v>
      </c>
      <c r="C27">
        <v>2.3699999999999999E-2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2.3699999999999999E-2</v>
      </c>
    </row>
    <row r="28" spans="1:37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19</v>
      </c>
      <c r="B29" s="29" t="s">
        <v>115</v>
      </c>
      <c r="C29">
        <v>1.5373000000000001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1.5373000000000001</v>
      </c>
    </row>
    <row r="30" spans="1:37">
      <c r="A30" t="s">
        <v>19</v>
      </c>
      <c r="B30" s="29" t="s">
        <v>116</v>
      </c>
      <c r="C30">
        <v>0.45779999999999998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0.45779999999999998</v>
      </c>
    </row>
    <row r="31" spans="1:37">
      <c r="A31" t="s">
        <v>19</v>
      </c>
      <c r="B31" s="29" t="s">
        <v>117</v>
      </c>
      <c r="C31">
        <v>1.1207</v>
      </c>
      <c r="D31">
        <v>2.1762999999999999</v>
      </c>
      <c r="E31">
        <v>7.6100000000000001E-2</v>
      </c>
      <c r="F31">
        <v>7.6100000000000001E-2</v>
      </c>
      <c r="G31">
        <v>7.6100000000000001E-2</v>
      </c>
      <c r="H31">
        <v>7.6100000000000001E-2</v>
      </c>
      <c r="I31">
        <v>8.2299999999999998E-2</v>
      </c>
      <c r="J31">
        <v>8.2299999999999998E-2</v>
      </c>
      <c r="K31">
        <v>8.2299999999999998E-2</v>
      </c>
      <c r="L31">
        <v>8.2299999999999998E-2</v>
      </c>
      <c r="M31">
        <v>8.2299999999999998E-2</v>
      </c>
      <c r="N31">
        <v>9.3200000000000005E-2</v>
      </c>
      <c r="O31">
        <v>9.3200000000000005E-2</v>
      </c>
      <c r="P31">
        <v>9.3200000000000005E-2</v>
      </c>
      <c r="Q31">
        <v>9.3200000000000005E-2</v>
      </c>
      <c r="R31">
        <v>9.3200000000000005E-2</v>
      </c>
      <c r="S31">
        <v>0.1106</v>
      </c>
      <c r="T31">
        <v>0.1106</v>
      </c>
      <c r="U31">
        <v>0.1106</v>
      </c>
      <c r="V31">
        <v>0.1106</v>
      </c>
      <c r="W31">
        <v>0.1106</v>
      </c>
      <c r="X31">
        <v>0.1283</v>
      </c>
      <c r="Y31">
        <v>0.1283</v>
      </c>
      <c r="Z31">
        <v>0.12839999999999999</v>
      </c>
      <c r="AA31">
        <v>0.1263</v>
      </c>
      <c r="AB31">
        <v>1.2690999999999999</v>
      </c>
      <c r="AC31">
        <v>2.3203999999999998</v>
      </c>
      <c r="AD31">
        <v>0.22009999999999999</v>
      </c>
      <c r="AE31">
        <v>0.22009999999999999</v>
      </c>
      <c r="AF31">
        <v>0.22009999999999999</v>
      </c>
      <c r="AG31">
        <v>0.22009999999999999</v>
      </c>
      <c r="AH31">
        <v>0.2407</v>
      </c>
      <c r="AI31">
        <v>0.2407</v>
      </c>
      <c r="AJ31">
        <v>0.2407</v>
      </c>
      <c r="AK31">
        <v>10.735200000000003</v>
      </c>
    </row>
    <row r="32" spans="1:37">
      <c r="A32" t="s">
        <v>19</v>
      </c>
      <c r="B32" s="29" t="s">
        <v>118</v>
      </c>
      <c r="C32">
        <v>0</v>
      </c>
      <c r="D32">
        <v>2.2100000000000002E-2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2.2100000000000002E-2</v>
      </c>
    </row>
    <row r="33" spans="1:37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>
      <c r="A34" t="s">
        <v>19</v>
      </c>
      <c r="B34" s="29" t="s">
        <v>120</v>
      </c>
      <c r="C34">
        <v>2.1700000000000001E-2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2.1700000000000001E-2</v>
      </c>
    </row>
    <row r="35" spans="1:37">
      <c r="A35" t="s">
        <v>19</v>
      </c>
      <c r="B35" s="29" t="s">
        <v>121</v>
      </c>
      <c r="C35">
        <v>1.5381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1.5381</v>
      </c>
    </row>
    <row r="36" spans="1:37">
      <c r="A36" t="s">
        <v>19</v>
      </c>
      <c r="B36" s="29" t="s">
        <v>122</v>
      </c>
      <c r="C36">
        <v>207.48920000000001</v>
      </c>
      <c r="D36">
        <v>4.6710000000000003</v>
      </c>
      <c r="E36">
        <v>9.3419000000000008</v>
      </c>
      <c r="F36">
        <v>0</v>
      </c>
      <c r="G36">
        <v>24.534800000000001</v>
      </c>
      <c r="H36">
        <v>0</v>
      </c>
      <c r="I36">
        <v>0</v>
      </c>
      <c r="J36">
        <v>0</v>
      </c>
      <c r="K36">
        <v>0</v>
      </c>
      <c r="L36">
        <v>15.882199999999999</v>
      </c>
      <c r="M36">
        <v>0</v>
      </c>
      <c r="N36">
        <v>0</v>
      </c>
      <c r="O36">
        <v>57.239199999999997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361.26060000000001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680.41890000000001</v>
      </c>
    </row>
    <row r="37" spans="1:37">
      <c r="A37" t="s">
        <v>19</v>
      </c>
      <c r="B37" s="29" t="s">
        <v>123</v>
      </c>
      <c r="C37">
        <v>999999</v>
      </c>
      <c r="D37">
        <v>999999</v>
      </c>
      <c r="E37">
        <v>999999</v>
      </c>
      <c r="F37">
        <v>999999</v>
      </c>
      <c r="G37">
        <v>999999</v>
      </c>
      <c r="H37">
        <v>999999</v>
      </c>
      <c r="I37">
        <v>999999</v>
      </c>
      <c r="J37">
        <v>999999</v>
      </c>
      <c r="K37">
        <v>999999</v>
      </c>
      <c r="L37">
        <v>999999</v>
      </c>
      <c r="M37">
        <v>999999</v>
      </c>
      <c r="N37">
        <v>999999</v>
      </c>
      <c r="O37">
        <v>999999</v>
      </c>
      <c r="P37">
        <v>999999</v>
      </c>
      <c r="Q37">
        <v>999999</v>
      </c>
      <c r="R37">
        <v>999999</v>
      </c>
      <c r="S37">
        <v>999999</v>
      </c>
      <c r="T37">
        <v>999999</v>
      </c>
      <c r="U37">
        <v>999999</v>
      </c>
      <c r="V37">
        <v>999999</v>
      </c>
      <c r="W37">
        <v>999999</v>
      </c>
      <c r="X37">
        <v>999999</v>
      </c>
      <c r="Y37">
        <v>999999</v>
      </c>
      <c r="Z37">
        <v>999999</v>
      </c>
      <c r="AA37">
        <v>999999</v>
      </c>
      <c r="AB37">
        <v>999999</v>
      </c>
      <c r="AC37">
        <v>999999</v>
      </c>
      <c r="AD37">
        <v>999999</v>
      </c>
      <c r="AE37">
        <v>999999</v>
      </c>
      <c r="AF37">
        <v>999999</v>
      </c>
      <c r="AG37">
        <v>999999</v>
      </c>
      <c r="AH37">
        <v>999999</v>
      </c>
      <c r="AI37">
        <v>999999</v>
      </c>
      <c r="AJ37">
        <v>999999</v>
      </c>
      <c r="AK37">
        <v>33999966</v>
      </c>
    </row>
    <row r="38" spans="1:37">
      <c r="A38" t="s">
        <v>19</v>
      </c>
      <c r="B38" s="29" t="s">
        <v>124</v>
      </c>
      <c r="C38">
        <v>999999</v>
      </c>
      <c r="D38">
        <v>999999</v>
      </c>
      <c r="E38">
        <v>999999</v>
      </c>
      <c r="F38">
        <v>999999</v>
      </c>
      <c r="G38">
        <v>999999</v>
      </c>
      <c r="H38">
        <v>999999</v>
      </c>
      <c r="I38">
        <v>999999</v>
      </c>
      <c r="J38">
        <v>999999</v>
      </c>
      <c r="K38">
        <v>999999</v>
      </c>
      <c r="L38">
        <v>999999</v>
      </c>
      <c r="M38">
        <v>999999</v>
      </c>
      <c r="N38">
        <v>999999</v>
      </c>
      <c r="O38">
        <v>999999</v>
      </c>
      <c r="P38">
        <v>999999</v>
      </c>
      <c r="Q38">
        <v>999999</v>
      </c>
      <c r="R38">
        <v>999999</v>
      </c>
      <c r="S38">
        <v>999999</v>
      </c>
      <c r="T38">
        <v>999999</v>
      </c>
      <c r="U38">
        <v>999999</v>
      </c>
      <c r="V38">
        <v>999999</v>
      </c>
      <c r="W38">
        <v>999999</v>
      </c>
      <c r="X38">
        <v>999999</v>
      </c>
      <c r="Y38">
        <v>999999</v>
      </c>
      <c r="Z38">
        <v>999999</v>
      </c>
      <c r="AA38">
        <v>999999</v>
      </c>
      <c r="AB38">
        <v>999999</v>
      </c>
      <c r="AC38">
        <v>999999</v>
      </c>
      <c r="AD38">
        <v>999999</v>
      </c>
      <c r="AE38">
        <v>999999</v>
      </c>
      <c r="AF38">
        <v>999999</v>
      </c>
      <c r="AG38">
        <v>999999</v>
      </c>
      <c r="AH38">
        <v>999999</v>
      </c>
      <c r="AI38">
        <v>999999</v>
      </c>
      <c r="AJ38">
        <v>999999</v>
      </c>
      <c r="AK38">
        <v>33999966</v>
      </c>
    </row>
    <row r="39" spans="1:37">
      <c r="A39" t="s">
        <v>19</v>
      </c>
      <c r="B39" s="29" t="s">
        <v>125</v>
      </c>
      <c r="C39">
        <v>999999</v>
      </c>
      <c r="D39">
        <v>999999</v>
      </c>
      <c r="E39">
        <v>999999</v>
      </c>
      <c r="F39">
        <v>999999</v>
      </c>
      <c r="G39">
        <v>999999</v>
      </c>
      <c r="H39">
        <v>999999</v>
      </c>
      <c r="I39">
        <v>999999</v>
      </c>
      <c r="J39">
        <v>999999</v>
      </c>
      <c r="K39">
        <v>999999</v>
      </c>
      <c r="L39">
        <v>999999</v>
      </c>
      <c r="M39">
        <v>999999</v>
      </c>
      <c r="N39">
        <v>999999</v>
      </c>
      <c r="O39">
        <v>999999</v>
      </c>
      <c r="P39">
        <v>999999</v>
      </c>
      <c r="Q39">
        <v>999999</v>
      </c>
      <c r="R39">
        <v>999999</v>
      </c>
      <c r="S39">
        <v>999999</v>
      </c>
      <c r="T39">
        <v>999999</v>
      </c>
      <c r="U39">
        <v>999999</v>
      </c>
      <c r="V39">
        <v>999999</v>
      </c>
      <c r="W39">
        <v>999999</v>
      </c>
      <c r="X39">
        <v>999999</v>
      </c>
      <c r="Y39">
        <v>999999</v>
      </c>
      <c r="Z39">
        <v>999999</v>
      </c>
      <c r="AA39">
        <v>999999</v>
      </c>
      <c r="AB39">
        <v>999999</v>
      </c>
      <c r="AC39">
        <v>999999</v>
      </c>
      <c r="AD39">
        <v>999999</v>
      </c>
      <c r="AE39">
        <v>999999</v>
      </c>
      <c r="AF39">
        <v>999999</v>
      </c>
      <c r="AG39">
        <v>999999</v>
      </c>
      <c r="AH39">
        <v>999999</v>
      </c>
      <c r="AI39">
        <v>999999</v>
      </c>
      <c r="AJ39">
        <v>999999</v>
      </c>
      <c r="AK39">
        <v>33999966</v>
      </c>
    </row>
    <row r="40" spans="1:37">
      <c r="A40" t="s">
        <v>19</v>
      </c>
      <c r="B40" s="29" t="s">
        <v>126</v>
      </c>
      <c r="C40">
        <v>999999</v>
      </c>
      <c r="D40">
        <v>999999</v>
      </c>
      <c r="E40">
        <v>999999</v>
      </c>
      <c r="F40">
        <v>999999</v>
      </c>
      <c r="G40">
        <v>999999</v>
      </c>
      <c r="H40">
        <v>999999</v>
      </c>
      <c r="I40">
        <v>999999</v>
      </c>
      <c r="J40">
        <v>999999</v>
      </c>
      <c r="K40">
        <v>999999</v>
      </c>
      <c r="L40">
        <v>999999</v>
      </c>
      <c r="M40">
        <v>999999</v>
      </c>
      <c r="N40">
        <v>999999</v>
      </c>
      <c r="O40">
        <v>999999</v>
      </c>
      <c r="P40">
        <v>999999</v>
      </c>
      <c r="Q40">
        <v>999999</v>
      </c>
      <c r="R40">
        <v>999999</v>
      </c>
      <c r="S40">
        <v>999999</v>
      </c>
      <c r="T40">
        <v>999999</v>
      </c>
      <c r="U40">
        <v>999999</v>
      </c>
      <c r="V40">
        <v>999999</v>
      </c>
      <c r="W40">
        <v>999999</v>
      </c>
      <c r="X40">
        <v>999999</v>
      </c>
      <c r="Y40">
        <v>999999</v>
      </c>
      <c r="Z40">
        <v>999999</v>
      </c>
      <c r="AA40">
        <v>999999</v>
      </c>
      <c r="AB40">
        <v>999999</v>
      </c>
      <c r="AC40">
        <v>999999</v>
      </c>
      <c r="AD40">
        <v>999999</v>
      </c>
      <c r="AE40">
        <v>999999</v>
      </c>
      <c r="AF40">
        <v>999999</v>
      </c>
      <c r="AG40">
        <v>999999</v>
      </c>
      <c r="AH40">
        <v>999999</v>
      </c>
      <c r="AI40">
        <v>999999</v>
      </c>
      <c r="AJ40">
        <v>999999</v>
      </c>
      <c r="AK40">
        <v>33999966</v>
      </c>
    </row>
    <row r="41" spans="1:37">
      <c r="A41" t="s">
        <v>19</v>
      </c>
      <c r="B41" s="29" t="s">
        <v>127</v>
      </c>
      <c r="C41">
        <v>999999</v>
      </c>
      <c r="D41">
        <v>999999</v>
      </c>
      <c r="E41">
        <v>999999</v>
      </c>
      <c r="F41">
        <v>999999</v>
      </c>
      <c r="G41">
        <v>999999</v>
      </c>
      <c r="H41">
        <v>999999</v>
      </c>
      <c r="I41">
        <v>999999</v>
      </c>
      <c r="J41">
        <v>999999</v>
      </c>
      <c r="K41">
        <v>999999</v>
      </c>
      <c r="L41">
        <v>999999</v>
      </c>
      <c r="M41">
        <v>999999</v>
      </c>
      <c r="N41">
        <v>999999</v>
      </c>
      <c r="O41">
        <v>999999</v>
      </c>
      <c r="P41">
        <v>999999</v>
      </c>
      <c r="Q41">
        <v>999999</v>
      </c>
      <c r="R41">
        <v>999999</v>
      </c>
      <c r="S41">
        <v>999999</v>
      </c>
      <c r="T41">
        <v>999999</v>
      </c>
      <c r="U41">
        <v>999999</v>
      </c>
      <c r="V41">
        <v>999999</v>
      </c>
      <c r="W41">
        <v>999999</v>
      </c>
      <c r="X41">
        <v>999999</v>
      </c>
      <c r="Y41">
        <v>999999</v>
      </c>
      <c r="Z41">
        <v>999999</v>
      </c>
      <c r="AA41">
        <v>999999</v>
      </c>
      <c r="AB41">
        <v>999999</v>
      </c>
      <c r="AC41">
        <v>999999</v>
      </c>
      <c r="AD41">
        <v>999999</v>
      </c>
      <c r="AE41">
        <v>999999</v>
      </c>
      <c r="AF41">
        <v>999999</v>
      </c>
      <c r="AG41">
        <v>999999</v>
      </c>
      <c r="AH41">
        <v>999999</v>
      </c>
      <c r="AI41">
        <v>999999</v>
      </c>
      <c r="AJ41">
        <v>999999</v>
      </c>
      <c r="AK41">
        <v>33999966</v>
      </c>
    </row>
    <row r="42" spans="1:37">
      <c r="A42" t="s">
        <v>19</v>
      </c>
      <c r="B42" s="29" t="s">
        <v>128</v>
      </c>
      <c r="C42">
        <v>999999</v>
      </c>
      <c r="D42">
        <v>999999</v>
      </c>
      <c r="E42">
        <v>999999</v>
      </c>
      <c r="F42">
        <v>999999</v>
      </c>
      <c r="G42">
        <v>999999</v>
      </c>
      <c r="H42">
        <v>999999</v>
      </c>
      <c r="I42">
        <v>999999</v>
      </c>
      <c r="J42">
        <v>999999</v>
      </c>
      <c r="K42">
        <v>999999</v>
      </c>
      <c r="L42">
        <v>999999</v>
      </c>
      <c r="M42">
        <v>999999</v>
      </c>
      <c r="N42">
        <v>999999</v>
      </c>
      <c r="O42">
        <v>999999</v>
      </c>
      <c r="P42">
        <v>999999</v>
      </c>
      <c r="Q42">
        <v>999999</v>
      </c>
      <c r="R42">
        <v>999999</v>
      </c>
      <c r="S42">
        <v>999999</v>
      </c>
      <c r="T42">
        <v>999999</v>
      </c>
      <c r="U42">
        <v>999999</v>
      </c>
      <c r="V42">
        <v>999999</v>
      </c>
      <c r="W42">
        <v>999999</v>
      </c>
      <c r="X42">
        <v>999999</v>
      </c>
      <c r="Y42">
        <v>999999</v>
      </c>
      <c r="Z42">
        <v>999999</v>
      </c>
      <c r="AA42">
        <v>999999</v>
      </c>
      <c r="AB42">
        <v>999999</v>
      </c>
      <c r="AC42">
        <v>999999</v>
      </c>
      <c r="AD42">
        <v>999999</v>
      </c>
      <c r="AE42">
        <v>999999</v>
      </c>
      <c r="AF42">
        <v>999999</v>
      </c>
      <c r="AG42">
        <v>999999</v>
      </c>
      <c r="AH42">
        <v>999999</v>
      </c>
      <c r="AI42">
        <v>999999</v>
      </c>
      <c r="AJ42">
        <v>999999</v>
      </c>
      <c r="AK42">
        <v>33999966</v>
      </c>
    </row>
    <row r="43" spans="1:37">
      <c r="A43" t="s">
        <v>19</v>
      </c>
      <c r="B43" s="29" t="s">
        <v>129</v>
      </c>
      <c r="C43">
        <v>999999</v>
      </c>
      <c r="D43">
        <v>999999</v>
      </c>
      <c r="E43">
        <v>999999</v>
      </c>
      <c r="F43">
        <v>999999</v>
      </c>
      <c r="G43">
        <v>999999</v>
      </c>
      <c r="H43">
        <v>999999</v>
      </c>
      <c r="I43">
        <v>999999</v>
      </c>
      <c r="J43">
        <v>999999</v>
      </c>
      <c r="K43">
        <v>999999</v>
      </c>
      <c r="L43">
        <v>999999</v>
      </c>
      <c r="M43">
        <v>999999</v>
      </c>
      <c r="N43">
        <v>999999</v>
      </c>
      <c r="O43">
        <v>999999</v>
      </c>
      <c r="P43">
        <v>999999</v>
      </c>
      <c r="Q43">
        <v>999999</v>
      </c>
      <c r="R43">
        <v>999999</v>
      </c>
      <c r="S43">
        <v>999999</v>
      </c>
      <c r="T43">
        <v>999999</v>
      </c>
      <c r="U43">
        <v>999999</v>
      </c>
      <c r="V43">
        <v>999999</v>
      </c>
      <c r="W43">
        <v>999999</v>
      </c>
      <c r="X43">
        <v>999999</v>
      </c>
      <c r="Y43">
        <v>999999</v>
      </c>
      <c r="Z43">
        <v>999999</v>
      </c>
      <c r="AA43">
        <v>999999</v>
      </c>
      <c r="AB43">
        <v>999999</v>
      </c>
      <c r="AC43">
        <v>999999</v>
      </c>
      <c r="AD43">
        <v>999999</v>
      </c>
      <c r="AE43">
        <v>999999</v>
      </c>
      <c r="AF43">
        <v>999999</v>
      </c>
      <c r="AG43">
        <v>999999</v>
      </c>
      <c r="AH43">
        <v>999999</v>
      </c>
      <c r="AI43">
        <v>999999</v>
      </c>
      <c r="AJ43">
        <v>999999</v>
      </c>
      <c r="AK43">
        <v>33999966</v>
      </c>
    </row>
    <row r="44" spans="1:37">
      <c r="A44" t="s">
        <v>19</v>
      </c>
      <c r="B44" s="29" t="s">
        <v>130</v>
      </c>
      <c r="C44">
        <v>999999</v>
      </c>
      <c r="D44">
        <v>999999</v>
      </c>
      <c r="E44">
        <v>999999</v>
      </c>
      <c r="F44">
        <v>999999</v>
      </c>
      <c r="G44">
        <v>999999</v>
      </c>
      <c r="H44">
        <v>999999</v>
      </c>
      <c r="I44">
        <v>999999</v>
      </c>
      <c r="J44">
        <v>999999</v>
      </c>
      <c r="K44">
        <v>999999</v>
      </c>
      <c r="L44">
        <v>999999</v>
      </c>
      <c r="M44">
        <v>999999</v>
      </c>
      <c r="N44">
        <v>999999</v>
      </c>
      <c r="O44">
        <v>999999</v>
      </c>
      <c r="P44">
        <v>999999</v>
      </c>
      <c r="Q44">
        <v>999999</v>
      </c>
      <c r="R44">
        <v>999999</v>
      </c>
      <c r="S44">
        <v>999999</v>
      </c>
      <c r="T44">
        <v>999999</v>
      </c>
      <c r="U44">
        <v>999999</v>
      </c>
      <c r="V44">
        <v>999999</v>
      </c>
      <c r="W44">
        <v>999999</v>
      </c>
      <c r="X44">
        <v>999999</v>
      </c>
      <c r="Y44">
        <v>999999</v>
      </c>
      <c r="Z44">
        <v>999999</v>
      </c>
      <c r="AA44">
        <v>999999</v>
      </c>
      <c r="AB44">
        <v>999999</v>
      </c>
      <c r="AC44">
        <v>999999</v>
      </c>
      <c r="AD44">
        <v>999999</v>
      </c>
      <c r="AE44">
        <v>999999</v>
      </c>
      <c r="AF44">
        <v>999999</v>
      </c>
      <c r="AG44">
        <v>999999</v>
      </c>
      <c r="AH44">
        <v>999999</v>
      </c>
      <c r="AI44">
        <v>999999</v>
      </c>
      <c r="AJ44">
        <v>999999</v>
      </c>
      <c r="AK44">
        <v>33999966</v>
      </c>
    </row>
    <row r="45" spans="1:37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>
      <c r="A46" t="s">
        <v>19</v>
      </c>
      <c r="B46" s="29" t="s">
        <v>132</v>
      </c>
      <c r="C46">
        <v>0</v>
      </c>
      <c r="D46">
        <v>0</v>
      </c>
      <c r="E46">
        <v>8.2000000000000003E-2</v>
      </c>
      <c r="F46">
        <v>6.0000000000000001E-3</v>
      </c>
      <c r="G46">
        <v>9.9000000000000008E-3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9.7900000000000015E-2</v>
      </c>
    </row>
    <row r="47" spans="1:37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>
      <c r="A49" t="s">
        <v>19</v>
      </c>
      <c r="B49" s="29" t="s">
        <v>135</v>
      </c>
      <c r="C49">
        <v>0</v>
      </c>
      <c r="D49">
        <v>0.17979999999999999</v>
      </c>
      <c r="E49">
        <v>9.7299999999999998E-2</v>
      </c>
      <c r="F49">
        <v>0</v>
      </c>
      <c r="G49">
        <v>1.12E-2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0.2883</v>
      </c>
    </row>
    <row r="50" spans="1:37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>
      <c r="A52" t="s">
        <v>19</v>
      </c>
      <c r="B52" s="29" t="s">
        <v>138</v>
      </c>
      <c r="C52">
        <v>0</v>
      </c>
      <c r="D52">
        <v>0</v>
      </c>
      <c r="E52">
        <v>3.7000000000000002E-3</v>
      </c>
      <c r="F52">
        <v>0.28110000000000002</v>
      </c>
      <c r="G52">
        <v>6.7000000000000002E-3</v>
      </c>
      <c r="H52">
        <v>3.5700000000000003E-2</v>
      </c>
      <c r="I52">
        <v>0.83379999999999999</v>
      </c>
      <c r="J52">
        <v>0.83979999999999999</v>
      </c>
      <c r="K52">
        <v>0.86050000000000004</v>
      </c>
      <c r="L52">
        <v>0.19400000000000001</v>
      </c>
      <c r="M52">
        <v>0</v>
      </c>
      <c r="N52">
        <v>0</v>
      </c>
      <c r="O52">
        <v>0</v>
      </c>
      <c r="P52">
        <v>0.14000000000000001</v>
      </c>
      <c r="Q52">
        <v>0</v>
      </c>
      <c r="R52">
        <v>0</v>
      </c>
      <c r="S52">
        <v>0.1085</v>
      </c>
      <c r="T52">
        <v>0.61019999999999996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4.5999999999999999E-3</v>
      </c>
      <c r="AH52">
        <v>0</v>
      </c>
      <c r="AI52">
        <v>0</v>
      </c>
      <c r="AJ52">
        <v>0</v>
      </c>
      <c r="AK52">
        <v>3.9185999999999996</v>
      </c>
    </row>
    <row r="53" spans="1:37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>
      <c r="A56" t="s">
        <v>19</v>
      </c>
      <c r="B56" s="29" t="s">
        <v>142</v>
      </c>
      <c r="C56">
        <v>0</v>
      </c>
      <c r="D56">
        <v>0.72499999999999998</v>
      </c>
      <c r="E56">
        <v>0.76939999999999997</v>
      </c>
      <c r="F56">
        <v>0</v>
      </c>
      <c r="G56">
        <v>0.6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0.86380000000000001</v>
      </c>
      <c r="O56">
        <v>3.1221000000000001</v>
      </c>
      <c r="P56">
        <v>1.0991</v>
      </c>
      <c r="Q56">
        <v>1.0991</v>
      </c>
      <c r="R56">
        <v>1.0991</v>
      </c>
      <c r="S56">
        <v>2.0987</v>
      </c>
      <c r="T56">
        <v>1.3347</v>
      </c>
      <c r="U56">
        <v>2.0057999999999998</v>
      </c>
      <c r="V56">
        <v>1.9447000000000001</v>
      </c>
      <c r="W56">
        <v>0</v>
      </c>
      <c r="X56">
        <v>0.59340000000000004</v>
      </c>
      <c r="Y56">
        <v>1.2123999999999999</v>
      </c>
      <c r="Z56">
        <v>1.2151000000000001</v>
      </c>
      <c r="AA56">
        <v>1.2176</v>
      </c>
      <c r="AB56">
        <v>1.2548999999999999</v>
      </c>
      <c r="AC56">
        <v>2.3025000000000002</v>
      </c>
      <c r="AD56">
        <v>2.0387</v>
      </c>
      <c r="AE56">
        <v>1.1518999999999999</v>
      </c>
      <c r="AF56">
        <v>0.57020000000000004</v>
      </c>
      <c r="AG56">
        <v>0</v>
      </c>
      <c r="AH56">
        <v>1.4005000000000001</v>
      </c>
      <c r="AI56">
        <v>1.1226</v>
      </c>
      <c r="AJ56">
        <v>1.7742</v>
      </c>
      <c r="AK56">
        <v>32.61549999999999</v>
      </c>
    </row>
    <row r="57" spans="1:37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>
      <c r="A59" t="s">
        <v>19</v>
      </c>
      <c r="B59" s="29" t="s">
        <v>145</v>
      </c>
      <c r="C59">
        <v>1.4633</v>
      </c>
      <c r="D59">
        <v>2.5546000000000002</v>
      </c>
      <c r="E59">
        <v>1.5900000000000001E-2</v>
      </c>
      <c r="F59">
        <v>4.6800000000000001E-2</v>
      </c>
      <c r="G59">
        <v>3.5200000000000002E-2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4.1158000000000001</v>
      </c>
    </row>
    <row r="60" spans="1:37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0.88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3.3000000000000002E-2</v>
      </c>
      <c r="V60">
        <v>0.74539999999999995</v>
      </c>
      <c r="W60">
        <v>1.4545999999999999</v>
      </c>
      <c r="X60">
        <v>0.70430000000000004</v>
      </c>
      <c r="Y60">
        <v>0.189</v>
      </c>
      <c r="Z60">
        <v>0.1731</v>
      </c>
      <c r="AA60">
        <v>0.23830000000000001</v>
      </c>
      <c r="AB60">
        <v>0.25219999999999998</v>
      </c>
      <c r="AC60">
        <v>0.8226</v>
      </c>
      <c r="AD60">
        <v>0.2477</v>
      </c>
      <c r="AE60">
        <v>0.36849999999999999</v>
      </c>
      <c r="AF60">
        <v>1.5837000000000001</v>
      </c>
      <c r="AG60">
        <v>3.4535</v>
      </c>
      <c r="AH60">
        <v>0.33179999999999998</v>
      </c>
      <c r="AI60">
        <v>0.35160000000000002</v>
      </c>
      <c r="AJ60">
        <v>0.33329999999999999</v>
      </c>
      <c r="AK60">
        <v>12.162599999999999</v>
      </c>
    </row>
    <row r="61" spans="1:37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>
      <c r="A64" t="s">
        <v>19</v>
      </c>
      <c r="B64" s="29" t="s">
        <v>150</v>
      </c>
      <c r="C64">
        <v>0</v>
      </c>
      <c r="D64">
        <v>0.3024</v>
      </c>
      <c r="E64">
        <v>0.3049</v>
      </c>
      <c r="F64">
        <v>0.15679999999999999</v>
      </c>
      <c r="G64">
        <v>1.0012000000000001</v>
      </c>
      <c r="H64">
        <v>0.27489999999999998</v>
      </c>
      <c r="I64">
        <v>0</v>
      </c>
      <c r="J64">
        <v>0</v>
      </c>
      <c r="K64">
        <v>0</v>
      </c>
      <c r="L64">
        <v>0</v>
      </c>
      <c r="M64">
        <v>9.4976000000000003</v>
      </c>
      <c r="N64">
        <v>0</v>
      </c>
      <c r="O64">
        <v>0</v>
      </c>
      <c r="P64">
        <v>0</v>
      </c>
      <c r="Q64">
        <v>3.49E-2</v>
      </c>
      <c r="R64">
        <v>0</v>
      </c>
      <c r="S64">
        <v>0</v>
      </c>
      <c r="T64">
        <v>0</v>
      </c>
      <c r="U64">
        <v>0</v>
      </c>
      <c r="V64">
        <v>0</v>
      </c>
      <c r="W64">
        <v>17.871400000000001</v>
      </c>
      <c r="X64">
        <v>1.5739000000000001</v>
      </c>
      <c r="Y64">
        <v>1.6903999999999999</v>
      </c>
      <c r="Z64">
        <v>1.6939</v>
      </c>
      <c r="AA64">
        <v>1.7192000000000001</v>
      </c>
      <c r="AB64">
        <v>1.8405</v>
      </c>
      <c r="AC64">
        <v>2.4447000000000001</v>
      </c>
      <c r="AD64">
        <v>1.8703000000000001</v>
      </c>
      <c r="AE64">
        <v>3.6143999999999998</v>
      </c>
      <c r="AF64">
        <v>0</v>
      </c>
      <c r="AG64">
        <v>10.904</v>
      </c>
      <c r="AH64">
        <v>2.3090000000000002</v>
      </c>
      <c r="AI64">
        <v>2.3115000000000001</v>
      </c>
      <c r="AJ64">
        <v>2.1634000000000002</v>
      </c>
      <c r="AK64">
        <v>63.579299999999989</v>
      </c>
    </row>
    <row r="65" spans="1:37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19</v>
      </c>
      <c r="B66" s="29" t="s">
        <v>152</v>
      </c>
      <c r="C66">
        <v>0.23910000000000001</v>
      </c>
      <c r="D66">
        <v>0.1552</v>
      </c>
      <c r="E66">
        <v>0</v>
      </c>
      <c r="F66">
        <v>2.46E-2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0.41889999999999999</v>
      </c>
    </row>
    <row r="67" spans="1:37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0.26269999999999999</v>
      </c>
      <c r="I68">
        <v>0.75239999999999996</v>
      </c>
      <c r="J68">
        <v>0.75239999999999996</v>
      </c>
      <c r="K68">
        <v>0.75239999999999996</v>
      </c>
      <c r="L68">
        <v>0.75239999999999996</v>
      </c>
      <c r="M68">
        <v>0.75239999999999996</v>
      </c>
      <c r="N68">
        <v>0.8992</v>
      </c>
      <c r="O68">
        <v>0.8992</v>
      </c>
      <c r="P68">
        <v>0.8992</v>
      </c>
      <c r="Q68">
        <v>0.8992</v>
      </c>
      <c r="R68">
        <v>0.8992</v>
      </c>
      <c r="S68">
        <v>1.0919000000000001</v>
      </c>
      <c r="T68">
        <v>1.0919000000000001</v>
      </c>
      <c r="U68">
        <v>1.0919000000000001</v>
      </c>
      <c r="V68">
        <v>1.0919000000000001</v>
      </c>
      <c r="W68">
        <v>1.0919000000000001</v>
      </c>
      <c r="X68">
        <v>1.0979000000000001</v>
      </c>
      <c r="Y68">
        <v>1.1859999999999999</v>
      </c>
      <c r="Z68">
        <v>1.1887000000000001</v>
      </c>
      <c r="AA68">
        <v>1.1911</v>
      </c>
      <c r="AB68">
        <v>1.1935</v>
      </c>
      <c r="AC68">
        <v>1.2362</v>
      </c>
      <c r="AD68">
        <v>1.2381</v>
      </c>
      <c r="AE68">
        <v>1.2398</v>
      </c>
      <c r="AF68">
        <v>1.2414000000000001</v>
      </c>
      <c r="AG68">
        <v>1.7717000000000001</v>
      </c>
      <c r="AH68">
        <v>1.1899</v>
      </c>
      <c r="AI68">
        <v>1.1899</v>
      </c>
      <c r="AJ68">
        <v>1.1899</v>
      </c>
      <c r="AK68">
        <v>30.134300000000007</v>
      </c>
    </row>
    <row r="69" spans="1:37">
      <c r="A69" t="s">
        <v>19</v>
      </c>
      <c r="B69" s="29" t="s">
        <v>155</v>
      </c>
      <c r="C69">
        <v>999999</v>
      </c>
      <c r="D69">
        <v>999999</v>
      </c>
      <c r="E69">
        <v>999999</v>
      </c>
      <c r="F69">
        <v>999999</v>
      </c>
      <c r="G69">
        <v>999999</v>
      </c>
      <c r="H69">
        <v>999999</v>
      </c>
      <c r="I69">
        <v>999999</v>
      </c>
      <c r="J69">
        <v>999999</v>
      </c>
      <c r="K69">
        <v>999999</v>
      </c>
      <c r="L69">
        <v>999999</v>
      </c>
      <c r="M69">
        <v>999999</v>
      </c>
      <c r="N69">
        <v>999999</v>
      </c>
      <c r="O69">
        <v>999999</v>
      </c>
      <c r="P69">
        <v>999999</v>
      </c>
      <c r="Q69">
        <v>999999</v>
      </c>
      <c r="R69">
        <v>999999</v>
      </c>
      <c r="S69">
        <v>999999</v>
      </c>
      <c r="T69">
        <v>999999</v>
      </c>
      <c r="U69">
        <v>999999</v>
      </c>
      <c r="V69">
        <v>999999</v>
      </c>
      <c r="W69">
        <v>999999</v>
      </c>
      <c r="X69">
        <v>999999</v>
      </c>
      <c r="Y69">
        <v>999999</v>
      </c>
      <c r="Z69">
        <v>999999</v>
      </c>
      <c r="AA69">
        <v>999999</v>
      </c>
      <c r="AB69">
        <v>999999</v>
      </c>
      <c r="AC69">
        <v>999999</v>
      </c>
      <c r="AD69">
        <v>999999</v>
      </c>
      <c r="AE69">
        <v>999999</v>
      </c>
      <c r="AF69">
        <v>999999</v>
      </c>
      <c r="AG69">
        <v>999999</v>
      </c>
      <c r="AH69">
        <v>999999</v>
      </c>
      <c r="AI69">
        <v>999999</v>
      </c>
      <c r="AJ69">
        <v>999999</v>
      </c>
      <c r="AK69">
        <v>33999966</v>
      </c>
    </row>
    <row r="70" spans="1:37">
      <c r="A70" t="s">
        <v>19</v>
      </c>
      <c r="B70" s="29" t="s">
        <v>156</v>
      </c>
      <c r="C70">
        <v>999999</v>
      </c>
      <c r="D70">
        <v>999999</v>
      </c>
      <c r="E70">
        <v>999999</v>
      </c>
      <c r="F70">
        <v>999999</v>
      </c>
      <c r="G70">
        <v>999999</v>
      </c>
      <c r="H70">
        <v>999999</v>
      </c>
      <c r="I70">
        <v>999999</v>
      </c>
      <c r="J70">
        <v>999999</v>
      </c>
      <c r="K70">
        <v>999999</v>
      </c>
      <c r="L70">
        <v>999999</v>
      </c>
      <c r="M70">
        <v>999999</v>
      </c>
      <c r="N70">
        <v>999999</v>
      </c>
      <c r="O70">
        <v>999999</v>
      </c>
      <c r="P70">
        <v>999999</v>
      </c>
      <c r="Q70">
        <v>999999</v>
      </c>
      <c r="R70">
        <v>999999</v>
      </c>
      <c r="S70">
        <v>999999</v>
      </c>
      <c r="T70">
        <v>999999</v>
      </c>
      <c r="U70">
        <v>999999</v>
      </c>
      <c r="V70">
        <v>999999</v>
      </c>
      <c r="W70">
        <v>999999</v>
      </c>
      <c r="X70">
        <v>999999</v>
      </c>
      <c r="Y70">
        <v>999999</v>
      </c>
      <c r="Z70">
        <v>999999</v>
      </c>
      <c r="AA70">
        <v>999999</v>
      </c>
      <c r="AB70">
        <v>999999</v>
      </c>
      <c r="AC70">
        <v>999999</v>
      </c>
      <c r="AD70">
        <v>999999</v>
      </c>
      <c r="AE70">
        <v>999999</v>
      </c>
      <c r="AF70">
        <v>999999</v>
      </c>
      <c r="AG70">
        <v>999999</v>
      </c>
      <c r="AH70">
        <v>999999</v>
      </c>
      <c r="AI70">
        <v>999999</v>
      </c>
      <c r="AJ70">
        <v>999999</v>
      </c>
      <c r="AK70">
        <v>33999966</v>
      </c>
    </row>
    <row r="71" spans="1:37">
      <c r="A71" t="s">
        <v>19</v>
      </c>
      <c r="B71" s="29" t="s">
        <v>157</v>
      </c>
      <c r="C71">
        <v>999999</v>
      </c>
      <c r="D71">
        <v>999999</v>
      </c>
      <c r="E71">
        <v>999999</v>
      </c>
      <c r="F71">
        <v>999999</v>
      </c>
      <c r="G71">
        <v>999999</v>
      </c>
      <c r="H71">
        <v>999999</v>
      </c>
      <c r="I71">
        <v>999999</v>
      </c>
      <c r="J71">
        <v>999999</v>
      </c>
      <c r="K71">
        <v>999999</v>
      </c>
      <c r="L71">
        <v>999999</v>
      </c>
      <c r="M71">
        <v>999999</v>
      </c>
      <c r="N71">
        <v>999999</v>
      </c>
      <c r="O71">
        <v>999999</v>
      </c>
      <c r="P71">
        <v>999999</v>
      </c>
      <c r="Q71">
        <v>999999</v>
      </c>
      <c r="R71">
        <v>999999</v>
      </c>
      <c r="S71">
        <v>999999</v>
      </c>
      <c r="T71">
        <v>999999</v>
      </c>
      <c r="U71">
        <v>999999</v>
      </c>
      <c r="V71">
        <v>999999</v>
      </c>
      <c r="W71">
        <v>999999</v>
      </c>
      <c r="X71">
        <v>999999</v>
      </c>
      <c r="Y71">
        <v>999999</v>
      </c>
      <c r="Z71">
        <v>999999</v>
      </c>
      <c r="AA71">
        <v>999999</v>
      </c>
      <c r="AB71">
        <v>999999</v>
      </c>
      <c r="AC71">
        <v>999999</v>
      </c>
      <c r="AD71">
        <v>999999</v>
      </c>
      <c r="AE71">
        <v>999999</v>
      </c>
      <c r="AF71">
        <v>999999</v>
      </c>
      <c r="AG71">
        <v>999999</v>
      </c>
      <c r="AH71">
        <v>999999</v>
      </c>
      <c r="AI71">
        <v>999999</v>
      </c>
      <c r="AJ71">
        <v>999999</v>
      </c>
      <c r="AK71">
        <v>33999966</v>
      </c>
    </row>
    <row r="72" spans="1:37">
      <c r="A72" t="s">
        <v>19</v>
      </c>
      <c r="B72" s="29" t="s">
        <v>158</v>
      </c>
      <c r="C72">
        <v>999999</v>
      </c>
      <c r="D72">
        <v>999999</v>
      </c>
      <c r="E72">
        <v>999999</v>
      </c>
      <c r="F72">
        <v>999999</v>
      </c>
      <c r="G72">
        <v>999999</v>
      </c>
      <c r="H72">
        <v>999999</v>
      </c>
      <c r="I72">
        <v>999999</v>
      </c>
      <c r="J72">
        <v>999999</v>
      </c>
      <c r="K72">
        <v>999999</v>
      </c>
      <c r="L72">
        <v>999999</v>
      </c>
      <c r="M72">
        <v>999999</v>
      </c>
      <c r="N72">
        <v>999999</v>
      </c>
      <c r="O72">
        <v>999999</v>
      </c>
      <c r="P72">
        <v>999999</v>
      </c>
      <c r="Q72">
        <v>999999</v>
      </c>
      <c r="R72">
        <v>999999</v>
      </c>
      <c r="S72">
        <v>999999</v>
      </c>
      <c r="T72">
        <v>999999</v>
      </c>
      <c r="U72">
        <v>999999</v>
      </c>
      <c r="V72">
        <v>999999</v>
      </c>
      <c r="W72">
        <v>999999</v>
      </c>
      <c r="X72">
        <v>999999</v>
      </c>
      <c r="Y72">
        <v>999999</v>
      </c>
      <c r="Z72">
        <v>999999</v>
      </c>
      <c r="AA72">
        <v>999999</v>
      </c>
      <c r="AB72">
        <v>999999</v>
      </c>
      <c r="AC72">
        <v>999999</v>
      </c>
      <c r="AD72">
        <v>999999</v>
      </c>
      <c r="AE72">
        <v>999999</v>
      </c>
      <c r="AF72">
        <v>999999</v>
      </c>
      <c r="AG72">
        <v>999999</v>
      </c>
      <c r="AH72">
        <v>999999</v>
      </c>
      <c r="AI72">
        <v>999999</v>
      </c>
      <c r="AJ72">
        <v>999999</v>
      </c>
      <c r="AK72">
        <v>33999966</v>
      </c>
    </row>
    <row r="73" spans="1:37">
      <c r="A73" t="s">
        <v>19</v>
      </c>
      <c r="B73" s="29" t="s">
        <v>159</v>
      </c>
      <c r="C73">
        <v>999999</v>
      </c>
      <c r="D73">
        <v>999999</v>
      </c>
      <c r="E73">
        <v>999999</v>
      </c>
      <c r="F73">
        <v>999999</v>
      </c>
      <c r="G73">
        <v>999999</v>
      </c>
      <c r="H73">
        <v>999999</v>
      </c>
      <c r="I73">
        <v>999999</v>
      </c>
      <c r="J73">
        <v>999999</v>
      </c>
      <c r="K73">
        <v>999999</v>
      </c>
      <c r="L73">
        <v>999999</v>
      </c>
      <c r="M73">
        <v>999999</v>
      </c>
      <c r="N73">
        <v>999999</v>
      </c>
      <c r="O73">
        <v>999999</v>
      </c>
      <c r="P73">
        <v>999999</v>
      </c>
      <c r="Q73">
        <v>999999</v>
      </c>
      <c r="R73">
        <v>999999</v>
      </c>
      <c r="S73">
        <v>999999</v>
      </c>
      <c r="T73">
        <v>999999</v>
      </c>
      <c r="U73">
        <v>999999</v>
      </c>
      <c r="V73">
        <v>999999</v>
      </c>
      <c r="W73">
        <v>999999</v>
      </c>
      <c r="X73">
        <v>999999</v>
      </c>
      <c r="Y73">
        <v>999999</v>
      </c>
      <c r="Z73">
        <v>999999</v>
      </c>
      <c r="AA73">
        <v>999999</v>
      </c>
      <c r="AB73">
        <v>999999</v>
      </c>
      <c r="AC73">
        <v>999999</v>
      </c>
      <c r="AD73">
        <v>999999</v>
      </c>
      <c r="AE73">
        <v>999999</v>
      </c>
      <c r="AF73">
        <v>999999</v>
      </c>
      <c r="AG73">
        <v>999999</v>
      </c>
      <c r="AH73">
        <v>999999</v>
      </c>
      <c r="AI73">
        <v>999999</v>
      </c>
      <c r="AJ73">
        <v>999999</v>
      </c>
      <c r="AK73">
        <v>33999966</v>
      </c>
    </row>
    <row r="74" spans="1:37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19</v>
      </c>
      <c r="B75" s="29" t="s">
        <v>161</v>
      </c>
      <c r="C75">
        <v>999999</v>
      </c>
      <c r="D75">
        <v>999999</v>
      </c>
      <c r="E75">
        <v>999999</v>
      </c>
      <c r="F75">
        <v>999999</v>
      </c>
      <c r="G75">
        <v>999999</v>
      </c>
      <c r="H75">
        <v>999999</v>
      </c>
      <c r="I75">
        <v>999999</v>
      </c>
      <c r="J75">
        <v>999999</v>
      </c>
      <c r="K75">
        <v>999999</v>
      </c>
      <c r="L75">
        <v>999999</v>
      </c>
      <c r="M75">
        <v>999999</v>
      </c>
      <c r="N75">
        <v>999999</v>
      </c>
      <c r="O75">
        <v>999999</v>
      </c>
      <c r="P75">
        <v>999999</v>
      </c>
      <c r="Q75">
        <v>999999</v>
      </c>
      <c r="R75">
        <v>999999</v>
      </c>
      <c r="S75">
        <v>999999</v>
      </c>
      <c r="T75">
        <v>999999</v>
      </c>
      <c r="U75">
        <v>999999</v>
      </c>
      <c r="V75">
        <v>999999</v>
      </c>
      <c r="W75">
        <v>999999</v>
      </c>
      <c r="X75">
        <v>999999</v>
      </c>
      <c r="Y75">
        <v>999999</v>
      </c>
      <c r="Z75">
        <v>999999</v>
      </c>
      <c r="AA75">
        <v>999999</v>
      </c>
      <c r="AB75">
        <v>999999</v>
      </c>
      <c r="AC75">
        <v>999999</v>
      </c>
      <c r="AD75">
        <v>999999</v>
      </c>
      <c r="AE75">
        <v>999999</v>
      </c>
      <c r="AF75">
        <v>999999</v>
      </c>
      <c r="AG75">
        <v>999999</v>
      </c>
      <c r="AH75">
        <v>999999</v>
      </c>
      <c r="AI75">
        <v>999999</v>
      </c>
      <c r="AJ75">
        <v>999999</v>
      </c>
      <c r="AK75">
        <v>33999966</v>
      </c>
    </row>
    <row r="76" spans="1:37">
      <c r="A76" t="s">
        <v>19</v>
      </c>
      <c r="B76" s="29" t="s">
        <v>162</v>
      </c>
      <c r="C76">
        <v>999999</v>
      </c>
      <c r="D76">
        <v>999999</v>
      </c>
      <c r="E76">
        <v>999999</v>
      </c>
      <c r="F76">
        <v>999999</v>
      </c>
      <c r="G76">
        <v>999999</v>
      </c>
      <c r="H76">
        <v>999999</v>
      </c>
      <c r="I76">
        <v>999999</v>
      </c>
      <c r="J76">
        <v>999999</v>
      </c>
      <c r="K76">
        <v>999999</v>
      </c>
      <c r="L76">
        <v>999999</v>
      </c>
      <c r="M76">
        <v>999999</v>
      </c>
      <c r="N76">
        <v>999999</v>
      </c>
      <c r="O76">
        <v>999999</v>
      </c>
      <c r="P76">
        <v>999999</v>
      </c>
      <c r="Q76">
        <v>999999</v>
      </c>
      <c r="R76">
        <v>999999</v>
      </c>
      <c r="S76">
        <v>999999</v>
      </c>
      <c r="T76">
        <v>999999</v>
      </c>
      <c r="U76">
        <v>999999</v>
      </c>
      <c r="V76">
        <v>999999</v>
      </c>
      <c r="W76">
        <v>999999</v>
      </c>
      <c r="X76">
        <v>999999</v>
      </c>
      <c r="Y76">
        <v>999999</v>
      </c>
      <c r="Z76">
        <v>999999</v>
      </c>
      <c r="AA76">
        <v>999999</v>
      </c>
      <c r="AB76">
        <v>999999</v>
      </c>
      <c r="AC76">
        <v>999999</v>
      </c>
      <c r="AD76">
        <v>999999</v>
      </c>
      <c r="AE76">
        <v>999999</v>
      </c>
      <c r="AF76">
        <v>999999</v>
      </c>
      <c r="AG76">
        <v>999999</v>
      </c>
      <c r="AH76">
        <v>999999</v>
      </c>
      <c r="AI76">
        <v>999999</v>
      </c>
      <c r="AJ76">
        <v>999999</v>
      </c>
      <c r="AK76">
        <v>33999966</v>
      </c>
    </row>
    <row r="77" spans="1:37">
      <c r="A77" t="s">
        <v>19</v>
      </c>
      <c r="B77" s="29" t="s">
        <v>163</v>
      </c>
      <c r="C77">
        <v>999999</v>
      </c>
      <c r="D77">
        <v>999999</v>
      </c>
      <c r="E77">
        <v>999999</v>
      </c>
      <c r="F77">
        <v>999999</v>
      </c>
      <c r="G77">
        <v>999999</v>
      </c>
      <c r="H77">
        <v>999999</v>
      </c>
      <c r="I77">
        <v>999999</v>
      </c>
      <c r="J77">
        <v>999999</v>
      </c>
      <c r="K77">
        <v>999999</v>
      </c>
      <c r="L77">
        <v>999999</v>
      </c>
      <c r="M77">
        <v>999999</v>
      </c>
      <c r="N77">
        <v>999999</v>
      </c>
      <c r="O77">
        <v>999999</v>
      </c>
      <c r="P77">
        <v>999999</v>
      </c>
      <c r="Q77">
        <v>999999</v>
      </c>
      <c r="R77">
        <v>999999</v>
      </c>
      <c r="S77">
        <v>999999</v>
      </c>
      <c r="T77">
        <v>999999</v>
      </c>
      <c r="U77">
        <v>999999</v>
      </c>
      <c r="V77">
        <v>999999</v>
      </c>
      <c r="W77">
        <v>999999</v>
      </c>
      <c r="X77">
        <v>999999</v>
      </c>
      <c r="Y77">
        <v>999999</v>
      </c>
      <c r="Z77">
        <v>999999</v>
      </c>
      <c r="AA77">
        <v>999999</v>
      </c>
      <c r="AB77">
        <v>999999</v>
      </c>
      <c r="AC77">
        <v>999999</v>
      </c>
      <c r="AD77">
        <v>999999</v>
      </c>
      <c r="AE77">
        <v>999999</v>
      </c>
      <c r="AF77">
        <v>999999</v>
      </c>
      <c r="AG77">
        <v>999999</v>
      </c>
      <c r="AH77">
        <v>999999</v>
      </c>
      <c r="AI77">
        <v>999999</v>
      </c>
      <c r="AJ77">
        <v>999999</v>
      </c>
      <c r="AK77">
        <v>33999966</v>
      </c>
    </row>
    <row r="78" spans="1:37">
      <c r="A78" t="s">
        <v>19</v>
      </c>
      <c r="B78" s="29" t="s">
        <v>164</v>
      </c>
      <c r="C78">
        <v>999999</v>
      </c>
      <c r="D78">
        <v>999999</v>
      </c>
      <c r="E78">
        <v>999999</v>
      </c>
      <c r="F78">
        <v>999999</v>
      </c>
      <c r="G78">
        <v>999999</v>
      </c>
      <c r="H78">
        <v>999999</v>
      </c>
      <c r="I78">
        <v>999999</v>
      </c>
      <c r="J78">
        <v>999999</v>
      </c>
      <c r="K78">
        <v>999999</v>
      </c>
      <c r="L78">
        <v>999999</v>
      </c>
      <c r="M78">
        <v>999999</v>
      </c>
      <c r="N78">
        <v>999999</v>
      </c>
      <c r="O78">
        <v>999999</v>
      </c>
      <c r="P78">
        <v>999999</v>
      </c>
      <c r="Q78">
        <v>999999</v>
      </c>
      <c r="R78">
        <v>999999</v>
      </c>
      <c r="S78">
        <v>999999</v>
      </c>
      <c r="T78">
        <v>999999</v>
      </c>
      <c r="U78">
        <v>999999</v>
      </c>
      <c r="V78">
        <v>999999</v>
      </c>
      <c r="W78">
        <v>999999</v>
      </c>
      <c r="X78">
        <v>999999</v>
      </c>
      <c r="Y78">
        <v>999999</v>
      </c>
      <c r="Z78">
        <v>999999</v>
      </c>
      <c r="AA78">
        <v>999999</v>
      </c>
      <c r="AB78">
        <v>999999</v>
      </c>
      <c r="AC78">
        <v>999999</v>
      </c>
      <c r="AD78">
        <v>999999</v>
      </c>
      <c r="AE78">
        <v>999999</v>
      </c>
      <c r="AF78">
        <v>999999</v>
      </c>
      <c r="AG78">
        <v>999999</v>
      </c>
      <c r="AH78">
        <v>999999</v>
      </c>
      <c r="AI78">
        <v>999999</v>
      </c>
      <c r="AJ78">
        <v>999999</v>
      </c>
      <c r="AK78">
        <v>33999966</v>
      </c>
    </row>
    <row r="79" spans="1:37">
      <c r="A79" t="s">
        <v>19</v>
      </c>
      <c r="B79" s="29" t="s">
        <v>165</v>
      </c>
      <c r="C79">
        <v>999999</v>
      </c>
      <c r="D79">
        <v>999999</v>
      </c>
      <c r="E79">
        <v>999999</v>
      </c>
      <c r="F79">
        <v>999999</v>
      </c>
      <c r="G79">
        <v>999999</v>
      </c>
      <c r="H79">
        <v>999999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  <c r="AK79">
        <v>33999966</v>
      </c>
    </row>
    <row r="80" spans="1:37">
      <c r="A80" t="s">
        <v>19</v>
      </c>
      <c r="B80" s="29" t="s">
        <v>166</v>
      </c>
      <c r="C80">
        <v>999999</v>
      </c>
      <c r="D80">
        <v>999999</v>
      </c>
      <c r="E80">
        <v>999999</v>
      </c>
      <c r="F80">
        <v>999999</v>
      </c>
      <c r="G80">
        <v>999999</v>
      </c>
      <c r="H80">
        <v>999999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  <c r="AK80">
        <v>33999966</v>
      </c>
    </row>
    <row r="81" spans="1:37">
      <c r="A81" t="s">
        <v>19</v>
      </c>
      <c r="B81" s="29" t="s">
        <v>167</v>
      </c>
      <c r="C81">
        <v>999999</v>
      </c>
      <c r="D81">
        <v>999999</v>
      </c>
      <c r="E81">
        <v>999999</v>
      </c>
      <c r="F81">
        <v>999999</v>
      </c>
      <c r="G81">
        <v>999999</v>
      </c>
      <c r="H81">
        <v>999999</v>
      </c>
      <c r="I81">
        <v>999999</v>
      </c>
      <c r="J81">
        <v>999999</v>
      </c>
      <c r="K81">
        <v>999999</v>
      </c>
      <c r="L81">
        <v>999999</v>
      </c>
      <c r="M81">
        <v>999999</v>
      </c>
      <c r="N81">
        <v>999999</v>
      </c>
      <c r="O81">
        <v>999999</v>
      </c>
      <c r="P81">
        <v>999999</v>
      </c>
      <c r="Q81">
        <v>999999</v>
      </c>
      <c r="R81">
        <v>999999</v>
      </c>
      <c r="S81">
        <v>999999</v>
      </c>
      <c r="T81">
        <v>999999</v>
      </c>
      <c r="U81">
        <v>999999</v>
      </c>
      <c r="V81">
        <v>999999</v>
      </c>
      <c r="W81">
        <v>999999</v>
      </c>
      <c r="X81">
        <v>999999</v>
      </c>
      <c r="Y81">
        <v>999999</v>
      </c>
      <c r="Z81">
        <v>999999</v>
      </c>
      <c r="AA81">
        <v>999999</v>
      </c>
      <c r="AB81">
        <v>999999</v>
      </c>
      <c r="AC81">
        <v>999999</v>
      </c>
      <c r="AD81">
        <v>999999</v>
      </c>
      <c r="AE81">
        <v>999999</v>
      </c>
      <c r="AF81">
        <v>999999</v>
      </c>
      <c r="AG81">
        <v>999999</v>
      </c>
      <c r="AH81">
        <v>999999</v>
      </c>
      <c r="AI81">
        <v>999999</v>
      </c>
      <c r="AJ81">
        <v>999999</v>
      </c>
      <c r="AK81">
        <v>33999966</v>
      </c>
    </row>
    <row r="82" spans="1:37">
      <c r="A82" t="s">
        <v>19</v>
      </c>
      <c r="B82" s="29" t="s">
        <v>168</v>
      </c>
      <c r="C82">
        <v>999999</v>
      </c>
      <c r="D82">
        <v>999999</v>
      </c>
      <c r="E82">
        <v>999999</v>
      </c>
      <c r="F82">
        <v>999999</v>
      </c>
      <c r="G82">
        <v>999999</v>
      </c>
      <c r="H82">
        <v>999999</v>
      </c>
      <c r="I82">
        <v>999999</v>
      </c>
      <c r="J82">
        <v>999999</v>
      </c>
      <c r="K82">
        <v>999999</v>
      </c>
      <c r="L82">
        <v>999999</v>
      </c>
      <c r="M82">
        <v>999999</v>
      </c>
      <c r="N82">
        <v>999999</v>
      </c>
      <c r="O82">
        <v>999999</v>
      </c>
      <c r="P82">
        <v>999999</v>
      </c>
      <c r="Q82">
        <v>999999</v>
      </c>
      <c r="R82">
        <v>999999</v>
      </c>
      <c r="S82">
        <v>999999</v>
      </c>
      <c r="T82">
        <v>999999</v>
      </c>
      <c r="U82">
        <v>999999</v>
      </c>
      <c r="V82">
        <v>999999</v>
      </c>
      <c r="W82">
        <v>999999</v>
      </c>
      <c r="X82">
        <v>999999</v>
      </c>
      <c r="Y82">
        <v>999999</v>
      </c>
      <c r="Z82">
        <v>999999</v>
      </c>
      <c r="AA82">
        <v>999999</v>
      </c>
      <c r="AB82">
        <v>999999</v>
      </c>
      <c r="AC82">
        <v>999999</v>
      </c>
      <c r="AD82">
        <v>999999</v>
      </c>
      <c r="AE82">
        <v>999999</v>
      </c>
      <c r="AF82">
        <v>999999</v>
      </c>
      <c r="AG82">
        <v>999999</v>
      </c>
      <c r="AH82">
        <v>999999</v>
      </c>
      <c r="AI82">
        <v>999999</v>
      </c>
      <c r="AJ82">
        <v>999999</v>
      </c>
      <c r="AK82">
        <v>33999966</v>
      </c>
    </row>
    <row r="83" spans="1:37">
      <c r="A83" t="s">
        <v>19</v>
      </c>
      <c r="B83" s="29" t="s">
        <v>169</v>
      </c>
      <c r="C83">
        <v>999999</v>
      </c>
      <c r="D83">
        <v>999999</v>
      </c>
      <c r="E83">
        <v>999999</v>
      </c>
      <c r="F83">
        <v>999999</v>
      </c>
      <c r="G83">
        <v>999999</v>
      </c>
      <c r="H83">
        <v>999999</v>
      </c>
      <c r="I83">
        <v>999999</v>
      </c>
      <c r="J83">
        <v>999999</v>
      </c>
      <c r="K83">
        <v>999999</v>
      </c>
      <c r="L83">
        <v>999999</v>
      </c>
      <c r="M83">
        <v>999999</v>
      </c>
      <c r="N83">
        <v>999999</v>
      </c>
      <c r="O83">
        <v>999999</v>
      </c>
      <c r="P83">
        <v>999999</v>
      </c>
      <c r="Q83">
        <v>999999</v>
      </c>
      <c r="R83">
        <v>999999</v>
      </c>
      <c r="S83">
        <v>999999</v>
      </c>
      <c r="T83">
        <v>999999</v>
      </c>
      <c r="U83">
        <v>999999</v>
      </c>
      <c r="V83">
        <v>999999</v>
      </c>
      <c r="W83">
        <v>999999</v>
      </c>
      <c r="X83">
        <v>999999</v>
      </c>
      <c r="Y83">
        <v>999999</v>
      </c>
      <c r="Z83">
        <v>999999</v>
      </c>
      <c r="AA83">
        <v>999999</v>
      </c>
      <c r="AB83">
        <v>999999</v>
      </c>
      <c r="AC83">
        <v>999999</v>
      </c>
      <c r="AD83">
        <v>999999</v>
      </c>
      <c r="AE83">
        <v>999999</v>
      </c>
      <c r="AF83">
        <v>999999</v>
      </c>
      <c r="AG83">
        <v>999999</v>
      </c>
      <c r="AH83">
        <v>999999</v>
      </c>
      <c r="AI83">
        <v>999999</v>
      </c>
      <c r="AJ83">
        <v>999999</v>
      </c>
      <c r="AK83">
        <v>33999966</v>
      </c>
    </row>
    <row r="84" spans="1:37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>
      <c r="A85" t="s">
        <v>19</v>
      </c>
      <c r="B85" s="29" t="s">
        <v>170</v>
      </c>
      <c r="C85">
        <v>13.3681</v>
      </c>
      <c r="D85">
        <v>0.42399999999999999</v>
      </c>
      <c r="E85">
        <v>0.43490000000000001</v>
      </c>
      <c r="F85">
        <v>0.42409999999999998</v>
      </c>
      <c r="G85">
        <v>0.43380000000000002</v>
      </c>
      <c r="H85">
        <v>0.4304</v>
      </c>
      <c r="I85">
        <v>0.51770000000000005</v>
      </c>
      <c r="J85">
        <v>0.51119999999999999</v>
      </c>
      <c r="K85">
        <v>0.51229999999999998</v>
      </c>
      <c r="L85">
        <v>0.49659999999999999</v>
      </c>
      <c r="M85">
        <v>0</v>
      </c>
      <c r="N85">
        <v>0.39639999999999997</v>
      </c>
      <c r="O85">
        <v>0.61829999999999996</v>
      </c>
      <c r="P85">
        <v>0.63519999999999999</v>
      </c>
      <c r="Q85">
        <v>0.61140000000000005</v>
      </c>
      <c r="R85">
        <v>0.62970000000000004</v>
      </c>
      <c r="S85">
        <v>0.71</v>
      </c>
      <c r="T85">
        <v>0.70850000000000002</v>
      </c>
      <c r="U85">
        <v>0.70799999999999996</v>
      </c>
      <c r="V85">
        <v>0.69059999999999999</v>
      </c>
      <c r="W85">
        <v>0.66359999999999997</v>
      </c>
      <c r="X85">
        <v>0.77600000000000002</v>
      </c>
      <c r="Y85">
        <v>0.78100000000000003</v>
      </c>
      <c r="Z85">
        <v>0.77939999999999998</v>
      </c>
      <c r="AA85">
        <v>0.75419999999999998</v>
      </c>
      <c r="AB85">
        <v>14.1226</v>
      </c>
      <c r="AC85">
        <v>1.2334000000000001</v>
      </c>
      <c r="AD85">
        <v>1.2455000000000001</v>
      </c>
      <c r="AE85">
        <v>1.2483</v>
      </c>
      <c r="AF85">
        <v>1.1786000000000001</v>
      </c>
      <c r="AG85">
        <v>1.0884</v>
      </c>
      <c r="AH85">
        <v>1.3674999999999999</v>
      </c>
      <c r="AI85">
        <v>1.3553999999999999</v>
      </c>
      <c r="AJ85">
        <v>1.3675999999999999</v>
      </c>
      <c r="AK85">
        <v>51.22270000000001</v>
      </c>
    </row>
    <row r="86" spans="1:37">
      <c r="A86" t="s">
        <v>19</v>
      </c>
      <c r="B86" s="29" t="s">
        <v>171</v>
      </c>
      <c r="C86">
        <v>999999</v>
      </c>
      <c r="D86">
        <v>999999</v>
      </c>
      <c r="E86">
        <v>999999</v>
      </c>
      <c r="F86">
        <v>999999</v>
      </c>
      <c r="G86">
        <v>999999</v>
      </c>
      <c r="H86">
        <v>999999</v>
      </c>
      <c r="I86">
        <v>999999</v>
      </c>
      <c r="J86">
        <v>999999</v>
      </c>
      <c r="K86">
        <v>999999</v>
      </c>
      <c r="L86">
        <v>999999</v>
      </c>
      <c r="M86">
        <v>999999</v>
      </c>
      <c r="N86">
        <v>999999</v>
      </c>
      <c r="O86">
        <v>999999</v>
      </c>
      <c r="P86">
        <v>999999</v>
      </c>
      <c r="Q86">
        <v>999999</v>
      </c>
      <c r="R86">
        <v>999999</v>
      </c>
      <c r="S86">
        <v>999999</v>
      </c>
      <c r="T86">
        <v>999999</v>
      </c>
      <c r="U86">
        <v>999999</v>
      </c>
      <c r="V86">
        <v>999999</v>
      </c>
      <c r="W86">
        <v>999999</v>
      </c>
      <c r="X86">
        <v>999999</v>
      </c>
      <c r="Y86">
        <v>999999</v>
      </c>
      <c r="Z86">
        <v>999999</v>
      </c>
      <c r="AA86">
        <v>999999</v>
      </c>
      <c r="AB86">
        <v>999999</v>
      </c>
      <c r="AC86">
        <v>999999</v>
      </c>
      <c r="AD86">
        <v>999999</v>
      </c>
      <c r="AE86">
        <v>999999</v>
      </c>
      <c r="AF86">
        <v>999999</v>
      </c>
      <c r="AG86">
        <v>999999</v>
      </c>
      <c r="AH86">
        <v>999999</v>
      </c>
      <c r="AI86">
        <v>999999</v>
      </c>
      <c r="AJ86">
        <v>999999</v>
      </c>
      <c r="AK86">
        <v>33999966</v>
      </c>
    </row>
    <row r="87" spans="1:37">
      <c r="A87" t="s">
        <v>19</v>
      </c>
      <c r="B87" s="29" t="s">
        <v>172</v>
      </c>
      <c r="C87">
        <v>999999</v>
      </c>
      <c r="D87">
        <v>999999</v>
      </c>
      <c r="E87">
        <v>999999</v>
      </c>
      <c r="F87">
        <v>999999</v>
      </c>
      <c r="G87">
        <v>999999</v>
      </c>
      <c r="H87">
        <v>999999</v>
      </c>
      <c r="I87">
        <v>999999</v>
      </c>
      <c r="J87">
        <v>999999</v>
      </c>
      <c r="K87">
        <v>999999</v>
      </c>
      <c r="L87">
        <v>999999</v>
      </c>
      <c r="M87">
        <v>999999</v>
      </c>
      <c r="N87">
        <v>999999</v>
      </c>
      <c r="O87">
        <v>999999</v>
      </c>
      <c r="P87">
        <v>999999</v>
      </c>
      <c r="Q87">
        <v>999999</v>
      </c>
      <c r="R87">
        <v>999999</v>
      </c>
      <c r="S87">
        <v>999999</v>
      </c>
      <c r="T87">
        <v>999999</v>
      </c>
      <c r="U87">
        <v>999999</v>
      </c>
      <c r="V87">
        <v>999999</v>
      </c>
      <c r="W87">
        <v>999999</v>
      </c>
      <c r="X87">
        <v>999999</v>
      </c>
      <c r="Y87">
        <v>999999</v>
      </c>
      <c r="Z87">
        <v>999999</v>
      </c>
      <c r="AA87">
        <v>999999</v>
      </c>
      <c r="AB87">
        <v>999999</v>
      </c>
      <c r="AC87">
        <v>999999</v>
      </c>
      <c r="AD87">
        <v>999999</v>
      </c>
      <c r="AE87">
        <v>999999</v>
      </c>
      <c r="AF87">
        <v>999999</v>
      </c>
      <c r="AG87">
        <v>999999</v>
      </c>
      <c r="AH87">
        <v>999999</v>
      </c>
      <c r="AI87">
        <v>999999</v>
      </c>
      <c r="AJ87">
        <v>999999</v>
      </c>
      <c r="AK87">
        <v>33999966</v>
      </c>
    </row>
    <row r="88" spans="1:37">
      <c r="A88" t="s">
        <v>19</v>
      </c>
      <c r="B88" s="29" t="s">
        <v>173</v>
      </c>
      <c r="C88">
        <v>999999</v>
      </c>
      <c r="D88">
        <v>999999</v>
      </c>
      <c r="E88">
        <v>999999</v>
      </c>
      <c r="F88">
        <v>999999</v>
      </c>
      <c r="G88">
        <v>999999</v>
      </c>
      <c r="H88">
        <v>999999</v>
      </c>
      <c r="I88">
        <v>999999</v>
      </c>
      <c r="J88">
        <v>999999</v>
      </c>
      <c r="K88">
        <v>999999</v>
      </c>
      <c r="L88">
        <v>999999</v>
      </c>
      <c r="M88">
        <v>999999</v>
      </c>
      <c r="N88">
        <v>999999</v>
      </c>
      <c r="O88">
        <v>999999</v>
      </c>
      <c r="P88">
        <v>999999</v>
      </c>
      <c r="Q88">
        <v>999999</v>
      </c>
      <c r="R88">
        <v>999999</v>
      </c>
      <c r="S88">
        <v>999999</v>
      </c>
      <c r="T88">
        <v>999999</v>
      </c>
      <c r="U88">
        <v>999999</v>
      </c>
      <c r="V88">
        <v>999999</v>
      </c>
      <c r="W88">
        <v>999999</v>
      </c>
      <c r="X88">
        <v>999999</v>
      </c>
      <c r="Y88">
        <v>999999</v>
      </c>
      <c r="Z88">
        <v>999999</v>
      </c>
      <c r="AA88">
        <v>999999</v>
      </c>
      <c r="AB88">
        <v>999999</v>
      </c>
      <c r="AC88">
        <v>999999</v>
      </c>
      <c r="AD88">
        <v>999999</v>
      </c>
      <c r="AE88">
        <v>999999</v>
      </c>
      <c r="AF88">
        <v>999999</v>
      </c>
      <c r="AG88">
        <v>999999</v>
      </c>
      <c r="AH88">
        <v>999999</v>
      </c>
      <c r="AI88">
        <v>999999</v>
      </c>
      <c r="AJ88">
        <v>999999</v>
      </c>
      <c r="AK88">
        <v>33999966</v>
      </c>
    </row>
    <row r="89" spans="1:37">
      <c r="A89" t="s">
        <v>19</v>
      </c>
      <c r="B89" s="29" t="s">
        <v>174</v>
      </c>
      <c r="C89">
        <v>999999</v>
      </c>
      <c r="D89">
        <v>999999</v>
      </c>
      <c r="E89">
        <v>999999</v>
      </c>
      <c r="F89">
        <v>999999</v>
      </c>
      <c r="G89">
        <v>999999</v>
      </c>
      <c r="H89">
        <v>999999</v>
      </c>
      <c r="I89">
        <v>999999</v>
      </c>
      <c r="J89">
        <v>999999</v>
      </c>
      <c r="K89">
        <v>999999</v>
      </c>
      <c r="L89">
        <v>999999</v>
      </c>
      <c r="M89">
        <v>999999</v>
      </c>
      <c r="N89">
        <v>999999</v>
      </c>
      <c r="O89">
        <v>999999</v>
      </c>
      <c r="P89">
        <v>999999</v>
      </c>
      <c r="Q89">
        <v>999999</v>
      </c>
      <c r="R89">
        <v>999999</v>
      </c>
      <c r="S89">
        <v>999999</v>
      </c>
      <c r="T89">
        <v>999999</v>
      </c>
      <c r="U89">
        <v>999999</v>
      </c>
      <c r="V89">
        <v>999999</v>
      </c>
      <c r="W89">
        <v>999999</v>
      </c>
      <c r="X89">
        <v>999999</v>
      </c>
      <c r="Y89">
        <v>999999</v>
      </c>
      <c r="Z89">
        <v>999999</v>
      </c>
      <c r="AA89">
        <v>999999</v>
      </c>
      <c r="AB89">
        <v>999999</v>
      </c>
      <c r="AC89">
        <v>999999</v>
      </c>
      <c r="AD89">
        <v>999999</v>
      </c>
      <c r="AE89">
        <v>999999</v>
      </c>
      <c r="AF89">
        <v>999999</v>
      </c>
      <c r="AG89">
        <v>999999</v>
      </c>
      <c r="AH89">
        <v>999999</v>
      </c>
      <c r="AI89">
        <v>999999</v>
      </c>
      <c r="AJ89">
        <v>999999</v>
      </c>
      <c r="AK89">
        <v>33999966</v>
      </c>
    </row>
    <row r="90" spans="1:37">
      <c r="A90" t="s">
        <v>19</v>
      </c>
      <c r="B90" s="29" t="s">
        <v>175</v>
      </c>
      <c r="C90">
        <v>999999</v>
      </c>
      <c r="D90">
        <v>999999</v>
      </c>
      <c r="E90">
        <v>999999</v>
      </c>
      <c r="F90">
        <v>999999</v>
      </c>
      <c r="G90">
        <v>999999</v>
      </c>
      <c r="H90">
        <v>999999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  <c r="AK90">
        <v>33999966</v>
      </c>
    </row>
    <row r="91" spans="1:37">
      <c r="A91" t="s">
        <v>19</v>
      </c>
      <c r="B91" s="29" t="s">
        <v>176</v>
      </c>
      <c r="C91">
        <v>4.9207999999999998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4.9207999999999998</v>
      </c>
    </row>
    <row r="92" spans="1:37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19</v>
      </c>
      <c r="B94" s="29" t="s">
        <v>179</v>
      </c>
      <c r="C94">
        <v>0</v>
      </c>
      <c r="D94">
        <v>9.0449999999999999</v>
      </c>
      <c r="E94">
        <v>0.85809999999999997</v>
      </c>
      <c r="F94">
        <v>0.85809999999999997</v>
      </c>
      <c r="G94">
        <v>38.615400000000001</v>
      </c>
      <c r="H94">
        <v>0.67479999999999996</v>
      </c>
      <c r="I94">
        <v>0.64139999999999997</v>
      </c>
      <c r="J94">
        <v>0.64139999999999997</v>
      </c>
      <c r="K94">
        <v>0.64139999999999997</v>
      </c>
      <c r="L94">
        <v>0.64139999999999997</v>
      </c>
      <c r="M94">
        <v>0.64139999999999997</v>
      </c>
      <c r="N94">
        <v>0.62239999999999995</v>
      </c>
      <c r="O94">
        <v>0.62239999999999995</v>
      </c>
      <c r="P94">
        <v>0.62239999999999995</v>
      </c>
      <c r="Q94">
        <v>1.7175</v>
      </c>
      <c r="R94">
        <v>9.8260000000000005</v>
      </c>
      <c r="S94">
        <v>11.2583</v>
      </c>
      <c r="T94">
        <v>3.0714000000000001</v>
      </c>
      <c r="U94">
        <v>3.0714000000000001</v>
      </c>
      <c r="V94">
        <v>40.828699999999998</v>
      </c>
      <c r="W94">
        <v>2.8881000000000001</v>
      </c>
      <c r="X94">
        <v>4.2706999999999997</v>
      </c>
      <c r="Y94">
        <v>4.2706999999999997</v>
      </c>
      <c r="Z94">
        <v>4.2706999999999997</v>
      </c>
      <c r="AA94">
        <v>4.2706999999999997</v>
      </c>
      <c r="AB94">
        <v>4.2706999999999997</v>
      </c>
      <c r="AC94">
        <v>5.1460999999999997</v>
      </c>
      <c r="AD94">
        <v>5.1460999999999997</v>
      </c>
      <c r="AE94">
        <v>5.1460999999999997</v>
      </c>
      <c r="AF94">
        <v>6.2412000000000001</v>
      </c>
      <c r="AG94">
        <v>14.3497</v>
      </c>
      <c r="AH94">
        <v>16.7197</v>
      </c>
      <c r="AI94">
        <v>8.5327999999999999</v>
      </c>
      <c r="AJ94">
        <v>8.5327999999999999</v>
      </c>
      <c r="AK94">
        <v>218.95499999999998</v>
      </c>
    </row>
    <row r="95" spans="1:37">
      <c r="A95" t="s">
        <v>19</v>
      </c>
      <c r="B95" s="29" t="s">
        <v>180</v>
      </c>
      <c r="C95">
        <v>42.179900000000004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42.179900000000004</v>
      </c>
    </row>
    <row r="96" spans="1:37">
      <c r="A96" t="s">
        <v>19</v>
      </c>
      <c r="B96" s="29" t="s">
        <v>181</v>
      </c>
      <c r="C96">
        <v>34.217500000000001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34.217500000000001</v>
      </c>
    </row>
    <row r="97" spans="1:37">
      <c r="A97" t="s">
        <v>19</v>
      </c>
      <c r="B97" s="29" t="s">
        <v>182</v>
      </c>
      <c r="C97">
        <v>999999</v>
      </c>
      <c r="D97">
        <v>999999</v>
      </c>
      <c r="E97">
        <v>999999</v>
      </c>
      <c r="F97">
        <v>999999</v>
      </c>
      <c r="G97">
        <v>999999</v>
      </c>
      <c r="H97">
        <v>999999</v>
      </c>
      <c r="I97">
        <v>999999</v>
      </c>
      <c r="J97">
        <v>999999</v>
      </c>
      <c r="K97">
        <v>999999</v>
      </c>
      <c r="L97">
        <v>999999</v>
      </c>
      <c r="M97">
        <v>999999</v>
      </c>
      <c r="N97">
        <v>999999</v>
      </c>
      <c r="O97">
        <v>999999</v>
      </c>
      <c r="P97">
        <v>999999</v>
      </c>
      <c r="Q97">
        <v>999999</v>
      </c>
      <c r="R97">
        <v>999999</v>
      </c>
      <c r="S97">
        <v>999999</v>
      </c>
      <c r="T97">
        <v>999999</v>
      </c>
      <c r="U97">
        <v>999999</v>
      </c>
      <c r="V97">
        <v>999999</v>
      </c>
      <c r="W97">
        <v>999999</v>
      </c>
      <c r="X97">
        <v>999999</v>
      </c>
      <c r="Y97">
        <v>999999</v>
      </c>
      <c r="Z97">
        <v>999999</v>
      </c>
      <c r="AA97">
        <v>999999</v>
      </c>
      <c r="AB97">
        <v>999999</v>
      </c>
      <c r="AC97">
        <v>999999</v>
      </c>
      <c r="AD97">
        <v>999999</v>
      </c>
      <c r="AE97">
        <v>999999</v>
      </c>
      <c r="AF97">
        <v>999999</v>
      </c>
      <c r="AG97">
        <v>999999</v>
      </c>
      <c r="AH97">
        <v>999999</v>
      </c>
      <c r="AI97">
        <v>999999</v>
      </c>
      <c r="AJ97">
        <v>999999</v>
      </c>
      <c r="AK97">
        <v>33999966</v>
      </c>
    </row>
    <row r="98" spans="1:37">
      <c r="A98" t="s">
        <v>19</v>
      </c>
      <c r="B98" s="29" t="s">
        <v>183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19</v>
      </c>
      <c r="B99" s="29" t="s">
        <v>184</v>
      </c>
      <c r="C99">
        <v>37.138800000000003</v>
      </c>
      <c r="D99">
        <v>232.4873</v>
      </c>
      <c r="E99">
        <v>229.0788</v>
      </c>
      <c r="F99">
        <v>230.06909999999999</v>
      </c>
      <c r="G99">
        <v>231.988</v>
      </c>
      <c r="H99">
        <v>227.1695</v>
      </c>
      <c r="I99">
        <v>227.36490000000001</v>
      </c>
      <c r="J99">
        <v>227.37459999999999</v>
      </c>
      <c r="K99">
        <v>228.36490000000001</v>
      </c>
      <c r="L99">
        <v>254.31729999999999</v>
      </c>
      <c r="M99">
        <v>150.1208</v>
      </c>
      <c r="N99">
        <v>276.15899999999999</v>
      </c>
      <c r="O99">
        <v>225.85759999999999</v>
      </c>
      <c r="P99">
        <v>218.63749999999999</v>
      </c>
      <c r="Q99">
        <v>46.525500000000001</v>
      </c>
      <c r="R99">
        <v>62.539000000000001</v>
      </c>
      <c r="S99">
        <v>262.54989999999998</v>
      </c>
      <c r="T99">
        <v>259.13170000000002</v>
      </c>
      <c r="U99">
        <v>260.13170000000002</v>
      </c>
      <c r="V99">
        <v>199.50470000000001</v>
      </c>
      <c r="W99">
        <v>323.88330000000002</v>
      </c>
      <c r="X99">
        <v>254.55709999999999</v>
      </c>
      <c r="Y99">
        <v>250.24690000000001</v>
      </c>
      <c r="Z99">
        <v>255.44499999999999</v>
      </c>
      <c r="AA99">
        <v>281.3974</v>
      </c>
      <c r="AB99">
        <v>177.2105</v>
      </c>
      <c r="AC99">
        <v>300.03250000000003</v>
      </c>
      <c r="AD99">
        <v>249.7311</v>
      </c>
      <c r="AE99">
        <v>233.738</v>
      </c>
      <c r="AF99">
        <v>0</v>
      </c>
      <c r="AG99">
        <v>165.58459999999999</v>
      </c>
      <c r="AH99">
        <v>283.58120000000002</v>
      </c>
      <c r="AI99">
        <v>280.16289999999998</v>
      </c>
      <c r="AJ99">
        <v>281.16289999999998</v>
      </c>
      <c r="AK99">
        <v>7423.2440000000006</v>
      </c>
    </row>
    <row r="100" spans="1:37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19</v>
      </c>
      <c r="B101" s="29" t="s">
        <v>186</v>
      </c>
      <c r="C101">
        <v>0</v>
      </c>
      <c r="D101">
        <v>1.54E-2</v>
      </c>
      <c r="E101">
        <v>1.5800000000000002E-2</v>
      </c>
      <c r="F101">
        <v>1.5800000000000002E-2</v>
      </c>
      <c r="G101">
        <v>1.4999999999999999E-2</v>
      </c>
      <c r="H101">
        <v>1.5800000000000002E-2</v>
      </c>
      <c r="I101">
        <v>1.8200000000000001E-2</v>
      </c>
      <c r="J101">
        <v>1.7999999999999999E-2</v>
      </c>
      <c r="K101">
        <v>1.72E-2</v>
      </c>
      <c r="L101">
        <v>1.8200000000000001E-2</v>
      </c>
      <c r="M101">
        <v>1.7999999999999999E-2</v>
      </c>
      <c r="N101">
        <v>2.12E-2</v>
      </c>
      <c r="O101">
        <v>2.0400000000000001E-2</v>
      </c>
      <c r="P101">
        <v>2.12E-2</v>
      </c>
      <c r="Q101">
        <v>2.12E-2</v>
      </c>
      <c r="R101">
        <v>2.12E-2</v>
      </c>
      <c r="S101">
        <v>2.5399999999999999E-2</v>
      </c>
      <c r="T101">
        <v>2.64E-2</v>
      </c>
      <c r="U101">
        <v>2.64E-2</v>
      </c>
      <c r="V101">
        <v>3.4799999999999998E-2</v>
      </c>
      <c r="W101">
        <v>0</v>
      </c>
      <c r="X101">
        <v>0.04</v>
      </c>
      <c r="Y101">
        <v>4.02E-2</v>
      </c>
      <c r="Z101">
        <v>4.0399999999999998E-2</v>
      </c>
      <c r="AA101">
        <v>3.9600000000000003E-2</v>
      </c>
      <c r="AB101">
        <v>4.0399999999999998E-2</v>
      </c>
      <c r="AC101">
        <v>5.1799999999999999E-2</v>
      </c>
      <c r="AD101">
        <v>5.16E-2</v>
      </c>
      <c r="AE101">
        <v>5.0799999999999998E-2</v>
      </c>
      <c r="AF101">
        <v>0.10340000000000001</v>
      </c>
      <c r="AG101">
        <v>0</v>
      </c>
      <c r="AH101">
        <v>6.5000000000000002E-2</v>
      </c>
      <c r="AI101">
        <v>6.4199999999999993E-2</v>
      </c>
      <c r="AJ101">
        <v>6.5000000000000002E-2</v>
      </c>
      <c r="AK101">
        <v>1.0379999999999998</v>
      </c>
    </row>
    <row r="102" spans="1:37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19</v>
      </c>
      <c r="B104" s="29" t="s">
        <v>189</v>
      </c>
      <c r="C104">
        <v>1.1999999999999999E-3</v>
      </c>
      <c r="D104">
        <v>2.2883</v>
      </c>
      <c r="E104">
        <v>1.2883</v>
      </c>
      <c r="F104">
        <v>2.2883</v>
      </c>
      <c r="G104">
        <v>1.2883</v>
      </c>
      <c r="H104">
        <v>2.2934999999999999</v>
      </c>
      <c r="I104">
        <v>1.2726</v>
      </c>
      <c r="J104">
        <v>2.2726000000000002</v>
      </c>
      <c r="K104">
        <v>1.2778</v>
      </c>
      <c r="L104">
        <v>2.2726000000000002</v>
      </c>
      <c r="M104">
        <v>1.2789999999999999</v>
      </c>
      <c r="N104">
        <v>4.5399000000000003</v>
      </c>
      <c r="O104">
        <v>2.5451000000000001</v>
      </c>
      <c r="P104">
        <v>4.5399000000000003</v>
      </c>
      <c r="Q104">
        <v>1.5399</v>
      </c>
      <c r="R104">
        <v>2.5503</v>
      </c>
      <c r="S104">
        <v>1.4979</v>
      </c>
      <c r="T104">
        <v>2.5032000000000001</v>
      </c>
      <c r="U104">
        <v>1.5084</v>
      </c>
      <c r="V104">
        <v>2.5032000000000001</v>
      </c>
      <c r="W104">
        <v>1.5096000000000001</v>
      </c>
      <c r="X104">
        <v>4.7443</v>
      </c>
      <c r="Y104">
        <v>2.7443</v>
      </c>
      <c r="Z104">
        <v>4.7443</v>
      </c>
      <c r="AA104">
        <v>1.7443</v>
      </c>
      <c r="AB104">
        <v>2.7547999999999999</v>
      </c>
      <c r="AC104">
        <v>1.6760999999999999</v>
      </c>
      <c r="AD104">
        <v>2.6760999999999999</v>
      </c>
      <c r="AE104">
        <v>1.6866000000000001</v>
      </c>
      <c r="AF104">
        <v>2.6814</v>
      </c>
      <c r="AG104">
        <v>1.6826000000000001</v>
      </c>
      <c r="AH104">
        <v>4.9015000000000004</v>
      </c>
      <c r="AI104">
        <v>2.8963000000000001</v>
      </c>
      <c r="AJ104">
        <v>4.8963000000000001</v>
      </c>
      <c r="AK104">
        <v>82.888799999999989</v>
      </c>
    </row>
    <row r="105" spans="1:37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19</v>
      </c>
      <c r="B109" s="29" t="s">
        <v>194</v>
      </c>
      <c r="C109">
        <v>37.993699999999997</v>
      </c>
      <c r="D109">
        <v>107.5776</v>
      </c>
      <c r="E109">
        <v>107.5776</v>
      </c>
      <c r="F109">
        <v>106.5776</v>
      </c>
      <c r="G109">
        <v>107.5776</v>
      </c>
      <c r="H109">
        <v>107.5608</v>
      </c>
      <c r="I109">
        <v>109.9028</v>
      </c>
      <c r="J109">
        <v>108.886</v>
      </c>
      <c r="K109">
        <v>109.886</v>
      </c>
      <c r="L109">
        <v>109.886</v>
      </c>
      <c r="M109">
        <v>109.9028</v>
      </c>
      <c r="N109">
        <v>108.6332</v>
      </c>
      <c r="O109">
        <v>109.65009999999999</v>
      </c>
      <c r="P109">
        <v>109.6332</v>
      </c>
      <c r="Q109">
        <v>44.650100000000002</v>
      </c>
      <c r="R109">
        <v>82.643799999999999</v>
      </c>
      <c r="S109">
        <v>150.87979999999999</v>
      </c>
      <c r="T109">
        <v>150.87979999999999</v>
      </c>
      <c r="U109">
        <v>149.87979999999999</v>
      </c>
      <c r="V109">
        <v>150.89660000000001</v>
      </c>
      <c r="W109">
        <v>150.8629</v>
      </c>
      <c r="X109">
        <v>148.55459999999999</v>
      </c>
      <c r="Y109">
        <v>147.55459999999999</v>
      </c>
      <c r="Z109">
        <v>148.5377</v>
      </c>
      <c r="AA109">
        <v>148.55459999999999</v>
      </c>
      <c r="AB109">
        <v>148.55459999999999</v>
      </c>
      <c r="AC109">
        <v>140.1747</v>
      </c>
      <c r="AD109">
        <v>141.1747</v>
      </c>
      <c r="AE109">
        <v>141.1747</v>
      </c>
      <c r="AF109">
        <v>76.191500000000005</v>
      </c>
      <c r="AG109">
        <v>114.18519999999999</v>
      </c>
      <c r="AH109">
        <v>174.90649999999999</v>
      </c>
      <c r="AI109">
        <v>174.90649999999999</v>
      </c>
      <c r="AJ109">
        <v>173.90649999999999</v>
      </c>
      <c r="AK109">
        <v>4210.3141999999989</v>
      </c>
    </row>
    <row r="110" spans="1:37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19</v>
      </c>
      <c r="B112" s="29" t="s">
        <v>197</v>
      </c>
      <c r="C112">
        <v>1.9E-3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1.9E-3</v>
      </c>
    </row>
    <row r="113" spans="1:37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19</v>
      </c>
      <c r="B114" s="29" t="s">
        <v>199</v>
      </c>
      <c r="C114">
        <v>0</v>
      </c>
      <c r="D114">
        <v>0</v>
      </c>
      <c r="E114">
        <v>1E-3</v>
      </c>
      <c r="F114">
        <v>0</v>
      </c>
      <c r="G114">
        <v>1E-3</v>
      </c>
      <c r="H114">
        <v>1E-4</v>
      </c>
      <c r="I114">
        <v>1E-3</v>
      </c>
      <c r="J114">
        <v>1E-3</v>
      </c>
      <c r="K114">
        <v>0</v>
      </c>
      <c r="L114">
        <v>1.1000000000000001E-3</v>
      </c>
      <c r="M114">
        <v>1.4E-3</v>
      </c>
      <c r="N114">
        <v>5.9999999999999995E-4</v>
      </c>
      <c r="O114">
        <v>0</v>
      </c>
      <c r="P114">
        <v>1E-3</v>
      </c>
      <c r="Q114">
        <v>1E-3</v>
      </c>
      <c r="R114">
        <v>1E-3</v>
      </c>
      <c r="S114">
        <v>1E-3</v>
      </c>
      <c r="T114">
        <v>1E-3</v>
      </c>
      <c r="U114">
        <v>1E-3</v>
      </c>
      <c r="V114">
        <v>2E-3</v>
      </c>
      <c r="W114">
        <v>2.8E-3</v>
      </c>
      <c r="X114">
        <v>1E-3</v>
      </c>
      <c r="Y114">
        <v>3.0000000000000001E-3</v>
      </c>
      <c r="Z114">
        <v>2E-3</v>
      </c>
      <c r="AA114">
        <v>2E-3</v>
      </c>
      <c r="AB114">
        <v>2.0999999999999999E-3</v>
      </c>
      <c r="AC114">
        <v>3.0000000000000001E-3</v>
      </c>
      <c r="AD114">
        <v>3.0000000000000001E-3</v>
      </c>
      <c r="AE114">
        <v>2E-3</v>
      </c>
      <c r="AF114">
        <v>3.0999999999999999E-3</v>
      </c>
      <c r="AG114">
        <v>3.3999999999999998E-3</v>
      </c>
      <c r="AH114">
        <v>3.5999999999999999E-3</v>
      </c>
      <c r="AI114">
        <v>2E-3</v>
      </c>
      <c r="AJ114">
        <v>4.0000000000000001E-3</v>
      </c>
      <c r="AK114">
        <v>5.220000000000001E-2</v>
      </c>
    </row>
    <row r="115" spans="1:37">
      <c r="A115" t="s">
        <v>19</v>
      </c>
      <c r="B115" s="29" t="s">
        <v>200</v>
      </c>
      <c r="C115">
        <v>1.9E-3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1.9E-3</v>
      </c>
    </row>
    <row r="116" spans="1:37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19</v>
      </c>
      <c r="B117" s="29" t="s">
        <v>202</v>
      </c>
      <c r="C117">
        <v>0</v>
      </c>
      <c r="D117">
        <v>0</v>
      </c>
      <c r="E117">
        <v>1E-3</v>
      </c>
      <c r="F117">
        <v>0</v>
      </c>
      <c r="G117">
        <v>1E-3</v>
      </c>
      <c r="H117">
        <v>1E-4</v>
      </c>
      <c r="I117">
        <v>1E-3</v>
      </c>
      <c r="J117">
        <v>0</v>
      </c>
      <c r="K117">
        <v>1E-3</v>
      </c>
      <c r="L117">
        <v>1E-4</v>
      </c>
      <c r="M117">
        <v>1.4E-3</v>
      </c>
      <c r="N117">
        <v>5.9999999999999995E-4</v>
      </c>
      <c r="O117">
        <v>0</v>
      </c>
      <c r="P117">
        <v>1E-3</v>
      </c>
      <c r="Q117">
        <v>1E-3</v>
      </c>
      <c r="R117">
        <v>1E-3</v>
      </c>
      <c r="S117">
        <v>1E-3</v>
      </c>
      <c r="T117">
        <v>1E-3</v>
      </c>
      <c r="U117">
        <v>1E-3</v>
      </c>
      <c r="V117">
        <v>1E-3</v>
      </c>
      <c r="W117">
        <v>2.8E-3</v>
      </c>
      <c r="X117">
        <v>2E-3</v>
      </c>
      <c r="Y117">
        <v>2E-3</v>
      </c>
      <c r="Z117">
        <v>1E-3</v>
      </c>
      <c r="AA117">
        <v>3.0000000000000001E-3</v>
      </c>
      <c r="AB117">
        <v>1.1000000000000001E-3</v>
      </c>
      <c r="AC117">
        <v>3.0000000000000001E-3</v>
      </c>
      <c r="AD117">
        <v>2E-3</v>
      </c>
      <c r="AE117">
        <v>3.0000000000000001E-3</v>
      </c>
      <c r="AF117">
        <v>2.0999999999999999E-3</v>
      </c>
      <c r="AG117">
        <v>3.3999999999999998E-3</v>
      </c>
      <c r="AH117">
        <v>2.5999999999999999E-3</v>
      </c>
      <c r="AI117">
        <v>2E-3</v>
      </c>
      <c r="AJ117">
        <v>4.0000000000000001E-3</v>
      </c>
      <c r="AK117">
        <v>4.7200000000000006E-2</v>
      </c>
    </row>
    <row r="118" spans="1:37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 t="s">
        <v>19</v>
      </c>
      <c r="B119" s="29" t="s">
        <v>204</v>
      </c>
      <c r="C119">
        <v>0</v>
      </c>
      <c r="D119">
        <v>524.06920000000002</v>
      </c>
      <c r="E119">
        <v>524.19989999999996</v>
      </c>
      <c r="F119">
        <v>524.18989999999997</v>
      </c>
      <c r="G119">
        <v>524.18989999999997</v>
      </c>
      <c r="H119">
        <v>524.18989999999997</v>
      </c>
      <c r="I119">
        <v>568.0299</v>
      </c>
      <c r="J119">
        <v>569.0299</v>
      </c>
      <c r="K119">
        <v>569.0299</v>
      </c>
      <c r="L119">
        <v>569.0299</v>
      </c>
      <c r="M119">
        <v>569.01990000000001</v>
      </c>
      <c r="N119">
        <v>594.47990000000004</v>
      </c>
      <c r="O119">
        <v>594.46990000000005</v>
      </c>
      <c r="P119">
        <v>594.47990000000004</v>
      </c>
      <c r="Q119">
        <v>593.46990000000005</v>
      </c>
      <c r="R119">
        <v>594.46990000000005</v>
      </c>
      <c r="S119">
        <v>628.72990000000004</v>
      </c>
      <c r="T119">
        <v>628.71990000000005</v>
      </c>
      <c r="U119">
        <v>628.71990000000005</v>
      </c>
      <c r="V119">
        <v>819.44979999999998</v>
      </c>
      <c r="W119">
        <v>0</v>
      </c>
      <c r="X119">
        <v>965.67909999999995</v>
      </c>
      <c r="Y119">
        <v>965.81979999999999</v>
      </c>
      <c r="Z119">
        <v>965.7998</v>
      </c>
      <c r="AA119">
        <v>965.7998</v>
      </c>
      <c r="AB119">
        <v>965.8098</v>
      </c>
      <c r="AC119">
        <v>1039.2698</v>
      </c>
      <c r="AD119">
        <v>1040.2598</v>
      </c>
      <c r="AE119">
        <v>1040.2698</v>
      </c>
      <c r="AF119">
        <v>2080.5297</v>
      </c>
      <c r="AG119">
        <v>0</v>
      </c>
      <c r="AH119">
        <v>1086.5798</v>
      </c>
      <c r="AI119">
        <v>1086.5798</v>
      </c>
      <c r="AJ119">
        <v>1086.5798</v>
      </c>
      <c r="AK119">
        <v>24430.944100000001</v>
      </c>
    </row>
    <row r="120" spans="1:37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19</v>
      </c>
      <c r="B122" s="29" t="s">
        <v>207</v>
      </c>
      <c r="C122">
        <v>4.8125</v>
      </c>
      <c r="D122">
        <v>12.5375</v>
      </c>
      <c r="E122">
        <v>12.5375</v>
      </c>
      <c r="F122">
        <v>12.5375</v>
      </c>
      <c r="G122">
        <v>12.5375</v>
      </c>
      <c r="H122">
        <v>12.5375</v>
      </c>
      <c r="I122">
        <v>13.824999999999999</v>
      </c>
      <c r="J122">
        <v>12.8125</v>
      </c>
      <c r="K122">
        <v>13.8125</v>
      </c>
      <c r="L122">
        <v>13.8125</v>
      </c>
      <c r="M122">
        <v>13.8125</v>
      </c>
      <c r="N122">
        <v>15.175000000000001</v>
      </c>
      <c r="O122">
        <v>15.1625</v>
      </c>
      <c r="P122">
        <v>15.1625</v>
      </c>
      <c r="Q122">
        <v>8.1624999999999996</v>
      </c>
      <c r="R122">
        <v>12.987500000000001</v>
      </c>
      <c r="S122">
        <v>22.512499999999999</v>
      </c>
      <c r="T122">
        <v>22.5</v>
      </c>
      <c r="U122">
        <v>22.512499999999999</v>
      </c>
      <c r="V122">
        <v>22.512499999999999</v>
      </c>
      <c r="W122">
        <v>22.512499999999999</v>
      </c>
      <c r="X122">
        <v>25.4375</v>
      </c>
      <c r="Y122">
        <v>24.425000000000001</v>
      </c>
      <c r="Z122">
        <v>25.425000000000001</v>
      </c>
      <c r="AA122">
        <v>25.425000000000001</v>
      </c>
      <c r="AB122">
        <v>25.425000000000001</v>
      </c>
      <c r="AC122">
        <v>27.8125</v>
      </c>
      <c r="AD122">
        <v>27.8</v>
      </c>
      <c r="AE122">
        <v>27.8125</v>
      </c>
      <c r="AF122">
        <v>20.8</v>
      </c>
      <c r="AG122">
        <v>25.637499999999999</v>
      </c>
      <c r="AH122">
        <v>35.274999999999999</v>
      </c>
      <c r="AI122">
        <v>35.274999999999999</v>
      </c>
      <c r="AJ122">
        <v>35.287500000000001</v>
      </c>
      <c r="AK122">
        <v>676.61250000000007</v>
      </c>
    </row>
    <row r="123" spans="1:37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19</v>
      </c>
      <c r="B127" s="29" t="s">
        <v>212</v>
      </c>
      <c r="C127">
        <v>0</v>
      </c>
      <c r="D127">
        <v>107.7105</v>
      </c>
      <c r="E127">
        <v>108.7531</v>
      </c>
      <c r="F127">
        <v>107.71729999999999</v>
      </c>
      <c r="G127">
        <v>108.71729999999999</v>
      </c>
      <c r="H127">
        <v>107.71729999999999</v>
      </c>
      <c r="I127">
        <v>119.4927</v>
      </c>
      <c r="J127">
        <v>119.4927</v>
      </c>
      <c r="K127">
        <v>118.52849999999999</v>
      </c>
      <c r="L127">
        <v>119.4927</v>
      </c>
      <c r="M127">
        <v>118.4927</v>
      </c>
      <c r="N127">
        <v>130.8767</v>
      </c>
      <c r="O127">
        <v>129.91249999999999</v>
      </c>
      <c r="P127">
        <v>130.91249999999999</v>
      </c>
      <c r="Q127">
        <v>68.912499999999994</v>
      </c>
      <c r="R127">
        <v>68.8767</v>
      </c>
      <c r="S127">
        <v>191.8732</v>
      </c>
      <c r="T127">
        <v>192.88</v>
      </c>
      <c r="U127">
        <v>191.88</v>
      </c>
      <c r="V127">
        <v>192.8442</v>
      </c>
      <c r="W127">
        <v>191.88</v>
      </c>
      <c r="X127">
        <v>217.47370000000001</v>
      </c>
      <c r="Y127">
        <v>217.43790000000001</v>
      </c>
      <c r="Z127">
        <v>216.5095</v>
      </c>
      <c r="AA127">
        <v>217.47370000000001</v>
      </c>
      <c r="AB127">
        <v>216.47370000000001</v>
      </c>
      <c r="AC127">
        <v>237.52099999999999</v>
      </c>
      <c r="AD127">
        <v>236.5926</v>
      </c>
      <c r="AE127">
        <v>237.5926</v>
      </c>
      <c r="AF127">
        <v>175.5926</v>
      </c>
      <c r="AG127">
        <v>175.52099999999999</v>
      </c>
      <c r="AH127">
        <v>299.66309999999999</v>
      </c>
      <c r="AI127">
        <v>300.63400000000001</v>
      </c>
      <c r="AJ127">
        <v>299.63400000000001</v>
      </c>
      <c r="AK127">
        <v>5675.0824999999995</v>
      </c>
    </row>
    <row r="128" spans="1:37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19</v>
      </c>
      <c r="B132" s="29" t="s">
        <v>217</v>
      </c>
      <c r="C132">
        <v>0</v>
      </c>
      <c r="D132">
        <v>14.422700000000001</v>
      </c>
      <c r="E132">
        <v>15.4236</v>
      </c>
      <c r="F132">
        <v>14.4236</v>
      </c>
      <c r="G132">
        <v>15.4236</v>
      </c>
      <c r="H132">
        <v>14.4236</v>
      </c>
      <c r="I132">
        <v>16.915099999999999</v>
      </c>
      <c r="J132">
        <v>15.9003</v>
      </c>
      <c r="K132">
        <v>16.915099999999999</v>
      </c>
      <c r="L132">
        <v>15.9003</v>
      </c>
      <c r="M132">
        <v>16.900300000000001</v>
      </c>
      <c r="N132">
        <v>17.480399999999999</v>
      </c>
      <c r="O132">
        <v>18.465599999999998</v>
      </c>
      <c r="P132">
        <v>17.480399999999999</v>
      </c>
      <c r="Q132">
        <v>9.4803999999999995</v>
      </c>
      <c r="R132">
        <v>9.4656000000000002</v>
      </c>
      <c r="S132">
        <v>26</v>
      </c>
      <c r="T132">
        <v>26.9862</v>
      </c>
      <c r="U132">
        <v>26.000900000000001</v>
      </c>
      <c r="V132">
        <v>26.9862</v>
      </c>
      <c r="W132">
        <v>26.000900000000001</v>
      </c>
      <c r="X132">
        <v>30.3826</v>
      </c>
      <c r="Y132">
        <v>29.367799999999999</v>
      </c>
      <c r="Z132">
        <v>30.3826</v>
      </c>
      <c r="AA132">
        <v>29.3826</v>
      </c>
      <c r="AB132">
        <v>30.367799999999999</v>
      </c>
      <c r="AC132">
        <v>32.143999999999998</v>
      </c>
      <c r="AD132">
        <v>33.129199999999997</v>
      </c>
      <c r="AE132">
        <v>32.158700000000003</v>
      </c>
      <c r="AF132">
        <v>24.143999999999998</v>
      </c>
      <c r="AG132">
        <v>24.129200000000001</v>
      </c>
      <c r="AH132">
        <v>40.826000000000001</v>
      </c>
      <c r="AI132">
        <v>41.797400000000003</v>
      </c>
      <c r="AJ132">
        <v>40.812199999999997</v>
      </c>
      <c r="AK132">
        <v>780.01889999999992</v>
      </c>
    </row>
    <row r="133" spans="1:37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B135" s="29" t="s">
        <v>228</v>
      </c>
    </row>
    <row r="142" spans="1:37">
      <c r="AC142" s="15"/>
    </row>
    <row r="161" spans="3:32">
      <c r="C161" s="15"/>
      <c r="D161" s="15"/>
      <c r="AF161" s="15"/>
    </row>
    <row r="162" spans="3:32">
      <c r="C162" s="15"/>
    </row>
    <row r="163" spans="3:32">
      <c r="V163" s="15"/>
      <c r="Z163" s="15"/>
    </row>
    <row r="164" spans="3:32">
      <c r="V164" s="15"/>
      <c r="Z164" s="15"/>
    </row>
    <row r="232" spans="9:10">
      <c r="I232" s="15"/>
      <c r="J232" s="15"/>
    </row>
    <row r="233" spans="9:10">
      <c r="I233" s="15"/>
    </row>
    <row r="242" spans="4:11">
      <c r="J242" s="15"/>
    </row>
    <row r="243" spans="4:11">
      <c r="K243" s="15"/>
    </row>
    <row r="244" spans="4:11">
      <c r="D244" s="15"/>
      <c r="K244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6DF8-0254-49B0-A331-6B176308BF9E}">
  <dimension ref="A1:AJ60"/>
  <sheetViews>
    <sheetView workbookViewId="0">
      <selection sqref="A1:A60"/>
    </sheetView>
  </sheetViews>
  <sheetFormatPr defaultRowHeight="14.4"/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A2" t="s">
        <v>19</v>
      </c>
      <c r="B2" s="29" t="s">
        <v>89</v>
      </c>
      <c r="C2">
        <v>9.2937999999999992</v>
      </c>
      <c r="D2">
        <v>9.5034000000000027</v>
      </c>
      <c r="E2">
        <v>9.712299999999999</v>
      </c>
      <c r="F2">
        <v>9.9216999999999995</v>
      </c>
      <c r="G2">
        <v>10.1309</v>
      </c>
      <c r="H2">
        <v>10.340199999999998</v>
      </c>
      <c r="I2">
        <v>10.567</v>
      </c>
      <c r="J2">
        <v>10.794</v>
      </c>
      <c r="K2">
        <v>11.0206</v>
      </c>
      <c r="L2">
        <v>11.247799999999998</v>
      </c>
      <c r="M2">
        <v>11.474399999999997</v>
      </c>
      <c r="N2">
        <v>11.732200000000001</v>
      </c>
      <c r="O2">
        <v>11.990300000000001</v>
      </c>
      <c r="P2">
        <v>12.247299999999999</v>
      </c>
      <c r="Q2">
        <v>12.505500000000001</v>
      </c>
      <c r="R2">
        <v>12.763</v>
      </c>
      <c r="S2">
        <v>13.069599999999998</v>
      </c>
      <c r="T2">
        <v>13.376000000000001</v>
      </c>
      <c r="U2">
        <v>13.6828</v>
      </c>
      <c r="V2">
        <v>13.9894</v>
      </c>
      <c r="W2">
        <v>14.295699999999997</v>
      </c>
      <c r="X2">
        <v>11.297100000000002</v>
      </c>
      <c r="Y2">
        <v>10.415299999999997</v>
      </c>
      <c r="Z2">
        <v>9.5967000000000002</v>
      </c>
      <c r="AA2">
        <v>8.8376000000000001</v>
      </c>
      <c r="AB2">
        <v>8.1340000000000003</v>
      </c>
      <c r="AC2">
        <v>7.5060000000000002</v>
      </c>
      <c r="AD2">
        <v>6.9222999999999999</v>
      </c>
      <c r="AE2">
        <v>6.38</v>
      </c>
      <c r="AF2">
        <v>5.8771000000000022</v>
      </c>
      <c r="AG2">
        <v>18.114900000000006</v>
      </c>
      <c r="AH2">
        <v>18.561999999999998</v>
      </c>
      <c r="AI2">
        <v>19.010000000000002</v>
      </c>
      <c r="AJ2">
        <v>19.457000000000001</v>
      </c>
    </row>
    <row r="3" spans="1:36">
      <c r="A3" t="s">
        <v>19</v>
      </c>
      <c r="B3" s="29" t="s">
        <v>90</v>
      </c>
      <c r="C3">
        <v>0.13900000000000007</v>
      </c>
      <c r="W3">
        <v>9.7999999999999997E-3</v>
      </c>
    </row>
    <row r="4" spans="1:36">
      <c r="A4" t="s">
        <v>19</v>
      </c>
      <c r="B4" s="29" t="s">
        <v>96</v>
      </c>
      <c r="C4">
        <v>19.732799999999994</v>
      </c>
      <c r="D4">
        <v>20.177099999999999</v>
      </c>
      <c r="E4">
        <v>20.621699999999997</v>
      </c>
      <c r="F4">
        <v>21.0655</v>
      </c>
      <c r="G4">
        <v>21.509499999999999</v>
      </c>
      <c r="H4">
        <v>21.954100000000004</v>
      </c>
      <c r="I4">
        <v>22.435800000000004</v>
      </c>
      <c r="J4">
        <v>22.917099999999998</v>
      </c>
      <c r="K4">
        <v>23.399000000000001</v>
      </c>
      <c r="L4">
        <v>23.880399999999998</v>
      </c>
      <c r="M4">
        <v>24.361899999999991</v>
      </c>
      <c r="N4">
        <v>24.909000000000002</v>
      </c>
      <c r="O4">
        <v>25.456200000000003</v>
      </c>
      <c r="P4">
        <v>26.003499999999999</v>
      </c>
      <c r="Q4">
        <v>26.550600000000003</v>
      </c>
      <c r="R4">
        <v>27.097899999999999</v>
      </c>
      <c r="S4">
        <v>27.749399999999994</v>
      </c>
      <c r="T4">
        <v>28.400100000000002</v>
      </c>
      <c r="U4">
        <v>29.050999999999995</v>
      </c>
      <c r="V4">
        <v>29.701799999999999</v>
      </c>
      <c r="W4">
        <v>30.352699999999999</v>
      </c>
      <c r="X4">
        <v>31.110700000000001</v>
      </c>
      <c r="Y4">
        <v>31.868300000000001</v>
      </c>
      <c r="Z4">
        <v>32.625699999999995</v>
      </c>
      <c r="AA4">
        <v>33.383700000000005</v>
      </c>
      <c r="AB4">
        <v>34.141199999999998</v>
      </c>
      <c r="AC4">
        <v>35.004899999999999</v>
      </c>
      <c r="AD4">
        <v>35.869500000000009</v>
      </c>
      <c r="AE4">
        <v>36.733099999999993</v>
      </c>
      <c r="AF4">
        <v>37.597400000000007</v>
      </c>
      <c r="AG4">
        <v>38.461500000000001</v>
      </c>
      <c r="AH4">
        <v>39.411200000000001</v>
      </c>
      <c r="AI4">
        <v>40.360900000000001</v>
      </c>
      <c r="AJ4">
        <v>41.3108</v>
      </c>
    </row>
    <row r="5" spans="1:36">
      <c r="A5" t="s">
        <v>19</v>
      </c>
      <c r="B5" s="29" t="s">
        <v>97</v>
      </c>
      <c r="C5">
        <v>18.160700000000002</v>
      </c>
      <c r="D5">
        <v>18.57</v>
      </c>
      <c r="E5">
        <v>18.978000000000005</v>
      </c>
      <c r="F5">
        <v>19.387700000000002</v>
      </c>
      <c r="G5">
        <v>19.795699999999997</v>
      </c>
      <c r="H5">
        <v>20.205100000000005</v>
      </c>
      <c r="I5">
        <v>20.6478</v>
      </c>
      <c r="J5">
        <v>21.091700000000003</v>
      </c>
      <c r="K5">
        <v>21.534600000000008</v>
      </c>
      <c r="L5">
        <v>21.978000000000005</v>
      </c>
      <c r="M5">
        <v>22.421600000000002</v>
      </c>
      <c r="N5">
        <v>22.924900000000004</v>
      </c>
      <c r="O5">
        <v>23.429200000000002</v>
      </c>
      <c r="P5">
        <v>23.932099999999998</v>
      </c>
      <c r="Q5">
        <v>24.435899999999993</v>
      </c>
      <c r="R5">
        <v>24.939299999999992</v>
      </c>
      <c r="S5">
        <v>25.538399999999992</v>
      </c>
      <c r="T5">
        <v>26.136799999999987</v>
      </c>
      <c r="U5">
        <v>26.736500000000003</v>
      </c>
      <c r="V5">
        <v>27.335799999999999</v>
      </c>
      <c r="W5">
        <v>27.934600000000014</v>
      </c>
      <c r="X5">
        <v>23.780899999999995</v>
      </c>
      <c r="Y5">
        <v>21.924599999999995</v>
      </c>
      <c r="Z5">
        <v>20.2013</v>
      </c>
      <c r="AA5">
        <v>18.604000000000006</v>
      </c>
      <c r="AB5">
        <v>17.122699999999998</v>
      </c>
      <c r="AC5">
        <v>15.800800000000001</v>
      </c>
      <c r="AD5">
        <v>14.571399999999999</v>
      </c>
      <c r="AE5">
        <v>13.429999999999998</v>
      </c>
      <c r="AF5">
        <v>12.371299999999998</v>
      </c>
      <c r="AG5">
        <v>35.397200000000005</v>
      </c>
      <c r="AH5">
        <v>36.270900000000005</v>
      </c>
      <c r="AI5">
        <v>37.146100000000004</v>
      </c>
      <c r="AJ5">
        <v>38.019600000000004</v>
      </c>
    </row>
    <row r="6" spans="1:36">
      <c r="A6" t="s">
        <v>19</v>
      </c>
      <c r="B6" s="29" t="s">
        <v>98</v>
      </c>
      <c r="H6">
        <v>1.7193000000000001</v>
      </c>
      <c r="J6">
        <v>0.96250000000000002</v>
      </c>
      <c r="M6">
        <v>0.98340000000000005</v>
      </c>
      <c r="O6">
        <v>4.0552999999999999</v>
      </c>
      <c r="Q6">
        <v>1.5131000000000001</v>
      </c>
      <c r="U6">
        <v>1.4782</v>
      </c>
      <c r="X6">
        <v>1.1753</v>
      </c>
      <c r="Y6">
        <v>1.2927999999999999</v>
      </c>
      <c r="Z6">
        <v>0.55159999999999998</v>
      </c>
      <c r="AA6">
        <v>4.4322999999999997</v>
      </c>
      <c r="AD6">
        <v>6.1326000000000001</v>
      </c>
      <c r="AG6">
        <v>1.3713</v>
      </c>
    </row>
    <row r="7" spans="1:36">
      <c r="A7" t="s">
        <v>19</v>
      </c>
      <c r="B7" s="29" t="s">
        <v>99</v>
      </c>
      <c r="C7">
        <v>19.62</v>
      </c>
      <c r="D7">
        <v>20.369999999999997</v>
      </c>
      <c r="E7">
        <v>21.148000000000003</v>
      </c>
      <c r="F7">
        <v>21.955000000000002</v>
      </c>
      <c r="G7">
        <v>22.793999999999997</v>
      </c>
      <c r="H7">
        <v>21.945899999999998</v>
      </c>
      <c r="I7">
        <v>24.567999999999998</v>
      </c>
      <c r="J7">
        <v>24.543500000000002</v>
      </c>
      <c r="K7">
        <v>26.478899999999999</v>
      </c>
      <c r="L7">
        <v>27.489000000000001</v>
      </c>
      <c r="M7">
        <v>27.552599999999998</v>
      </c>
      <c r="N7">
        <v>29.621899999999997</v>
      </c>
      <c r="O7">
        <v>26.6937</v>
      </c>
      <c r="P7">
        <v>31.916999999999998</v>
      </c>
      <c r="Q7">
        <v>31.614899999999999</v>
      </c>
      <c r="R7">
        <v>34.383000000000003</v>
      </c>
      <c r="S7">
        <v>35.684899999999999</v>
      </c>
      <c r="T7">
        <v>37.033000000000001</v>
      </c>
      <c r="U7">
        <v>36.951699999999995</v>
      </c>
      <c r="V7">
        <v>39.878100000000003</v>
      </c>
      <c r="W7">
        <v>41.377000000000002</v>
      </c>
      <c r="X7">
        <v>41.7547</v>
      </c>
      <c r="Y7">
        <v>43.246299999999998</v>
      </c>
      <c r="Z7">
        <v>45.652500000000003</v>
      </c>
      <c r="AA7">
        <v>43.494700000000002</v>
      </c>
      <c r="AB7">
        <v>49.710999999999999</v>
      </c>
      <c r="AC7">
        <v>51.556000000000004</v>
      </c>
      <c r="AD7">
        <v>47.3324</v>
      </c>
      <c r="AE7">
        <v>55.439</v>
      </c>
      <c r="AF7">
        <v>57.481299999999997</v>
      </c>
      <c r="AG7">
        <v>58.220600000000005</v>
      </c>
      <c r="AH7">
        <v>61.772900000000007</v>
      </c>
      <c r="AI7">
        <v>64.027900000000002</v>
      </c>
      <c r="AJ7">
        <v>66.358999999999995</v>
      </c>
    </row>
    <row r="8" spans="1:36">
      <c r="A8" t="s">
        <v>19</v>
      </c>
      <c r="B8" s="29" t="s">
        <v>100</v>
      </c>
      <c r="C8">
        <v>2.1732000000000005</v>
      </c>
      <c r="D8">
        <v>4.9309000000000021</v>
      </c>
      <c r="E8">
        <v>3.0309000000000004</v>
      </c>
      <c r="F8">
        <v>3.0579000000000005</v>
      </c>
      <c r="G8">
        <v>4.9516999999999998</v>
      </c>
      <c r="H8">
        <v>3.2403</v>
      </c>
      <c r="I8">
        <v>4.3323999999999998</v>
      </c>
      <c r="J8">
        <v>4.0128000000000004</v>
      </c>
      <c r="K8">
        <v>4.9836999999999998</v>
      </c>
      <c r="L8">
        <v>4.9923000000000002</v>
      </c>
      <c r="M8">
        <v>4.0175999999999998</v>
      </c>
      <c r="N8">
        <v>5.0106999999999999</v>
      </c>
      <c r="O8">
        <v>0.96520000000000006</v>
      </c>
      <c r="P8">
        <v>5.0305</v>
      </c>
      <c r="Q8">
        <v>3.5280999999999998</v>
      </c>
      <c r="R8">
        <v>5.1151000000000009</v>
      </c>
      <c r="S8">
        <v>5.4212000000000016</v>
      </c>
      <c r="T8">
        <v>5.7324000000000002</v>
      </c>
      <c r="U8">
        <v>4.5695999999999994</v>
      </c>
      <c r="V8">
        <v>6.3675000000000006</v>
      </c>
      <c r="W8">
        <v>6.2483000000000013</v>
      </c>
      <c r="X8">
        <v>5.3606999999999996</v>
      </c>
      <c r="Y8">
        <v>5.555299999999999</v>
      </c>
      <c r="Z8">
        <v>6.6182000000000007</v>
      </c>
      <c r="AA8">
        <v>3.0486999999999997</v>
      </c>
      <c r="AB8">
        <v>7.8032000000000004</v>
      </c>
      <c r="AC8">
        <v>8.1359999999999992</v>
      </c>
      <c r="AD8">
        <v>2.3394000000000004</v>
      </c>
      <c r="AE8">
        <v>8.7741000000000007</v>
      </c>
      <c r="AF8">
        <v>9.1297999999999995</v>
      </c>
      <c r="AG8">
        <v>7.9424000000000019</v>
      </c>
      <c r="AH8">
        <v>9.664299999999999</v>
      </c>
      <c r="AI8">
        <v>10.0175</v>
      </c>
      <c r="AJ8">
        <v>10.383199999999999</v>
      </c>
    </row>
    <row r="9" spans="1:36">
      <c r="A9" t="s">
        <v>19</v>
      </c>
      <c r="B9" s="29" t="s">
        <v>101</v>
      </c>
      <c r="C9">
        <v>20.248400000000004</v>
      </c>
      <c r="D9">
        <v>17.310600000000001</v>
      </c>
      <c r="E9">
        <v>21.089199999999995</v>
      </c>
      <c r="F9">
        <v>20.287699999999997</v>
      </c>
      <c r="G9">
        <v>19.777100000000004</v>
      </c>
      <c r="H9">
        <v>13.3895</v>
      </c>
      <c r="I9">
        <v>12.1067</v>
      </c>
      <c r="J9">
        <v>12.2279</v>
      </c>
      <c r="K9">
        <v>11.0311</v>
      </c>
      <c r="L9">
        <v>11.725600000000002</v>
      </c>
      <c r="M9">
        <v>11.010499999999999</v>
      </c>
      <c r="N9">
        <v>11.339700000000001</v>
      </c>
      <c r="O9">
        <v>17.102399999999999</v>
      </c>
      <c r="P9">
        <v>14.392799999999999</v>
      </c>
      <c r="Q9">
        <v>17.2468</v>
      </c>
      <c r="R9">
        <v>16.483399999999996</v>
      </c>
      <c r="S9">
        <v>17.829000000000001</v>
      </c>
      <c r="T9">
        <v>19.169699999999999</v>
      </c>
      <c r="U9">
        <v>21.979800000000001</v>
      </c>
      <c r="V9">
        <v>21.819499999999994</v>
      </c>
      <c r="W9">
        <v>19.336400000000001</v>
      </c>
      <c r="X9">
        <v>21.453799999999994</v>
      </c>
      <c r="Y9">
        <v>22.664999999999999</v>
      </c>
      <c r="Z9">
        <v>23.049399999999999</v>
      </c>
      <c r="AA9">
        <v>27.91</v>
      </c>
      <c r="AB9">
        <v>24.488500000000005</v>
      </c>
      <c r="AC9">
        <v>25.526999999999994</v>
      </c>
      <c r="AD9">
        <v>32.671299999999995</v>
      </c>
      <c r="AE9">
        <v>27.191499999999994</v>
      </c>
      <c r="AF9">
        <v>28.237999999999996</v>
      </c>
      <c r="AG9">
        <v>29.121000000000002</v>
      </c>
      <c r="AH9">
        <v>28.619000000000003</v>
      </c>
      <c r="AI9">
        <v>29.437400000000004</v>
      </c>
      <c r="AJ9">
        <v>30.2882</v>
      </c>
    </row>
    <row r="10" spans="1:36">
      <c r="A10" t="s">
        <v>19</v>
      </c>
      <c r="B10" s="29" t="s">
        <v>102</v>
      </c>
      <c r="C10">
        <v>236.71980000000002</v>
      </c>
    </row>
    <row r="11" spans="1:36">
      <c r="A11" t="s">
        <v>19</v>
      </c>
      <c r="B11" s="29" t="s">
        <v>103</v>
      </c>
      <c r="D11">
        <v>240.41520000000003</v>
      </c>
      <c r="E11">
        <v>244.10820000000007</v>
      </c>
      <c r="F11">
        <v>247.80360000000002</v>
      </c>
      <c r="G11">
        <v>251.61120000000017</v>
      </c>
      <c r="H11">
        <v>258.50280000000009</v>
      </c>
      <c r="I11">
        <v>262.00380000000001</v>
      </c>
      <c r="J11">
        <v>265.49339999999995</v>
      </c>
      <c r="K11">
        <v>268.94579999999979</v>
      </c>
      <c r="L11">
        <v>272.48039999999992</v>
      </c>
      <c r="M11">
        <v>275.98080000000004</v>
      </c>
      <c r="N11">
        <v>279.20700000000005</v>
      </c>
      <c r="O11">
        <v>281.63400000000013</v>
      </c>
      <c r="P11">
        <v>284.86620000000005</v>
      </c>
      <c r="Q11">
        <v>288.03000000000003</v>
      </c>
      <c r="R11">
        <v>299.97359999999998</v>
      </c>
      <c r="S11">
        <v>302.83140000000003</v>
      </c>
      <c r="T11">
        <v>305.68859999999989</v>
      </c>
      <c r="U11">
        <v>308.54880000000003</v>
      </c>
      <c r="V11">
        <v>311.40540000000016</v>
      </c>
      <c r="W11">
        <v>314.26500000000021</v>
      </c>
      <c r="X11">
        <v>316.80419999999987</v>
      </c>
      <c r="Y11">
        <v>319.34160000000008</v>
      </c>
      <c r="Z11">
        <v>321.88199999999995</v>
      </c>
      <c r="AA11">
        <v>324.42119999999994</v>
      </c>
      <c r="AB11">
        <v>326.96040000000005</v>
      </c>
      <c r="AC11">
        <v>329.1576</v>
      </c>
      <c r="AD11">
        <v>331.35480000000013</v>
      </c>
      <c r="AE11">
        <v>333.55260000000027</v>
      </c>
      <c r="AF11">
        <v>335.74980000000022</v>
      </c>
      <c r="AG11">
        <v>337.94699999999995</v>
      </c>
      <c r="AH11">
        <v>339.8424</v>
      </c>
      <c r="AI11">
        <v>341.73779999999977</v>
      </c>
      <c r="AJ11">
        <v>343.63319999999999</v>
      </c>
    </row>
    <row r="12" spans="1:36">
      <c r="A12" t="s">
        <v>19</v>
      </c>
      <c r="B12" s="29" t="s">
        <v>104</v>
      </c>
      <c r="C12">
        <v>12.345600000000005</v>
      </c>
      <c r="D12">
        <v>12.250199999999987</v>
      </c>
      <c r="E12">
        <v>12.156599999999996</v>
      </c>
      <c r="F12">
        <v>12.061199999999996</v>
      </c>
      <c r="G12">
        <v>11.855399999999994</v>
      </c>
      <c r="H12">
        <v>8.564899999999998</v>
      </c>
      <c r="I12">
        <v>8.4863999999999997</v>
      </c>
      <c r="J12">
        <v>8.4198999999999984</v>
      </c>
      <c r="K12">
        <v>8.388799999999998</v>
      </c>
      <c r="L12">
        <v>8.2778999999999971</v>
      </c>
      <c r="M12">
        <v>8.2006999999999994</v>
      </c>
      <c r="N12">
        <v>8.1322999999999972</v>
      </c>
      <c r="O12">
        <v>8.8638000000000048</v>
      </c>
      <c r="P12">
        <v>8.7900000000000045</v>
      </c>
      <c r="Q12">
        <v>8.7840000000000025</v>
      </c>
    </row>
    <row r="13" spans="1:36">
      <c r="A13" t="s">
        <v>19</v>
      </c>
      <c r="B13" s="29" t="s">
        <v>107</v>
      </c>
      <c r="C13">
        <v>111.10479999999998</v>
      </c>
      <c r="D13">
        <v>119.17769999999999</v>
      </c>
      <c r="E13">
        <v>127.2505</v>
      </c>
      <c r="F13">
        <v>135.3235</v>
      </c>
      <c r="G13">
        <v>143.39609999999999</v>
      </c>
      <c r="H13">
        <v>151.46880000000002</v>
      </c>
      <c r="I13">
        <v>161.46510000000001</v>
      </c>
      <c r="J13">
        <v>171.46129999999999</v>
      </c>
      <c r="K13">
        <v>181.45749999999995</v>
      </c>
      <c r="L13">
        <v>191.45339999999999</v>
      </c>
      <c r="M13">
        <v>201.45000000000007</v>
      </c>
      <c r="N13">
        <v>213.1986</v>
      </c>
      <c r="O13">
        <v>224.94749999999999</v>
      </c>
      <c r="P13">
        <v>236.69640000000001</v>
      </c>
      <c r="Q13">
        <v>248.44519999999997</v>
      </c>
      <c r="R13">
        <v>260.19389999999999</v>
      </c>
      <c r="S13">
        <v>274.01189999999997</v>
      </c>
      <c r="T13">
        <v>287.82959999999997</v>
      </c>
      <c r="U13">
        <v>301.64779999999996</v>
      </c>
      <c r="V13">
        <v>315.46569999999997</v>
      </c>
      <c r="W13">
        <v>329.28370000000001</v>
      </c>
      <c r="X13">
        <v>344.13319999999999</v>
      </c>
      <c r="Y13">
        <v>358.98300000000006</v>
      </c>
      <c r="Z13">
        <v>373.83240000000001</v>
      </c>
      <c r="AA13">
        <v>388.68179999999995</v>
      </c>
      <c r="AB13">
        <v>403.53149999999994</v>
      </c>
      <c r="AC13">
        <v>417.66400000000004</v>
      </c>
      <c r="AD13">
        <v>431.79649999999992</v>
      </c>
      <c r="AE13">
        <v>445.92899999999997</v>
      </c>
      <c r="AF13">
        <v>460.06119999999999</v>
      </c>
      <c r="AG13">
        <v>474.19370000000009</v>
      </c>
      <c r="AH13">
        <v>485.83350000000013</v>
      </c>
      <c r="AI13">
        <v>497.47350000000012</v>
      </c>
      <c r="AJ13">
        <v>509.11349999999993</v>
      </c>
    </row>
    <row r="14" spans="1:36">
      <c r="A14" t="s">
        <v>19</v>
      </c>
      <c r="B14" s="29" t="s">
        <v>108</v>
      </c>
      <c r="C14">
        <v>16.885799999999996</v>
      </c>
    </row>
    <row r="15" spans="1:36">
      <c r="A15" t="s">
        <v>19</v>
      </c>
      <c r="B15" s="29" t="s">
        <v>110</v>
      </c>
      <c r="C15">
        <v>41.364599999999989</v>
      </c>
      <c r="D15">
        <v>119.18999999999994</v>
      </c>
      <c r="E15">
        <v>121.80119999999999</v>
      </c>
      <c r="F15">
        <v>124.39979999999994</v>
      </c>
      <c r="G15">
        <v>126.98459999999989</v>
      </c>
      <c r="H15">
        <v>129.55860000000001</v>
      </c>
      <c r="I15">
        <v>132.34199999999996</v>
      </c>
      <c r="J15">
        <v>135.11580000000004</v>
      </c>
      <c r="K15">
        <v>137.87820000000002</v>
      </c>
      <c r="L15">
        <v>140.63279999999997</v>
      </c>
      <c r="M15">
        <v>143.9136</v>
      </c>
      <c r="N15">
        <v>146.98200000000003</v>
      </c>
      <c r="O15">
        <v>150.0431999999999</v>
      </c>
      <c r="P15">
        <v>153.10140000000001</v>
      </c>
      <c r="Q15">
        <v>156.15420000000003</v>
      </c>
      <c r="R15">
        <v>159.20459999999997</v>
      </c>
      <c r="S15">
        <v>162.86279999999988</v>
      </c>
      <c r="T15">
        <v>166.52099999999987</v>
      </c>
      <c r="U15">
        <v>170.17679999999996</v>
      </c>
      <c r="V15">
        <v>173.83379999999994</v>
      </c>
      <c r="W15">
        <v>177.3095999999999</v>
      </c>
      <c r="X15">
        <v>181.53660000000011</v>
      </c>
      <c r="Y15">
        <v>185.77380000000011</v>
      </c>
      <c r="Z15">
        <v>190.02179999999987</v>
      </c>
      <c r="AA15">
        <v>194.27820000000003</v>
      </c>
      <c r="AB15">
        <v>198.54540000000011</v>
      </c>
      <c r="AC15">
        <v>203.4353999999999</v>
      </c>
      <c r="AD15">
        <v>208.33439999999987</v>
      </c>
      <c r="AE15">
        <v>213.24060000000006</v>
      </c>
      <c r="AF15">
        <v>218.15040000000002</v>
      </c>
      <c r="AG15">
        <v>222.20699999999994</v>
      </c>
      <c r="AH15">
        <v>227.69579999999991</v>
      </c>
      <c r="AI15">
        <v>233.1828000000001</v>
      </c>
      <c r="AJ15">
        <v>238.67160000000015</v>
      </c>
    </row>
    <row r="16" spans="1:36">
      <c r="A16" t="s">
        <v>19</v>
      </c>
      <c r="B16" s="29" t="s">
        <v>113</v>
      </c>
      <c r="C16">
        <v>0.81119999999999981</v>
      </c>
    </row>
    <row r="17" spans="1:36">
      <c r="A17" t="s">
        <v>19</v>
      </c>
      <c r="B17" s="29" t="s">
        <v>115</v>
      </c>
      <c r="C17">
        <v>54.419999999999995</v>
      </c>
    </row>
    <row r="18" spans="1:36">
      <c r="A18" t="s">
        <v>19</v>
      </c>
      <c r="B18" s="29" t="s">
        <v>116</v>
      </c>
      <c r="C18">
        <v>16.885799999999996</v>
      </c>
      <c r="W18">
        <v>2.0000000000000001E-4</v>
      </c>
      <c r="X18">
        <v>4.0000000000000002E-4</v>
      </c>
      <c r="Y18">
        <v>8.0000000000000004E-4</v>
      </c>
      <c r="Z18">
        <v>8.0000000000000004E-4</v>
      </c>
      <c r="AA18">
        <v>8.0000000000000004E-4</v>
      </c>
    </row>
    <row r="19" spans="1:36">
      <c r="A19" t="s">
        <v>19</v>
      </c>
      <c r="B19" s="29" t="s">
        <v>117</v>
      </c>
      <c r="C19">
        <v>41.364599999999989</v>
      </c>
      <c r="D19">
        <v>118.40939999999999</v>
      </c>
      <c r="E19">
        <v>121.01939999999996</v>
      </c>
      <c r="F19">
        <v>123.61859999999999</v>
      </c>
      <c r="G19">
        <v>126.20339999999995</v>
      </c>
      <c r="H19">
        <v>128.7774</v>
      </c>
      <c r="I19">
        <v>131.56080000000003</v>
      </c>
      <c r="J19">
        <v>134.33460000000005</v>
      </c>
      <c r="K19">
        <v>137.09879999999995</v>
      </c>
      <c r="L19">
        <v>139.85459999999995</v>
      </c>
      <c r="M19">
        <v>143.13119999999992</v>
      </c>
      <c r="N19">
        <v>146.20080000000002</v>
      </c>
      <c r="O19">
        <v>149.26379999999995</v>
      </c>
      <c r="P19">
        <v>152.32140000000007</v>
      </c>
      <c r="Q19">
        <v>155.37539999999998</v>
      </c>
      <c r="R19">
        <v>158.42699999999994</v>
      </c>
      <c r="S19">
        <v>162.08639999999994</v>
      </c>
      <c r="T19">
        <v>165.74400000000009</v>
      </c>
      <c r="U19">
        <v>169.40220000000011</v>
      </c>
      <c r="V19">
        <v>173.05800000000016</v>
      </c>
      <c r="W19">
        <v>176.53680000000011</v>
      </c>
      <c r="X19">
        <v>180.76439999999994</v>
      </c>
      <c r="Y19">
        <v>185.0021999999999</v>
      </c>
      <c r="Z19">
        <v>189.25019999999998</v>
      </c>
      <c r="AA19">
        <v>193.50780000000009</v>
      </c>
      <c r="AB19">
        <v>198.21520000000007</v>
      </c>
      <c r="AC19">
        <v>203.4353999999999</v>
      </c>
      <c r="AD19">
        <v>208.33439999999987</v>
      </c>
      <c r="AE19">
        <v>213.24060000000006</v>
      </c>
      <c r="AF19">
        <v>218.15040000000002</v>
      </c>
      <c r="AG19">
        <v>222.20699999999994</v>
      </c>
      <c r="AH19">
        <v>227.69579999999991</v>
      </c>
      <c r="AI19">
        <v>233.1828000000001</v>
      </c>
      <c r="AJ19">
        <v>238.67160000000015</v>
      </c>
    </row>
    <row r="20" spans="1:36">
      <c r="A20" t="s">
        <v>19</v>
      </c>
      <c r="B20" s="29" t="s">
        <v>118</v>
      </c>
      <c r="D20">
        <v>0.23460000000000006</v>
      </c>
      <c r="E20">
        <v>0.23460000000000006</v>
      </c>
      <c r="F20">
        <v>0.23460000000000006</v>
      </c>
      <c r="G20">
        <v>0.23219999999999985</v>
      </c>
      <c r="H20">
        <v>0.21599999999999986</v>
      </c>
      <c r="I20">
        <v>0.21479999999999991</v>
      </c>
      <c r="J20">
        <v>0.21479999999999991</v>
      </c>
      <c r="K20">
        <v>0.21379999999999996</v>
      </c>
      <c r="L20">
        <v>0.21379999999999996</v>
      </c>
      <c r="M20">
        <v>0.21259999999999998</v>
      </c>
      <c r="N20">
        <v>0.2115999999999999</v>
      </c>
      <c r="O20">
        <v>0.21039999999999984</v>
      </c>
      <c r="P20">
        <v>0.21039999999999984</v>
      </c>
      <c r="Q20">
        <v>0.21039999999999984</v>
      </c>
      <c r="R20">
        <v>0.20919999999999991</v>
      </c>
      <c r="S20">
        <v>0.20819999999999997</v>
      </c>
      <c r="T20">
        <v>0.20819999999999997</v>
      </c>
      <c r="U20">
        <v>0.20819999999999997</v>
      </c>
      <c r="V20">
        <v>0.20699999999999991</v>
      </c>
      <c r="W20">
        <v>0.20480000000000001</v>
      </c>
      <c r="X20">
        <v>0.20480000000000001</v>
      </c>
      <c r="Y20">
        <v>0.20480000000000001</v>
      </c>
      <c r="Z20">
        <v>0.20480000000000001</v>
      </c>
      <c r="AA20">
        <v>0.20480000000000001</v>
      </c>
      <c r="AB20">
        <v>9.4399999999999998E-2</v>
      </c>
    </row>
    <row r="21" spans="1:36">
      <c r="A21" t="s">
        <v>19</v>
      </c>
      <c r="B21" s="29" t="s">
        <v>120</v>
      </c>
      <c r="C21">
        <v>0.81119999999999981</v>
      </c>
      <c r="H21">
        <v>5.2600000000000001E-2</v>
      </c>
      <c r="I21">
        <v>5.2600000000000001E-2</v>
      </c>
      <c r="J21">
        <v>5.2600000000000001E-2</v>
      </c>
      <c r="K21">
        <v>5.2600000000000001E-2</v>
      </c>
      <c r="L21">
        <v>5.2400000000000002E-2</v>
      </c>
      <c r="M21">
        <v>5.2200000000000003E-2</v>
      </c>
      <c r="N21">
        <v>5.2200000000000003E-2</v>
      </c>
      <c r="O21">
        <v>5.2200000000000003E-2</v>
      </c>
      <c r="P21">
        <v>5.2200000000000003E-2</v>
      </c>
      <c r="Q21">
        <v>5.2200000000000003E-2</v>
      </c>
      <c r="R21">
        <v>5.2200000000000003E-2</v>
      </c>
      <c r="S21">
        <v>5.2200000000000003E-2</v>
      </c>
      <c r="T21">
        <v>5.2200000000000003E-2</v>
      </c>
      <c r="U21">
        <v>5.2200000000000003E-2</v>
      </c>
      <c r="V21">
        <v>5.2200000000000003E-2</v>
      </c>
      <c r="W21">
        <v>5.1999999999999998E-2</v>
      </c>
      <c r="X21">
        <v>5.1799999999999999E-2</v>
      </c>
      <c r="Y21">
        <v>5.1400000000000001E-2</v>
      </c>
      <c r="Z21">
        <v>5.1400000000000001E-2</v>
      </c>
      <c r="AA21">
        <v>5.1400000000000001E-2</v>
      </c>
    </row>
    <row r="22" spans="1:36">
      <c r="A22" t="s">
        <v>19</v>
      </c>
      <c r="B22" s="29" t="s">
        <v>121</v>
      </c>
      <c r="C22">
        <v>54.419999999999995</v>
      </c>
    </row>
    <row r="23" spans="1:36">
      <c r="A23" t="s">
        <v>19</v>
      </c>
      <c r="B23" s="29" t="s">
        <v>122</v>
      </c>
      <c r="C23">
        <v>299.52839999999998</v>
      </c>
      <c r="D23">
        <v>306.27180000000004</v>
      </c>
      <c r="E23">
        <v>313.0145999999998</v>
      </c>
      <c r="F23">
        <v>319.75620000000004</v>
      </c>
      <c r="G23">
        <v>326.49959999999982</v>
      </c>
      <c r="H23">
        <v>333.2435999999999</v>
      </c>
      <c r="I23">
        <v>340.55159999999995</v>
      </c>
      <c r="J23">
        <v>347.86259999999953</v>
      </c>
      <c r="K23">
        <v>355.17300000000023</v>
      </c>
      <c r="L23">
        <v>362.48519999999991</v>
      </c>
      <c r="M23">
        <v>369.79320000000041</v>
      </c>
      <c r="N23">
        <v>378.09960000000024</v>
      </c>
      <c r="O23">
        <v>386.4072000000001</v>
      </c>
      <c r="P23">
        <v>394.71359999999993</v>
      </c>
      <c r="Q23">
        <v>403.0175999999995</v>
      </c>
      <c r="R23">
        <v>411.32400000000035</v>
      </c>
      <c r="S23">
        <v>421.20600000000036</v>
      </c>
      <c r="T23">
        <v>431.08680000000015</v>
      </c>
      <c r="U23">
        <v>440.96759999999966</v>
      </c>
      <c r="V23">
        <v>450.85260000000045</v>
      </c>
      <c r="W23">
        <v>460.72979999999995</v>
      </c>
      <c r="X23">
        <v>472.23059999999992</v>
      </c>
      <c r="Y23">
        <v>483.73319999999939</v>
      </c>
      <c r="Z23">
        <v>495.23520000000013</v>
      </c>
      <c r="AA23">
        <v>506.73659999999978</v>
      </c>
      <c r="AB23">
        <v>518.23980000000006</v>
      </c>
      <c r="AC23">
        <v>531.35159999999939</v>
      </c>
      <c r="AD23">
        <v>544.46820000000071</v>
      </c>
      <c r="AE23">
        <v>557.5799999999997</v>
      </c>
      <c r="AF23">
        <v>570.69599999999991</v>
      </c>
      <c r="AG23">
        <v>583.81020000000092</v>
      </c>
      <c r="AH23">
        <v>598.22879999999998</v>
      </c>
      <c r="AI23">
        <v>612.64499999999987</v>
      </c>
      <c r="AJ23">
        <v>627.0654000000003</v>
      </c>
    </row>
    <row r="24" spans="1:36">
      <c r="A24" t="s">
        <v>19</v>
      </c>
      <c r="B24" s="29" t="s">
        <v>124</v>
      </c>
      <c r="C24">
        <v>8.1776999999999997</v>
      </c>
      <c r="D24">
        <v>8.4834999999999994</v>
      </c>
      <c r="E24">
        <v>8.8010000000000002</v>
      </c>
      <c r="F24">
        <v>9.1301000000000005</v>
      </c>
      <c r="G24">
        <v>9.4716000000000005</v>
      </c>
      <c r="H24">
        <v>9.8256999999999994</v>
      </c>
      <c r="I24">
        <v>10.1934</v>
      </c>
      <c r="J24">
        <v>10.5746</v>
      </c>
      <c r="K24">
        <v>10.969999999999999</v>
      </c>
      <c r="L24">
        <v>11.380400000000002</v>
      </c>
      <c r="M24">
        <v>11.8056</v>
      </c>
      <c r="N24">
        <v>12.2476</v>
      </c>
      <c r="O24">
        <v>12.705599999999999</v>
      </c>
      <c r="P24">
        <v>13.180800000000001</v>
      </c>
      <c r="Q24">
        <v>13.673800000000002</v>
      </c>
      <c r="R24">
        <v>14.184900000000003</v>
      </c>
      <c r="S24">
        <v>14.7156</v>
      </c>
      <c r="T24">
        <v>15.266100000000002</v>
      </c>
      <c r="U24">
        <v>15.8369</v>
      </c>
      <c r="V24">
        <v>16.429500000000001</v>
      </c>
      <c r="W24">
        <v>17.043700000000001</v>
      </c>
      <c r="X24">
        <v>17.681199999999997</v>
      </c>
      <c r="Y24">
        <v>18.342399999999998</v>
      </c>
      <c r="Z24">
        <v>19.028500000000001</v>
      </c>
      <c r="AA24">
        <v>19.739999999999995</v>
      </c>
      <c r="AB24">
        <v>20.4785</v>
      </c>
      <c r="AC24">
        <v>21.244299999999996</v>
      </c>
      <c r="AD24">
        <v>22.038700000000002</v>
      </c>
      <c r="AE24">
        <v>22.862799999999996</v>
      </c>
      <c r="AF24">
        <v>23.718099999999996</v>
      </c>
      <c r="AG24">
        <v>24.6051</v>
      </c>
      <c r="AH24">
        <v>25.525300000000001</v>
      </c>
      <c r="AI24">
        <v>26.4801</v>
      </c>
      <c r="AJ24">
        <v>27.470400000000001</v>
      </c>
    </row>
    <row r="25" spans="1:36">
      <c r="A25" t="s">
        <v>19</v>
      </c>
      <c r="B25" s="29" t="s">
        <v>126</v>
      </c>
      <c r="C25">
        <v>142503.75140000001</v>
      </c>
      <c r="D25">
        <v>168.65800000000004</v>
      </c>
      <c r="E25">
        <v>168.65789999999998</v>
      </c>
      <c r="F25">
        <v>168.65780000000001</v>
      </c>
      <c r="G25">
        <v>168.65769999999998</v>
      </c>
      <c r="H25">
        <v>168.65819999999997</v>
      </c>
      <c r="I25">
        <v>168.65779999999998</v>
      </c>
      <c r="J25">
        <v>168.65800000000002</v>
      </c>
      <c r="K25">
        <v>168.65779999999998</v>
      </c>
      <c r="L25">
        <v>168.65780000000007</v>
      </c>
      <c r="M25">
        <v>168.65779999999998</v>
      </c>
      <c r="N25">
        <v>168.65789999999998</v>
      </c>
      <c r="O25">
        <v>168.65789999999998</v>
      </c>
      <c r="P25">
        <v>168.65810000000005</v>
      </c>
      <c r="Q25">
        <v>168.65800000000004</v>
      </c>
      <c r="R25">
        <v>168.65780000000001</v>
      </c>
      <c r="S25">
        <v>168.65790000000001</v>
      </c>
      <c r="T25">
        <v>168.65809999999999</v>
      </c>
      <c r="U25">
        <v>168.65790000000001</v>
      </c>
      <c r="V25">
        <v>168.65799999999996</v>
      </c>
      <c r="W25">
        <v>168.65770000000003</v>
      </c>
      <c r="X25">
        <v>168.65769999999998</v>
      </c>
      <c r="Y25">
        <v>168.65780000000001</v>
      </c>
      <c r="Z25">
        <v>168.65789999999998</v>
      </c>
      <c r="AA25">
        <v>168.65789999999998</v>
      </c>
      <c r="AB25">
        <v>168.65759999999997</v>
      </c>
      <c r="AC25">
        <v>168.65790000000001</v>
      </c>
      <c r="AD25">
        <v>168.65800000000002</v>
      </c>
      <c r="AE25">
        <v>168.65770000000003</v>
      </c>
      <c r="AF25">
        <v>168.6579999999999</v>
      </c>
      <c r="AG25">
        <v>168.65790000000001</v>
      </c>
      <c r="AH25">
        <v>168.65769999999998</v>
      </c>
      <c r="AI25">
        <v>168.65790000000001</v>
      </c>
      <c r="AJ25">
        <v>168.65800000000002</v>
      </c>
    </row>
    <row r="26" spans="1:36">
      <c r="A26" t="s">
        <v>19</v>
      </c>
      <c r="B26" s="29" t="s">
        <v>128</v>
      </c>
      <c r="C26">
        <v>5.1488999999999994</v>
      </c>
      <c r="D26">
        <v>5.1488999999999994</v>
      </c>
      <c r="E26">
        <v>5.1488999999999994</v>
      </c>
      <c r="F26">
        <v>5.1488999999999994</v>
      </c>
      <c r="G26">
        <v>5.1487999999999996</v>
      </c>
      <c r="H26">
        <v>5.1487999999999996</v>
      </c>
      <c r="I26">
        <v>5.1488999999999994</v>
      </c>
      <c r="J26">
        <v>5.1489000000000003</v>
      </c>
      <c r="K26">
        <v>5.1488000000000005</v>
      </c>
      <c r="L26">
        <v>5.1488999999999994</v>
      </c>
      <c r="M26">
        <v>5.1488999999999994</v>
      </c>
      <c r="N26">
        <v>5.1489000000000003</v>
      </c>
      <c r="O26">
        <v>5.1487000000000007</v>
      </c>
      <c r="P26">
        <v>5.1488999999999994</v>
      </c>
      <c r="Q26">
        <v>5.1488999999999994</v>
      </c>
      <c r="R26">
        <v>5.1488999999999994</v>
      </c>
      <c r="S26">
        <v>5.1489000000000003</v>
      </c>
      <c r="T26">
        <v>5.1488999999999994</v>
      </c>
      <c r="U26">
        <v>5.1488999999999994</v>
      </c>
      <c r="V26">
        <v>5.1489999999999991</v>
      </c>
      <c r="W26">
        <v>5.1488999999999994</v>
      </c>
      <c r="X26">
        <v>5.1488999999999994</v>
      </c>
      <c r="Y26">
        <v>5.1488999999999994</v>
      </c>
      <c r="Z26">
        <v>5.1489000000000003</v>
      </c>
      <c r="AA26">
        <v>5.1487000000000007</v>
      </c>
      <c r="AB26">
        <v>5.1487999999999996</v>
      </c>
      <c r="AC26">
        <v>5.1489999999999991</v>
      </c>
      <c r="AD26">
        <v>5.1489000000000003</v>
      </c>
      <c r="AE26">
        <v>5.1488999999999994</v>
      </c>
      <c r="AF26">
        <v>5.1488999999999994</v>
      </c>
      <c r="AG26">
        <v>5.1488999999999994</v>
      </c>
      <c r="AH26">
        <v>5.1488999999999994</v>
      </c>
      <c r="AI26">
        <v>5.1488999999999994</v>
      </c>
      <c r="AJ26">
        <v>5.149</v>
      </c>
    </row>
    <row r="27" spans="1:36">
      <c r="A27" t="s">
        <v>19</v>
      </c>
      <c r="B27" s="29" t="s">
        <v>129</v>
      </c>
      <c r="C27">
        <v>34.687600000000003</v>
      </c>
      <c r="D27">
        <v>34.687599999999996</v>
      </c>
      <c r="E27">
        <v>34.687599999999996</v>
      </c>
      <c r="F27">
        <v>34.687700000000007</v>
      </c>
      <c r="G27">
        <v>34.687799999999996</v>
      </c>
      <c r="H27">
        <v>34.687699999999992</v>
      </c>
      <c r="I27">
        <v>34.6877</v>
      </c>
      <c r="J27">
        <v>34.687200000000011</v>
      </c>
      <c r="K27">
        <v>34.687600000000003</v>
      </c>
      <c r="L27">
        <v>34.6875</v>
      </c>
      <c r="M27">
        <v>34.687399999999997</v>
      </c>
      <c r="N27">
        <v>34.6875</v>
      </c>
      <c r="O27">
        <v>34.6877</v>
      </c>
      <c r="P27">
        <v>34.687499999999993</v>
      </c>
      <c r="Q27">
        <v>34.687999999999995</v>
      </c>
      <c r="R27">
        <v>35.9754</v>
      </c>
      <c r="S27">
        <v>41.964899999999993</v>
      </c>
      <c r="T27">
        <v>48.041499999999999</v>
      </c>
      <c r="U27">
        <v>54.201600000000006</v>
      </c>
      <c r="V27">
        <v>60.437100000000001</v>
      </c>
      <c r="W27">
        <v>57.750500000000002</v>
      </c>
      <c r="X27">
        <v>63.317299999999996</v>
      </c>
      <c r="Y27">
        <v>69.365400000000022</v>
      </c>
      <c r="Z27">
        <v>75.605700000000041</v>
      </c>
      <c r="AA27">
        <v>81.624200000000016</v>
      </c>
      <c r="AB27">
        <v>87.845600000000005</v>
      </c>
      <c r="AC27">
        <v>94.263099999999994</v>
      </c>
      <c r="AD27">
        <v>100.75059999999999</v>
      </c>
      <c r="AE27">
        <v>106.5266</v>
      </c>
      <c r="AF27">
        <v>113.37970000000001</v>
      </c>
      <c r="AG27">
        <v>116.73170000000002</v>
      </c>
      <c r="AH27">
        <v>123.4577</v>
      </c>
      <c r="AI27">
        <v>130.21889999999999</v>
      </c>
      <c r="AJ27">
        <v>137.21699999999998</v>
      </c>
    </row>
    <row r="28" spans="1:36">
      <c r="A28" t="s">
        <v>19</v>
      </c>
      <c r="B28" s="29" t="s">
        <v>132</v>
      </c>
      <c r="C28">
        <v>18.003099999999996</v>
      </c>
      <c r="D28">
        <v>20.811599999999999</v>
      </c>
      <c r="E28">
        <v>19.039099999999998</v>
      </c>
      <c r="F28">
        <v>20.2913</v>
      </c>
      <c r="G28">
        <v>20.827399999999997</v>
      </c>
      <c r="W28">
        <v>3.8488000000000002</v>
      </c>
      <c r="X28">
        <v>4.2396000000000003</v>
      </c>
      <c r="Y28">
        <v>4.6741999999999999</v>
      </c>
      <c r="Z28">
        <v>5.2451999999999996</v>
      </c>
      <c r="AA28">
        <v>5.2451999999999996</v>
      </c>
      <c r="AB28">
        <v>5.2451999999999996</v>
      </c>
      <c r="AC28">
        <v>5.2451999999999996</v>
      </c>
      <c r="AD28">
        <v>5.2451999999999996</v>
      </c>
      <c r="AE28">
        <v>5.2451999999999996</v>
      </c>
      <c r="AF28">
        <v>4.9234</v>
      </c>
      <c r="AG28">
        <v>4.4748000000000001</v>
      </c>
      <c r="AH28">
        <v>4.4748000000000001</v>
      </c>
      <c r="AI28">
        <v>4.3002000000000002</v>
      </c>
      <c r="AJ28">
        <v>4.2869999999999999</v>
      </c>
    </row>
    <row r="29" spans="1:36">
      <c r="A29" t="s">
        <v>19</v>
      </c>
      <c r="B29" s="29" t="s">
        <v>133</v>
      </c>
      <c r="C29">
        <v>657.53020000000004</v>
      </c>
      <c r="D29">
        <v>701.28980000000001</v>
      </c>
      <c r="E29">
        <v>750.76939999999979</v>
      </c>
      <c r="F29">
        <v>833.54100000000017</v>
      </c>
      <c r="G29">
        <v>896.88660000000027</v>
      </c>
      <c r="H29">
        <v>824.11940000000016</v>
      </c>
      <c r="I29">
        <v>811.35730000000024</v>
      </c>
      <c r="J29">
        <v>798.16930000000002</v>
      </c>
      <c r="K29">
        <v>783.50500000000022</v>
      </c>
      <c r="L29">
        <v>816.30470000000003</v>
      </c>
      <c r="M29">
        <v>699.6414000000002</v>
      </c>
      <c r="N29">
        <v>693.77900000000011</v>
      </c>
      <c r="O29">
        <v>557.12789999999995</v>
      </c>
      <c r="P29">
        <v>542.08939999999996</v>
      </c>
      <c r="Q29">
        <v>526.9661000000001</v>
      </c>
      <c r="R29">
        <v>486.65189999999996</v>
      </c>
      <c r="S29">
        <v>414.95519999999999</v>
      </c>
      <c r="T29">
        <v>399.03879999999998</v>
      </c>
      <c r="U29">
        <v>337.38169999999997</v>
      </c>
      <c r="V29">
        <v>270.80619999999993</v>
      </c>
      <c r="W29">
        <v>279.96460000000002</v>
      </c>
      <c r="X29">
        <v>294.98640000000006</v>
      </c>
      <c r="Y29">
        <v>290.68470000000008</v>
      </c>
      <c r="Z29">
        <v>286.37200000000007</v>
      </c>
      <c r="AA29">
        <v>282.04810000000009</v>
      </c>
      <c r="AB29">
        <v>277.4572</v>
      </c>
      <c r="AC29">
        <v>256.82310000000001</v>
      </c>
      <c r="AD29">
        <v>252.43849999999992</v>
      </c>
      <c r="AE29">
        <v>250.55649999999994</v>
      </c>
      <c r="AF29">
        <v>284.44770000000005</v>
      </c>
      <c r="AG29">
        <v>315.31859999999989</v>
      </c>
      <c r="AH29">
        <v>298.0949</v>
      </c>
      <c r="AI29">
        <v>296.58749999999998</v>
      </c>
      <c r="AJ29">
        <v>258.22840000000008</v>
      </c>
    </row>
    <row r="30" spans="1:36">
      <c r="A30" t="s">
        <v>19</v>
      </c>
      <c r="B30" s="29" t="s">
        <v>134</v>
      </c>
      <c r="C30">
        <v>131.27699999999999</v>
      </c>
      <c r="D30">
        <v>128.31489999999997</v>
      </c>
      <c r="E30">
        <v>120.3972</v>
      </c>
      <c r="F30">
        <v>112.21179999999998</v>
      </c>
      <c r="G30">
        <v>121.49469999999998</v>
      </c>
      <c r="H30">
        <v>2.2016</v>
      </c>
      <c r="I30">
        <v>2.7831999999999999</v>
      </c>
      <c r="J30">
        <v>3.3155999999999999</v>
      </c>
      <c r="K30">
        <v>3.6776</v>
      </c>
      <c r="L30">
        <v>12.376799999999999</v>
      </c>
      <c r="M30">
        <v>21.9754</v>
      </c>
      <c r="N30">
        <v>25.105699999999999</v>
      </c>
      <c r="O30">
        <v>2.3677999999999999</v>
      </c>
      <c r="P30">
        <v>2.3677999999999999</v>
      </c>
      <c r="Q30">
        <v>2.3677999999999999</v>
      </c>
      <c r="R30">
        <v>2.3677999999999999</v>
      </c>
      <c r="S30">
        <v>2.3677999999999999</v>
      </c>
      <c r="T30">
        <v>2.3677999999999999</v>
      </c>
      <c r="U30">
        <v>2.3677999999999999</v>
      </c>
      <c r="V30">
        <v>2.3677999999999999</v>
      </c>
      <c r="W30">
        <v>2.3677999999999999</v>
      </c>
      <c r="X30">
        <v>2.3677999999999999</v>
      </c>
      <c r="Y30">
        <v>2.3635999999999999</v>
      </c>
      <c r="Z30">
        <v>2.431</v>
      </c>
      <c r="AA30">
        <v>2.3635999999999999</v>
      </c>
      <c r="AB30">
        <v>2.3635999999999999</v>
      </c>
    </row>
    <row r="31" spans="1:36">
      <c r="A31" t="s">
        <v>19</v>
      </c>
      <c r="B31" s="29" t="s">
        <v>135</v>
      </c>
      <c r="C31">
        <v>46.39820000000001</v>
      </c>
      <c r="D31">
        <v>30.358100000000004</v>
      </c>
      <c r="E31">
        <v>47.316299999999998</v>
      </c>
      <c r="F31">
        <v>24.493300000000005</v>
      </c>
      <c r="G31">
        <v>25.207899999999999</v>
      </c>
    </row>
    <row r="32" spans="1:36">
      <c r="A32" t="s">
        <v>19</v>
      </c>
      <c r="B32" s="29" t="s">
        <v>142</v>
      </c>
      <c r="H32">
        <v>150.88200000000003</v>
      </c>
      <c r="I32">
        <v>150.88200000000003</v>
      </c>
      <c r="J32">
        <v>150.88200000000003</v>
      </c>
      <c r="K32">
        <v>150.88200000000003</v>
      </c>
      <c r="L32">
        <v>150.88200000000003</v>
      </c>
      <c r="M32">
        <v>150.88200000000003</v>
      </c>
      <c r="N32">
        <v>213.1122</v>
      </c>
      <c r="O32">
        <v>412.55880000000025</v>
      </c>
      <c r="P32">
        <v>485.70400000000018</v>
      </c>
      <c r="Q32">
        <v>558.66820000000018</v>
      </c>
      <c r="R32">
        <v>625.88459999999998</v>
      </c>
      <c r="S32">
        <v>753.80579999999998</v>
      </c>
      <c r="T32">
        <v>841.13679999999999</v>
      </c>
      <c r="U32">
        <v>961.25480000000005</v>
      </c>
      <c r="V32">
        <v>1078.0339999999999</v>
      </c>
      <c r="W32">
        <v>888.9409999999998</v>
      </c>
      <c r="X32">
        <v>922.91739999999993</v>
      </c>
      <c r="Y32">
        <v>983.13919999999962</v>
      </c>
      <c r="Z32">
        <v>1043.4942000000005</v>
      </c>
      <c r="AA32">
        <v>1103.9756</v>
      </c>
      <c r="AB32">
        <v>1166.4804000000001</v>
      </c>
      <c r="AC32">
        <v>1242.3951999999997</v>
      </c>
      <c r="AD32">
        <v>1305.4240000000002</v>
      </c>
      <c r="AE32">
        <v>1347.8432</v>
      </c>
      <c r="AF32">
        <v>1373.2685999999999</v>
      </c>
      <c r="AG32">
        <v>1316.4028000000001</v>
      </c>
      <c r="AH32">
        <v>1381.9675999999988</v>
      </c>
      <c r="AI32">
        <v>1436.0959999999995</v>
      </c>
      <c r="AJ32">
        <v>1517.0407999999998</v>
      </c>
    </row>
    <row r="33" spans="1:36">
      <c r="A33" t="s">
        <v>19</v>
      </c>
      <c r="B33" s="29" t="s">
        <v>146</v>
      </c>
      <c r="H33">
        <v>9.1761999999999997</v>
      </c>
      <c r="I33">
        <v>9.3670000000000009</v>
      </c>
      <c r="J33">
        <v>9.5358000000000001</v>
      </c>
      <c r="K33">
        <v>9.6294000000000004</v>
      </c>
      <c r="L33">
        <v>11.909500000000001</v>
      </c>
      <c r="M33">
        <v>12.7034</v>
      </c>
      <c r="N33">
        <v>12.879300000000002</v>
      </c>
      <c r="O33">
        <v>6.9584000000000001</v>
      </c>
      <c r="P33">
        <v>6.6768000000000001</v>
      </c>
      <c r="Q33">
        <v>6.3906000000000001</v>
      </c>
      <c r="R33">
        <v>6.1092000000000004</v>
      </c>
      <c r="S33">
        <v>5.7667999999999999</v>
      </c>
      <c r="T33">
        <v>5.4242000000000008</v>
      </c>
      <c r="U33">
        <v>5.4429999999999996</v>
      </c>
      <c r="V33">
        <v>13.276599999999998</v>
      </c>
      <c r="W33">
        <v>29.4788</v>
      </c>
      <c r="X33">
        <v>36.961399999999998</v>
      </c>
      <c r="Y33">
        <v>38.779600000000002</v>
      </c>
      <c r="Z33">
        <v>40.482200000000006</v>
      </c>
      <c r="AA33">
        <v>42.544800000000002</v>
      </c>
      <c r="AB33">
        <v>44.640900000000002</v>
      </c>
      <c r="AC33">
        <v>48.836800000000004</v>
      </c>
      <c r="AD33">
        <v>50.919099999999993</v>
      </c>
      <c r="AE33">
        <v>54.074400000000004</v>
      </c>
      <c r="AF33">
        <v>76.000299999999996</v>
      </c>
      <c r="AG33">
        <v>107.79979999999999</v>
      </c>
      <c r="AH33">
        <v>111.07860000000002</v>
      </c>
      <c r="AI33">
        <v>114.4293</v>
      </c>
      <c r="AJ33">
        <v>117.71319999999999</v>
      </c>
    </row>
    <row r="34" spans="1:36">
      <c r="A34" t="s">
        <v>19</v>
      </c>
      <c r="B34" s="29" t="s">
        <v>154</v>
      </c>
      <c r="C34">
        <v>366.39740000000006</v>
      </c>
      <c r="D34">
        <v>366.83909999999997</v>
      </c>
      <c r="E34">
        <v>385.23460000000006</v>
      </c>
      <c r="F34">
        <v>403.63039999999995</v>
      </c>
      <c r="G34">
        <v>421.88850000000008</v>
      </c>
      <c r="H34">
        <v>436.32650000000012</v>
      </c>
      <c r="I34">
        <v>458.98249999999996</v>
      </c>
      <c r="J34">
        <v>481.65269999999992</v>
      </c>
      <c r="K34">
        <v>504.36809999999991</v>
      </c>
      <c r="L34">
        <v>526.9633</v>
      </c>
      <c r="M34">
        <v>549.53349999999989</v>
      </c>
      <c r="N34">
        <v>576.68740000000014</v>
      </c>
      <c r="O34">
        <v>604.73090000000002</v>
      </c>
      <c r="P34">
        <v>631.79039999999998</v>
      </c>
      <c r="Q34">
        <v>658.93470000000002</v>
      </c>
      <c r="R34">
        <v>675.34649999999999</v>
      </c>
      <c r="S34">
        <v>708.2992999999999</v>
      </c>
      <c r="T34">
        <v>741.25209999999993</v>
      </c>
      <c r="U34">
        <v>774.20439999999996</v>
      </c>
      <c r="V34">
        <v>807.15700000000015</v>
      </c>
      <c r="W34">
        <v>839.72759999999982</v>
      </c>
      <c r="X34">
        <v>873.00210000000015</v>
      </c>
      <c r="Y34">
        <v>908.86289999999985</v>
      </c>
      <c r="Z34">
        <v>944.80179999999996</v>
      </c>
      <c r="AA34">
        <v>980.81389999999988</v>
      </c>
      <c r="AB34">
        <v>1016.7588000000001</v>
      </c>
      <c r="AC34">
        <v>1054.1231000000002</v>
      </c>
      <c r="AD34">
        <v>1091.6574000000001</v>
      </c>
      <c r="AE34">
        <v>1129.2426999999996</v>
      </c>
      <c r="AF34">
        <v>1166.8751999999999</v>
      </c>
      <c r="AG34">
        <v>1220.0817</v>
      </c>
      <c r="AH34">
        <v>1256.317</v>
      </c>
      <c r="AI34">
        <v>1292.5527000000002</v>
      </c>
      <c r="AJ34">
        <v>1328.7884999999997</v>
      </c>
    </row>
    <row r="35" spans="1:36">
      <c r="A35" t="s">
        <v>19</v>
      </c>
      <c r="B35" s="29" t="s">
        <v>155</v>
      </c>
      <c r="C35">
        <v>9.2937999999999974</v>
      </c>
      <c r="D35">
        <v>9.5034000000000027</v>
      </c>
      <c r="E35">
        <v>9.712299999999999</v>
      </c>
      <c r="F35">
        <v>9.9216999999999995</v>
      </c>
      <c r="G35">
        <v>10.1309</v>
      </c>
      <c r="H35">
        <v>10.340199999999998</v>
      </c>
      <c r="I35">
        <v>10.567</v>
      </c>
      <c r="J35">
        <v>10.793999999999999</v>
      </c>
      <c r="K35">
        <v>11.0206</v>
      </c>
      <c r="L35">
        <v>11.247799999999998</v>
      </c>
      <c r="M35">
        <v>11.474399999999997</v>
      </c>
      <c r="N35">
        <v>11.732199999999999</v>
      </c>
      <c r="O35">
        <v>11.990300000000001</v>
      </c>
      <c r="P35">
        <v>12.247299999999999</v>
      </c>
      <c r="Q35">
        <v>12.505500000000001</v>
      </c>
      <c r="R35">
        <v>12.763</v>
      </c>
      <c r="S35">
        <v>13.069599999999999</v>
      </c>
      <c r="T35">
        <v>13.376000000000001</v>
      </c>
      <c r="U35">
        <v>13.6828</v>
      </c>
      <c r="V35">
        <v>13.9894</v>
      </c>
      <c r="W35">
        <v>14.295699999999997</v>
      </c>
      <c r="X35">
        <v>11.297100000000002</v>
      </c>
      <c r="Y35">
        <v>10.415299999999997</v>
      </c>
      <c r="Z35">
        <v>9.5967000000000002</v>
      </c>
      <c r="AA35">
        <v>8.8376000000000001</v>
      </c>
      <c r="AB35">
        <v>8.1340000000000003</v>
      </c>
      <c r="AC35">
        <v>7.5060000000000011</v>
      </c>
      <c r="AD35">
        <v>6.9222999999999999</v>
      </c>
      <c r="AE35">
        <v>6.3800000000000017</v>
      </c>
      <c r="AF35">
        <v>5.8771000000000013</v>
      </c>
      <c r="AG35">
        <v>18.114900000000006</v>
      </c>
      <c r="AH35">
        <v>18.561999999999998</v>
      </c>
      <c r="AI35">
        <v>19.010000000000002</v>
      </c>
      <c r="AJ35">
        <v>19.457000000000001</v>
      </c>
    </row>
    <row r="36" spans="1:36">
      <c r="A36" t="s">
        <v>19</v>
      </c>
      <c r="B36" s="29" t="s">
        <v>156</v>
      </c>
      <c r="C36">
        <v>123.45000000000002</v>
      </c>
      <c r="D36">
        <v>131.42850000000001</v>
      </c>
      <c r="E36">
        <v>139.40690000000001</v>
      </c>
      <c r="F36">
        <v>147.38560000000001</v>
      </c>
      <c r="G36">
        <v>155.25189999999995</v>
      </c>
      <c r="H36">
        <v>160.03370000000001</v>
      </c>
      <c r="I36">
        <v>169.95170000000002</v>
      </c>
      <c r="J36">
        <v>179.88069999999996</v>
      </c>
      <c r="K36">
        <v>189.84690000000003</v>
      </c>
      <c r="L36">
        <v>199.73110000000003</v>
      </c>
      <c r="M36">
        <v>209.65010000000001</v>
      </c>
      <c r="N36">
        <v>221.33130000000003</v>
      </c>
      <c r="O36">
        <v>233.81130000000002</v>
      </c>
      <c r="P36">
        <v>245.48580000000007</v>
      </c>
      <c r="Q36">
        <v>257.22960000000006</v>
      </c>
      <c r="R36">
        <v>260.19389999999999</v>
      </c>
      <c r="S36">
        <v>274.01190000000003</v>
      </c>
      <c r="T36">
        <v>287.82959999999997</v>
      </c>
      <c r="U36">
        <v>301.64779999999996</v>
      </c>
      <c r="V36">
        <v>315.46569999999991</v>
      </c>
      <c r="W36">
        <v>329.28370000000001</v>
      </c>
      <c r="X36">
        <v>344.13319999999999</v>
      </c>
      <c r="Y36">
        <v>358.98300000000006</v>
      </c>
      <c r="Z36">
        <v>373.83239999999995</v>
      </c>
      <c r="AA36">
        <v>388.68180000000001</v>
      </c>
      <c r="AB36">
        <v>403.53149999999988</v>
      </c>
      <c r="AC36">
        <v>417.66400000000004</v>
      </c>
      <c r="AD36">
        <v>431.79649999999998</v>
      </c>
      <c r="AE36">
        <v>445.92899999999992</v>
      </c>
      <c r="AF36">
        <v>460.06119999999999</v>
      </c>
      <c r="AG36">
        <v>474.19369999999998</v>
      </c>
      <c r="AH36">
        <v>485.83350000000013</v>
      </c>
      <c r="AI36">
        <v>497.47350000000017</v>
      </c>
      <c r="AJ36">
        <v>509.11349999999993</v>
      </c>
    </row>
    <row r="37" spans="1:36">
      <c r="A37" t="s">
        <v>19</v>
      </c>
      <c r="B37" s="29" t="s">
        <v>157</v>
      </c>
      <c r="C37">
        <v>92.038800000000052</v>
      </c>
      <c r="D37">
        <v>94.34520000000002</v>
      </c>
      <c r="E37">
        <v>96.416400000000024</v>
      </c>
      <c r="F37">
        <v>98.487600000000086</v>
      </c>
      <c r="G37">
        <v>100.55819999999999</v>
      </c>
      <c r="H37">
        <v>102.61440000000003</v>
      </c>
      <c r="I37">
        <v>104.85960000000006</v>
      </c>
      <c r="J37">
        <v>107.10439999999994</v>
      </c>
      <c r="K37">
        <v>109.35080000000004</v>
      </c>
      <c r="L37">
        <v>111.59660000000002</v>
      </c>
      <c r="M37">
        <v>113.84180000000001</v>
      </c>
      <c r="N37">
        <v>116.39299999999994</v>
      </c>
      <c r="O37">
        <v>118.94559999999998</v>
      </c>
      <c r="P37">
        <v>121.49680000000005</v>
      </c>
      <c r="Q37">
        <v>124.04920000000006</v>
      </c>
      <c r="R37">
        <v>126.60040000000001</v>
      </c>
      <c r="S37">
        <v>129.63540000000003</v>
      </c>
      <c r="T37">
        <v>132.67119999999994</v>
      </c>
      <c r="U37">
        <v>135.70740000000004</v>
      </c>
      <c r="V37">
        <v>138.74300000000002</v>
      </c>
      <c r="W37">
        <v>141.77779999999996</v>
      </c>
      <c r="X37">
        <v>145.31180000000003</v>
      </c>
      <c r="Y37">
        <v>148.84520000000012</v>
      </c>
      <c r="Z37">
        <v>152.37940000000003</v>
      </c>
      <c r="AA37">
        <v>155.91379999999995</v>
      </c>
      <c r="AB37">
        <v>159.3369999999999</v>
      </c>
      <c r="AC37">
        <v>163.27200000000005</v>
      </c>
      <c r="AD37">
        <v>167.30339999999995</v>
      </c>
      <c r="AE37">
        <v>171.33240000000012</v>
      </c>
      <c r="AF37">
        <v>175.36199999999999</v>
      </c>
      <c r="AG37">
        <v>179.39099999999993</v>
      </c>
      <c r="AH37">
        <v>183.82199999999995</v>
      </c>
      <c r="AI37">
        <v>188.25299999999999</v>
      </c>
      <c r="AJ37">
        <v>192.68219999999999</v>
      </c>
    </row>
    <row r="38" spans="1:36">
      <c r="A38" t="s">
        <v>19</v>
      </c>
      <c r="B38" s="29" t="s">
        <v>158</v>
      </c>
      <c r="C38">
        <v>74.618500000000012</v>
      </c>
      <c r="D38">
        <v>64.484899999999996</v>
      </c>
      <c r="E38">
        <v>69.275599999999997</v>
      </c>
      <c r="F38">
        <v>74.066099999999992</v>
      </c>
      <c r="G38">
        <v>78.856799999999978</v>
      </c>
      <c r="H38">
        <v>83.647600000000011</v>
      </c>
      <c r="I38">
        <v>89.792299999999997</v>
      </c>
      <c r="J38">
        <v>95.937200000000018</v>
      </c>
      <c r="K38">
        <v>102.08150000000001</v>
      </c>
      <c r="L38">
        <v>108.2264</v>
      </c>
      <c r="M38">
        <v>114.37100000000001</v>
      </c>
      <c r="N38">
        <v>122.02480000000001</v>
      </c>
      <c r="O38">
        <v>129.67840000000001</v>
      </c>
      <c r="P38">
        <v>137.33130000000003</v>
      </c>
      <c r="Q38">
        <v>144.9854</v>
      </c>
      <c r="R38">
        <v>152.63910000000001</v>
      </c>
      <c r="S38">
        <v>162.43700000000004</v>
      </c>
      <c r="T38">
        <v>172.23549999999992</v>
      </c>
      <c r="U38">
        <v>182.0342</v>
      </c>
      <c r="V38">
        <v>191.83240000000004</v>
      </c>
      <c r="W38">
        <v>201.63069999999996</v>
      </c>
      <c r="X38">
        <v>213.46809999999999</v>
      </c>
      <c r="Y38">
        <v>225.3049</v>
      </c>
      <c r="Z38">
        <v>237.14190000000002</v>
      </c>
      <c r="AA38">
        <v>248.97890000000004</v>
      </c>
      <c r="AB38">
        <v>260.81569999999994</v>
      </c>
      <c r="AC38">
        <v>273.94410000000005</v>
      </c>
      <c r="AD38">
        <v>287.07259999999997</v>
      </c>
      <c r="AE38">
        <v>300.20109999999994</v>
      </c>
      <c r="AF38">
        <v>313.33029999999997</v>
      </c>
      <c r="AG38">
        <v>326.45859999999999</v>
      </c>
      <c r="AH38">
        <v>339.58550000000002</v>
      </c>
      <c r="AI38">
        <v>352.7122</v>
      </c>
      <c r="AJ38">
        <v>365.83890000000014</v>
      </c>
    </row>
    <row r="39" spans="1:36">
      <c r="A39" t="s">
        <v>19</v>
      </c>
      <c r="B39" s="29" t="s">
        <v>159</v>
      </c>
      <c r="C39">
        <v>0.35279999999999984</v>
      </c>
      <c r="D39">
        <v>0.35279999999999984</v>
      </c>
      <c r="E39">
        <v>0.35279999999999984</v>
      </c>
      <c r="F39">
        <v>0.35279999999999984</v>
      </c>
      <c r="G39">
        <v>0.35279999999999984</v>
      </c>
      <c r="H39">
        <v>0.32819999999999983</v>
      </c>
      <c r="I39">
        <v>0.32819999999999983</v>
      </c>
      <c r="J39">
        <v>0.32819999999999983</v>
      </c>
      <c r="K39">
        <v>0.32819999999999983</v>
      </c>
      <c r="L39">
        <v>0.31139999999999979</v>
      </c>
      <c r="M39">
        <v>0.24060000000000001</v>
      </c>
      <c r="N39">
        <v>0.31139999999999979</v>
      </c>
      <c r="O39">
        <v>0.31139999999999979</v>
      </c>
      <c r="P39">
        <v>0.31139999999999979</v>
      </c>
      <c r="Q39">
        <v>0.31139999999999979</v>
      </c>
      <c r="R39">
        <v>0.31139999999999979</v>
      </c>
      <c r="S39">
        <v>0.31139999999999979</v>
      </c>
      <c r="T39">
        <v>0.31139999999999979</v>
      </c>
      <c r="U39">
        <v>0.31139999999999979</v>
      </c>
      <c r="V39">
        <v>0.31139999999999979</v>
      </c>
    </row>
    <row r="40" spans="1:36">
      <c r="A40" t="s">
        <v>19</v>
      </c>
      <c r="B40" s="29" t="s">
        <v>161</v>
      </c>
      <c r="C40">
        <v>440.98590000000019</v>
      </c>
      <c r="D40">
        <v>453.45089999999982</v>
      </c>
      <c r="E40">
        <v>466.26070000000004</v>
      </c>
      <c r="F40">
        <v>478.72989999999982</v>
      </c>
      <c r="G40">
        <v>491.58849999999978</v>
      </c>
      <c r="H40">
        <v>504.17269999999985</v>
      </c>
      <c r="I40">
        <v>519.59229999999991</v>
      </c>
      <c r="J40">
        <v>534.80809999999997</v>
      </c>
      <c r="K40">
        <v>550.05770000000018</v>
      </c>
      <c r="L40">
        <v>565.34439999999995</v>
      </c>
      <c r="M40">
        <v>556.63270000000011</v>
      </c>
      <c r="N40">
        <v>575.49739999999986</v>
      </c>
      <c r="O40">
        <v>594.08820000000014</v>
      </c>
      <c r="P40">
        <v>612.94740000000024</v>
      </c>
      <c r="Q40">
        <v>631.75469999999973</v>
      </c>
      <c r="R40">
        <v>650.53109999999992</v>
      </c>
      <c r="S40">
        <v>672.00590000000022</v>
      </c>
      <c r="T40">
        <v>693.4357</v>
      </c>
      <c r="U40">
        <v>714.8479000000001</v>
      </c>
      <c r="V40">
        <v>736.41050000000018</v>
      </c>
      <c r="W40">
        <v>755.84249999999963</v>
      </c>
      <c r="X40">
        <v>779.39910000000043</v>
      </c>
      <c r="Y40">
        <v>802.98720000000003</v>
      </c>
      <c r="Z40">
        <v>826.64699999999948</v>
      </c>
      <c r="AA40">
        <v>850.36059999999975</v>
      </c>
      <c r="AB40">
        <v>874.12099999999964</v>
      </c>
      <c r="AC40">
        <v>899.60469999999998</v>
      </c>
      <c r="AD40">
        <v>925.12670000000014</v>
      </c>
      <c r="AE40">
        <v>950.70649999999966</v>
      </c>
      <c r="AF40">
        <v>976.31759999999986</v>
      </c>
      <c r="AG40">
        <v>995.23549999999966</v>
      </c>
      <c r="AH40">
        <v>1021.9913999999999</v>
      </c>
      <c r="AI40">
        <v>1048.5684000000003</v>
      </c>
      <c r="AJ40">
        <v>1075.4967999999999</v>
      </c>
    </row>
    <row r="41" spans="1:36">
      <c r="A41" t="s">
        <v>19</v>
      </c>
      <c r="B41" s="29" t="s">
        <v>172</v>
      </c>
      <c r="C41">
        <v>743.19129999999996</v>
      </c>
      <c r="D41">
        <v>1183.9745999999998</v>
      </c>
      <c r="E41">
        <v>1242.6016</v>
      </c>
      <c r="F41">
        <v>1334.6258999999995</v>
      </c>
      <c r="G41">
        <v>1407.2359999999999</v>
      </c>
      <c r="H41">
        <v>1497.748</v>
      </c>
      <c r="I41">
        <v>1494.0392999999999</v>
      </c>
      <c r="J41">
        <v>1489.8724000000004</v>
      </c>
      <c r="K41">
        <v>1484.1654999999998</v>
      </c>
      <c r="L41">
        <v>1526.1768000000004</v>
      </c>
      <c r="M41">
        <v>1419.1469999999999</v>
      </c>
      <c r="N41">
        <v>1485.1381999999996</v>
      </c>
      <c r="O41">
        <v>1556.7690000000005</v>
      </c>
      <c r="P41">
        <v>1624.4903999999999</v>
      </c>
      <c r="Q41">
        <v>1691.8670000000002</v>
      </c>
      <c r="R41">
        <v>1736.9943999999996</v>
      </c>
      <c r="S41">
        <v>1803.6574000000005</v>
      </c>
      <c r="T41">
        <v>1885.5689000000002</v>
      </c>
      <c r="U41">
        <v>1954.4730999999997</v>
      </c>
      <c r="V41">
        <v>2015.087500000001</v>
      </c>
      <c r="W41">
        <v>1844.2937000000002</v>
      </c>
      <c r="X41">
        <v>1904.5223999999994</v>
      </c>
      <c r="Y41">
        <v>1971.7221999999995</v>
      </c>
      <c r="Z41">
        <v>2039.0644</v>
      </c>
      <c r="AA41">
        <v>2106.5406000000003</v>
      </c>
      <c r="AB41">
        <v>2176.2427999999995</v>
      </c>
      <c r="AC41">
        <v>2244.1014000000005</v>
      </c>
      <c r="AD41">
        <v>2315.0185000000001</v>
      </c>
      <c r="AE41">
        <v>2367.7714000000001</v>
      </c>
      <c r="AF41">
        <v>2439.3925000000004</v>
      </c>
      <c r="AG41">
        <v>2423.6450000000004</v>
      </c>
      <c r="AH41">
        <v>2485.1006000000002</v>
      </c>
      <c r="AI41">
        <v>2550.8518000000008</v>
      </c>
      <c r="AJ41">
        <v>2606.5279999999998</v>
      </c>
    </row>
    <row r="42" spans="1:36">
      <c r="A42" t="s">
        <v>19</v>
      </c>
      <c r="B42" s="29" t="s">
        <v>173</v>
      </c>
      <c r="C42">
        <v>140.4442</v>
      </c>
      <c r="D42">
        <v>162.24450000000004</v>
      </c>
      <c r="E42">
        <v>156.2115</v>
      </c>
      <c r="F42">
        <v>149.87700000000001</v>
      </c>
      <c r="G42">
        <v>271.05490000000003</v>
      </c>
      <c r="H42">
        <v>155.89769999999999</v>
      </c>
      <c r="I42">
        <v>157.80269999999999</v>
      </c>
      <c r="J42">
        <v>159.66050000000001</v>
      </c>
      <c r="K42">
        <v>161.28469999999999</v>
      </c>
      <c r="L42">
        <v>174.05440000000004</v>
      </c>
      <c r="M42">
        <v>183.45739999999998</v>
      </c>
      <c r="N42">
        <v>188.32499999999999</v>
      </c>
      <c r="O42">
        <v>159.4067</v>
      </c>
      <c r="P42">
        <v>160.47319999999999</v>
      </c>
      <c r="Q42">
        <v>164.01100000000002</v>
      </c>
      <c r="R42">
        <v>175.23139999999998</v>
      </c>
      <c r="S42">
        <v>180.02689999999998</v>
      </c>
      <c r="T42">
        <v>184.8133</v>
      </c>
      <c r="U42">
        <v>189.9742</v>
      </c>
      <c r="V42">
        <v>203.38870000000003</v>
      </c>
      <c r="W42">
        <v>225.20850000000002</v>
      </c>
      <c r="X42">
        <v>241.60580000000002</v>
      </c>
      <c r="Y42">
        <v>252.01930000000004</v>
      </c>
      <c r="Z42">
        <v>262.39480000000003</v>
      </c>
      <c r="AA42">
        <v>273.01659999999998</v>
      </c>
      <c r="AB42">
        <v>283.70120000000003</v>
      </c>
      <c r="AC42">
        <v>296.35049999999995</v>
      </c>
      <c r="AD42">
        <v>309.26900000000001</v>
      </c>
      <c r="AE42">
        <v>323.327</v>
      </c>
      <c r="AF42">
        <v>357.22720000000004</v>
      </c>
      <c r="AG42">
        <v>399.28130000000004</v>
      </c>
      <c r="AH42">
        <v>415.89800000000002</v>
      </c>
      <c r="AI42">
        <v>432.59100000000001</v>
      </c>
      <c r="AJ42">
        <v>449.2127000000001</v>
      </c>
    </row>
    <row r="43" spans="1:36">
      <c r="A43" t="s">
        <v>19</v>
      </c>
      <c r="B43" s="29" t="s">
        <v>174</v>
      </c>
      <c r="C43">
        <v>259.92079999999993</v>
      </c>
      <c r="D43">
        <v>143.8235</v>
      </c>
      <c r="E43">
        <v>159.36930000000001</v>
      </c>
      <c r="F43">
        <v>135.86330000000001</v>
      </c>
      <c r="G43">
        <v>35.692899999999995</v>
      </c>
      <c r="H43">
        <v>11.0006</v>
      </c>
      <c r="I43">
        <v>11.083600000000001</v>
      </c>
      <c r="J43">
        <v>11.169</v>
      </c>
      <c r="K43">
        <v>11.2568</v>
      </c>
      <c r="L43">
        <v>11.346000000000002</v>
      </c>
      <c r="M43">
        <v>11.225</v>
      </c>
      <c r="N43">
        <v>11.330200000000001</v>
      </c>
      <c r="O43">
        <v>11.434999999999999</v>
      </c>
      <c r="P43">
        <v>11.539200000000001</v>
      </c>
      <c r="Q43">
        <v>9.3393999999999995</v>
      </c>
    </row>
    <row r="44" spans="1:36">
      <c r="A44" t="s">
        <v>19</v>
      </c>
      <c r="B44" s="29" t="s">
        <v>176</v>
      </c>
      <c r="C44">
        <v>15.669</v>
      </c>
      <c r="D44">
        <v>1.7527999999999999</v>
      </c>
      <c r="E44">
        <v>1.7672000000000001</v>
      </c>
      <c r="F44">
        <v>1.782</v>
      </c>
    </row>
    <row r="45" spans="1:36">
      <c r="A45" t="s">
        <v>19</v>
      </c>
      <c r="B45" s="29" t="s">
        <v>179</v>
      </c>
      <c r="D45">
        <v>25.213800000000003</v>
      </c>
      <c r="E45">
        <v>27.422999999999998</v>
      </c>
      <c r="F45">
        <v>29.613599999999998</v>
      </c>
      <c r="G45">
        <v>134.99850000000006</v>
      </c>
      <c r="H45">
        <v>136.09209999999999</v>
      </c>
      <c r="I45">
        <v>137.12189999999995</v>
      </c>
      <c r="J45">
        <v>138.17939999999999</v>
      </c>
      <c r="K45">
        <v>139.26110000000006</v>
      </c>
      <c r="L45">
        <v>140.36569999999998</v>
      </c>
      <c r="M45">
        <v>138.86989999999997</v>
      </c>
      <c r="N45">
        <v>140.17010000000002</v>
      </c>
      <c r="O45">
        <v>141.46429999999998</v>
      </c>
      <c r="P45">
        <v>142.75480000000002</v>
      </c>
      <c r="Q45">
        <v>146.38929999999999</v>
      </c>
      <c r="R45">
        <v>157.28840000000002</v>
      </c>
      <c r="S45">
        <v>162.1687</v>
      </c>
      <c r="T45">
        <v>167.04050000000001</v>
      </c>
      <c r="U45">
        <v>171.90530000000001</v>
      </c>
      <c r="V45">
        <v>176.76570000000001</v>
      </c>
      <c r="W45">
        <v>181.21129999999999</v>
      </c>
      <c r="X45">
        <v>189.24530000000001</v>
      </c>
      <c r="Y45">
        <v>197.28580000000002</v>
      </c>
      <c r="Z45">
        <v>205.33389999999997</v>
      </c>
      <c r="AA45">
        <v>213.39000000000001</v>
      </c>
      <c r="AB45">
        <v>221.45519999999999</v>
      </c>
      <c r="AC45">
        <v>231.59350000000001</v>
      </c>
      <c r="AD45">
        <v>241.7355</v>
      </c>
      <c r="AE45">
        <v>251.88280000000003</v>
      </c>
      <c r="AF45">
        <v>262.03620000000001</v>
      </c>
      <c r="AG45">
        <v>270.03129999999999</v>
      </c>
      <c r="AH45">
        <v>282.47680000000003</v>
      </c>
      <c r="AI45">
        <v>294.92189999999999</v>
      </c>
      <c r="AJ45">
        <v>307.36720000000003</v>
      </c>
    </row>
    <row r="46" spans="1:36">
      <c r="A46" t="s">
        <v>19</v>
      </c>
      <c r="B46" s="29" t="s">
        <v>180</v>
      </c>
      <c r="C46">
        <v>109.16470000000001</v>
      </c>
      <c r="D46">
        <v>115.9461</v>
      </c>
      <c r="E46">
        <v>114.8014</v>
      </c>
      <c r="F46">
        <v>113.71320000000001</v>
      </c>
      <c r="G46">
        <v>11.100200000000001</v>
      </c>
      <c r="H46">
        <v>11.190199999999999</v>
      </c>
      <c r="I46">
        <v>11.275</v>
      </c>
      <c r="J46">
        <v>11.361799999999999</v>
      </c>
      <c r="K46">
        <v>11.4506</v>
      </c>
      <c r="L46">
        <v>11.541599999999999</v>
      </c>
      <c r="M46">
        <v>11.418600000000001</v>
      </c>
      <c r="N46">
        <v>11.525599999999999</v>
      </c>
      <c r="O46">
        <v>11.632200000000001</v>
      </c>
      <c r="P46">
        <v>11.738199999999999</v>
      </c>
      <c r="Q46">
        <v>9.5003999999999991</v>
      </c>
    </row>
    <row r="47" spans="1:36">
      <c r="A47" t="s">
        <v>19</v>
      </c>
      <c r="B47" s="29" t="s">
        <v>181</v>
      </c>
      <c r="C47">
        <v>14.923999999999999</v>
      </c>
    </row>
    <row r="48" spans="1:36">
      <c r="A48" t="s">
        <v>19</v>
      </c>
      <c r="B48" s="29" t="s">
        <v>182</v>
      </c>
      <c r="C48">
        <v>59.694599999999994</v>
      </c>
      <c r="D48">
        <v>64.484899999999996</v>
      </c>
      <c r="E48">
        <v>69.275599999999997</v>
      </c>
      <c r="F48">
        <v>74.066099999999992</v>
      </c>
      <c r="G48">
        <v>78.856799999999978</v>
      </c>
      <c r="H48">
        <v>83.647600000000011</v>
      </c>
      <c r="I48">
        <v>89.792299999999997</v>
      </c>
      <c r="J48">
        <v>95.937200000000033</v>
      </c>
      <c r="K48">
        <v>102.08149999999999</v>
      </c>
      <c r="L48">
        <v>108.22640000000001</v>
      </c>
      <c r="M48">
        <v>114.37100000000001</v>
      </c>
      <c r="N48">
        <v>122.02480000000001</v>
      </c>
      <c r="O48">
        <v>129.67840000000001</v>
      </c>
      <c r="P48">
        <v>137.33130000000003</v>
      </c>
      <c r="Q48">
        <v>144.98539999999997</v>
      </c>
      <c r="R48">
        <v>152.63910000000001</v>
      </c>
      <c r="S48">
        <v>162.43700000000004</v>
      </c>
      <c r="T48">
        <v>172.23549999999992</v>
      </c>
      <c r="U48">
        <v>182.0342</v>
      </c>
      <c r="V48">
        <v>191.83240000000004</v>
      </c>
      <c r="W48">
        <v>201.63069999999996</v>
      </c>
      <c r="X48">
        <v>213.46809999999999</v>
      </c>
      <c r="Y48">
        <v>225.3049</v>
      </c>
      <c r="Z48">
        <v>237.14190000000002</v>
      </c>
      <c r="AA48">
        <v>248.97890000000004</v>
      </c>
      <c r="AB48">
        <v>260.81569999999994</v>
      </c>
      <c r="AC48">
        <v>273.94410000000005</v>
      </c>
      <c r="AD48">
        <v>287.07259999999997</v>
      </c>
      <c r="AE48">
        <v>300.20109999999994</v>
      </c>
      <c r="AF48">
        <v>313.33030000000002</v>
      </c>
      <c r="AG48">
        <v>326.45859999999999</v>
      </c>
      <c r="AH48">
        <v>339.58550000000008</v>
      </c>
      <c r="AI48">
        <v>352.7122</v>
      </c>
      <c r="AJ48">
        <v>365.83890000000014</v>
      </c>
    </row>
    <row r="49" spans="1:36">
      <c r="A49" t="s">
        <v>19</v>
      </c>
      <c r="B49" s="29" t="s">
        <v>184</v>
      </c>
      <c r="C49">
        <v>113.52079999999995</v>
      </c>
      <c r="D49">
        <v>115.16039999999997</v>
      </c>
      <c r="E49">
        <v>116.80300000000004</v>
      </c>
      <c r="F49">
        <v>118.44280000000005</v>
      </c>
      <c r="G49">
        <v>120.08439999999997</v>
      </c>
      <c r="H49">
        <v>121.72539999999998</v>
      </c>
      <c r="I49">
        <v>123.28530000000002</v>
      </c>
      <c r="J49">
        <v>124.84579999999997</v>
      </c>
      <c r="K49">
        <v>126.40539999999994</v>
      </c>
      <c r="L49">
        <v>127.9657</v>
      </c>
      <c r="M49">
        <v>129.52439999999996</v>
      </c>
      <c r="N49">
        <v>130.9648</v>
      </c>
      <c r="O49">
        <v>132.40469999999996</v>
      </c>
      <c r="P49">
        <v>133.84470000000002</v>
      </c>
      <c r="Q49">
        <v>135.28359999999998</v>
      </c>
      <c r="R49">
        <v>136.72370000000001</v>
      </c>
      <c r="S49">
        <v>138.02620000000002</v>
      </c>
      <c r="T49">
        <v>139.3288</v>
      </c>
      <c r="U49">
        <v>140.6311</v>
      </c>
      <c r="V49">
        <v>141.9348</v>
      </c>
      <c r="W49">
        <v>143.23700000000002</v>
      </c>
      <c r="X49">
        <v>144.39470000000003</v>
      </c>
      <c r="Y49">
        <v>145.55169999999995</v>
      </c>
      <c r="Z49">
        <v>146.70969999999997</v>
      </c>
      <c r="AA49">
        <v>147.86669999999995</v>
      </c>
      <c r="AB49">
        <v>149.02390000000003</v>
      </c>
      <c r="AC49">
        <v>150.02590000000001</v>
      </c>
      <c r="AD49">
        <v>151.02740000000003</v>
      </c>
      <c r="AE49">
        <v>152.02840000000003</v>
      </c>
      <c r="AF49">
        <v>153.02879999999999</v>
      </c>
      <c r="AG49">
        <v>154.03060000000002</v>
      </c>
      <c r="AH49">
        <v>154.89479999999995</v>
      </c>
      <c r="AI49">
        <v>155.75900000000001</v>
      </c>
      <c r="AJ49">
        <v>156.62329999999997</v>
      </c>
    </row>
    <row r="50" spans="1:36">
      <c r="A50" t="s">
        <v>19</v>
      </c>
      <c r="B50" s="29" t="s">
        <v>186</v>
      </c>
      <c r="C50">
        <v>9.7595999999999989</v>
      </c>
      <c r="D50">
        <v>10.192799999999995</v>
      </c>
      <c r="E50">
        <v>10.615200000000005</v>
      </c>
      <c r="F50">
        <v>11.036400000000004</v>
      </c>
      <c r="G50">
        <v>11.469600000000005</v>
      </c>
      <c r="H50">
        <v>11.891399999999997</v>
      </c>
      <c r="I50">
        <v>12.462000000000003</v>
      </c>
      <c r="J50">
        <v>13.020600000000005</v>
      </c>
      <c r="K50">
        <v>13.589400000000001</v>
      </c>
      <c r="L50">
        <v>14.160000000000005</v>
      </c>
      <c r="M50">
        <v>14.718599999999995</v>
      </c>
      <c r="N50">
        <v>15.473999999999995</v>
      </c>
      <c r="O50">
        <v>16.244399999999999</v>
      </c>
      <c r="P50">
        <v>16.999799999999993</v>
      </c>
      <c r="Q50">
        <v>17.755800000000001</v>
      </c>
      <c r="R50">
        <v>18.513599999999997</v>
      </c>
      <c r="S50">
        <v>19.590599999999998</v>
      </c>
      <c r="T50">
        <v>20.669999999999998</v>
      </c>
      <c r="U50">
        <v>21.750000000000004</v>
      </c>
      <c r="V50">
        <v>22.828599999999998</v>
      </c>
      <c r="W50">
        <v>23.907599999999995</v>
      </c>
      <c r="X50">
        <v>25.43340000000001</v>
      </c>
      <c r="Y50">
        <v>26.945999999999991</v>
      </c>
      <c r="Z50">
        <v>28.470600000000001</v>
      </c>
      <c r="AA50">
        <v>29.995199999999997</v>
      </c>
      <c r="AB50">
        <v>31.521000000000001</v>
      </c>
      <c r="AC50">
        <v>33.604199999999999</v>
      </c>
      <c r="AD50">
        <v>35.688600000000015</v>
      </c>
      <c r="AE50">
        <v>37.77000000000001</v>
      </c>
      <c r="AF50">
        <v>39.854100000000003</v>
      </c>
      <c r="AG50">
        <v>41.937599999999975</v>
      </c>
      <c r="AH50">
        <v>44.652000000000008</v>
      </c>
      <c r="AI50">
        <v>47.36820000000003</v>
      </c>
      <c r="AJ50">
        <v>50.083200000000033</v>
      </c>
    </row>
    <row r="51" spans="1:36">
      <c r="A51" t="s">
        <v>19</v>
      </c>
      <c r="B51" s="29" t="s">
        <v>189</v>
      </c>
      <c r="C51">
        <v>37.842600000000026</v>
      </c>
      <c r="D51">
        <v>37.164599999999993</v>
      </c>
      <c r="E51">
        <v>36.556199999999983</v>
      </c>
      <c r="F51">
        <v>36.009600000000013</v>
      </c>
      <c r="G51">
        <v>35.519999999999989</v>
      </c>
      <c r="H51">
        <v>35.092800000000004</v>
      </c>
      <c r="I51">
        <v>34.680000000000014</v>
      </c>
      <c r="J51">
        <v>34.311599999999984</v>
      </c>
      <c r="K51">
        <v>33.994199999999978</v>
      </c>
      <c r="L51">
        <v>33.704999999999991</v>
      </c>
      <c r="M51">
        <v>29.418600000000001</v>
      </c>
      <c r="N51">
        <v>29.513999999999996</v>
      </c>
      <c r="O51">
        <v>29.612400000000008</v>
      </c>
      <c r="P51">
        <v>29.700600000000016</v>
      </c>
      <c r="Q51">
        <v>29.788200000000007</v>
      </c>
      <c r="R51">
        <v>29.883000000000003</v>
      </c>
      <c r="S51">
        <v>29.942399999999989</v>
      </c>
      <c r="T51">
        <v>30.0108</v>
      </c>
      <c r="U51">
        <v>30.083999999999993</v>
      </c>
      <c r="V51">
        <v>30.163799999999988</v>
      </c>
      <c r="W51">
        <v>30.035999999999987</v>
      </c>
      <c r="X51">
        <v>30.0276</v>
      </c>
      <c r="Y51">
        <v>30.034799999999986</v>
      </c>
      <c r="Z51">
        <v>30.065999999999995</v>
      </c>
      <c r="AA51">
        <v>30.116999999999997</v>
      </c>
      <c r="AB51">
        <v>30.18300000000001</v>
      </c>
      <c r="AC51">
        <v>30.232199999999999</v>
      </c>
      <c r="AD51">
        <v>30.290999999999986</v>
      </c>
      <c r="AE51">
        <v>30.3672</v>
      </c>
      <c r="AF51">
        <v>30.454799999999995</v>
      </c>
      <c r="AG51">
        <v>29.610000000000007</v>
      </c>
      <c r="AH51">
        <v>29.782199999999985</v>
      </c>
      <c r="AI51">
        <v>29.948399999999989</v>
      </c>
      <c r="AJ51">
        <v>30.114599999999999</v>
      </c>
    </row>
    <row r="52" spans="1:36">
      <c r="A52" t="s">
        <v>19</v>
      </c>
      <c r="B52" s="29" t="s">
        <v>194</v>
      </c>
      <c r="C52">
        <v>75.6798</v>
      </c>
      <c r="D52">
        <v>77.927999999999955</v>
      </c>
      <c r="E52">
        <v>80.178000000000026</v>
      </c>
      <c r="F52">
        <v>82.433399999999992</v>
      </c>
      <c r="G52">
        <v>84.695399999999992</v>
      </c>
      <c r="H52">
        <v>86.967600000000004</v>
      </c>
      <c r="I52">
        <v>89.436600000000013</v>
      </c>
      <c r="J52">
        <v>91.914600000000021</v>
      </c>
      <c r="K52">
        <v>94.403399999999962</v>
      </c>
      <c r="L52">
        <v>96.904799999999994</v>
      </c>
      <c r="M52">
        <v>93.108599999999996</v>
      </c>
      <c r="N52">
        <v>96.038399999999982</v>
      </c>
      <c r="O52">
        <v>98.955600000000032</v>
      </c>
      <c r="P52">
        <v>101.85780000000001</v>
      </c>
      <c r="Q52">
        <v>104.75340000000007</v>
      </c>
      <c r="R52">
        <v>107.63880000000003</v>
      </c>
      <c r="S52">
        <v>110.42460000000004</v>
      </c>
      <c r="T52">
        <v>113.20680000000003</v>
      </c>
      <c r="U52">
        <v>115.98540000000007</v>
      </c>
      <c r="V52">
        <v>118.76279999999997</v>
      </c>
      <c r="W52">
        <v>121.29480000000001</v>
      </c>
      <c r="X52">
        <v>123.66659999999995</v>
      </c>
      <c r="Y52">
        <v>126.05759999999999</v>
      </c>
      <c r="Z52">
        <v>128.46480000000005</v>
      </c>
      <c r="AA52">
        <v>130.88699999999997</v>
      </c>
      <c r="AB52">
        <v>133.32120000000006</v>
      </c>
      <c r="AC52">
        <v>135.28500000000003</v>
      </c>
      <c r="AD52">
        <v>137.26140000000001</v>
      </c>
      <c r="AE52">
        <v>139.25040000000004</v>
      </c>
      <c r="AF52">
        <v>141.25019999999998</v>
      </c>
      <c r="AG52">
        <v>142.05060000000003</v>
      </c>
      <c r="AH52">
        <v>143.67059999999998</v>
      </c>
      <c r="AI52">
        <v>145.28880000000004</v>
      </c>
      <c r="AJ52">
        <v>146.90759999999997</v>
      </c>
    </row>
    <row r="53" spans="1:36">
      <c r="A53" t="s">
        <v>19</v>
      </c>
      <c r="B53" s="29" t="s">
        <v>197</v>
      </c>
      <c r="C53">
        <v>0.17579999999999996</v>
      </c>
      <c r="D53">
        <v>0.17579999999999996</v>
      </c>
      <c r="E53">
        <v>0.17579999999999996</v>
      </c>
      <c r="F53">
        <v>0.17579999999999996</v>
      </c>
      <c r="G53">
        <v>0.17579999999999996</v>
      </c>
      <c r="H53">
        <v>0.16359999999999994</v>
      </c>
      <c r="I53">
        <v>0.16359999999999994</v>
      </c>
      <c r="J53">
        <v>0.16359999999999994</v>
      </c>
      <c r="K53">
        <v>0.16359999999999994</v>
      </c>
      <c r="L53">
        <v>0.15579999999999988</v>
      </c>
      <c r="M53">
        <v>0.12069999999999997</v>
      </c>
      <c r="N53">
        <v>0.15579999999999988</v>
      </c>
      <c r="O53">
        <v>0.15579999999999988</v>
      </c>
      <c r="P53">
        <v>0.15579999999999988</v>
      </c>
      <c r="Q53">
        <v>0.15579999999999988</v>
      </c>
      <c r="R53">
        <v>0.15579999999999988</v>
      </c>
      <c r="S53">
        <v>0.15579999999999988</v>
      </c>
      <c r="T53">
        <v>0.15579999999999988</v>
      </c>
      <c r="U53">
        <v>0.15579999999999988</v>
      </c>
      <c r="V53">
        <v>0.15579999999999988</v>
      </c>
    </row>
    <row r="54" spans="1:36">
      <c r="A54" t="s">
        <v>19</v>
      </c>
      <c r="B54" s="29" t="s">
        <v>199</v>
      </c>
      <c r="E54">
        <v>0.17579999999999996</v>
      </c>
      <c r="F54">
        <v>0.17579999999999996</v>
      </c>
      <c r="G54">
        <v>0.35279999999999984</v>
      </c>
      <c r="H54">
        <v>0.36959999999999998</v>
      </c>
      <c r="I54">
        <v>0.54660000000000009</v>
      </c>
      <c r="J54">
        <v>0.72179999999999978</v>
      </c>
      <c r="K54">
        <v>0.72179999999999978</v>
      </c>
      <c r="L54">
        <v>0.91560000000000019</v>
      </c>
      <c r="M54">
        <v>1.1621999999999999</v>
      </c>
      <c r="N54">
        <v>1.2671999999999997</v>
      </c>
      <c r="O54">
        <v>1.2671999999999997</v>
      </c>
      <c r="P54">
        <v>1.4429999999999996</v>
      </c>
      <c r="Q54">
        <v>1.6199999999999994</v>
      </c>
      <c r="R54">
        <v>1.7951999999999995</v>
      </c>
      <c r="S54">
        <v>1.9721999999999988</v>
      </c>
      <c r="T54">
        <v>2.1467999999999994</v>
      </c>
      <c r="U54">
        <v>2.3226000000000009</v>
      </c>
      <c r="V54">
        <v>2.6747999999999985</v>
      </c>
      <c r="W54">
        <v>3.168600000000001</v>
      </c>
      <c r="X54">
        <v>3.3443999999999985</v>
      </c>
      <c r="Y54">
        <v>3.6954000000000002</v>
      </c>
      <c r="Z54">
        <v>4.0481999999999996</v>
      </c>
      <c r="AA54">
        <v>4.2239999999999984</v>
      </c>
      <c r="AB54">
        <v>4.5750000000000002</v>
      </c>
      <c r="AC54">
        <v>4.9278000000000022</v>
      </c>
      <c r="AD54">
        <v>5.2794000000000043</v>
      </c>
      <c r="AE54">
        <v>5.6316000000000006</v>
      </c>
      <c r="AF54">
        <v>5.9831999999999947</v>
      </c>
      <c r="AG54">
        <v>6.3360000000000039</v>
      </c>
      <c r="AH54">
        <v>6.863999999999999</v>
      </c>
      <c r="AI54">
        <v>7.216800000000001</v>
      </c>
      <c r="AJ54">
        <v>7.7436000000000007</v>
      </c>
    </row>
    <row r="55" spans="1:36">
      <c r="A55" t="s">
        <v>19</v>
      </c>
      <c r="B55" s="29" t="s">
        <v>200</v>
      </c>
      <c r="C55">
        <v>0.17579999999999996</v>
      </c>
      <c r="D55">
        <v>0.17579999999999996</v>
      </c>
      <c r="E55">
        <v>0.17579999999999996</v>
      </c>
      <c r="F55">
        <v>0.17579999999999996</v>
      </c>
      <c r="G55">
        <v>0.17579999999999996</v>
      </c>
      <c r="H55">
        <v>0.16359999999999994</v>
      </c>
      <c r="I55">
        <v>0.16359999999999994</v>
      </c>
      <c r="J55">
        <v>0.16359999999999994</v>
      </c>
      <c r="K55">
        <v>0.16359999999999994</v>
      </c>
      <c r="L55">
        <v>0.15579999999999988</v>
      </c>
      <c r="M55">
        <v>0.12069999999999997</v>
      </c>
      <c r="N55">
        <v>0.15579999999999988</v>
      </c>
      <c r="O55">
        <v>0.15579999999999988</v>
      </c>
      <c r="P55">
        <v>0.15579999999999988</v>
      </c>
      <c r="Q55">
        <v>0.15579999999999988</v>
      </c>
      <c r="R55">
        <v>0.15579999999999988</v>
      </c>
      <c r="S55">
        <v>0.15579999999999988</v>
      </c>
      <c r="T55">
        <v>0.15579999999999988</v>
      </c>
      <c r="U55">
        <v>0.15579999999999988</v>
      </c>
      <c r="V55">
        <v>0.15579999999999988</v>
      </c>
    </row>
    <row r="56" spans="1:36">
      <c r="A56" t="s">
        <v>19</v>
      </c>
      <c r="B56" s="29" t="s">
        <v>202</v>
      </c>
      <c r="E56">
        <v>0.17579999999999996</v>
      </c>
      <c r="F56">
        <v>0.17579999999999996</v>
      </c>
      <c r="G56">
        <v>0.35279999999999984</v>
      </c>
      <c r="H56">
        <v>0.36959999999999998</v>
      </c>
      <c r="I56">
        <v>0.54660000000000009</v>
      </c>
      <c r="J56">
        <v>0.54660000000000009</v>
      </c>
      <c r="K56">
        <v>0.72179999999999978</v>
      </c>
      <c r="L56">
        <v>0.73860000000000003</v>
      </c>
      <c r="M56">
        <v>0.98579999999999945</v>
      </c>
      <c r="N56">
        <v>1.0913999999999997</v>
      </c>
      <c r="O56">
        <v>1.0913999999999997</v>
      </c>
      <c r="P56">
        <v>1.2671999999999997</v>
      </c>
      <c r="Q56">
        <v>1.4429999999999996</v>
      </c>
      <c r="R56">
        <v>1.6199999999999994</v>
      </c>
      <c r="S56">
        <v>1.7951999999999995</v>
      </c>
      <c r="T56">
        <v>1.9721999999999988</v>
      </c>
      <c r="U56">
        <v>2.1467999999999994</v>
      </c>
      <c r="V56">
        <v>2.3226000000000009</v>
      </c>
      <c r="W56">
        <v>2.815799999999999</v>
      </c>
      <c r="X56">
        <v>3.168600000000001</v>
      </c>
      <c r="Y56">
        <v>3.3443999999999985</v>
      </c>
      <c r="Z56">
        <v>3.5207999999999995</v>
      </c>
      <c r="AA56">
        <v>3.8712000000000009</v>
      </c>
      <c r="AB56">
        <v>4.0481999999999996</v>
      </c>
      <c r="AC56">
        <v>4.3997999999999999</v>
      </c>
      <c r="AD56">
        <v>4.7520000000000016</v>
      </c>
      <c r="AE56">
        <v>5.1047999999999982</v>
      </c>
      <c r="AF56">
        <v>5.4558000000000018</v>
      </c>
      <c r="AG56">
        <v>5.8085999999999967</v>
      </c>
      <c r="AH56">
        <v>6.1602000000000041</v>
      </c>
      <c r="AI56">
        <v>6.5123999999999995</v>
      </c>
      <c r="AJ56">
        <v>7.0398000000000023</v>
      </c>
    </row>
    <row r="57" spans="1:36">
      <c r="A57" t="s">
        <v>19</v>
      </c>
      <c r="B57" s="29" t="s">
        <v>204</v>
      </c>
      <c r="C57">
        <v>33.093899999999998</v>
      </c>
      <c r="D57">
        <v>35.659200000000013</v>
      </c>
      <c r="E57">
        <v>38.2224</v>
      </c>
      <c r="F57">
        <v>40.785599999999981</v>
      </c>
      <c r="G57">
        <v>43.348800000000033</v>
      </c>
      <c r="H57">
        <v>45.91200000000002</v>
      </c>
      <c r="I57">
        <v>48.853199999999994</v>
      </c>
      <c r="J57">
        <v>51.79320000000002</v>
      </c>
      <c r="K57">
        <v>54.733800000000009</v>
      </c>
      <c r="L57">
        <v>57.674999999999983</v>
      </c>
      <c r="M57">
        <v>60.615000000000016</v>
      </c>
      <c r="N57">
        <v>63.768000000000029</v>
      </c>
      <c r="O57">
        <v>66.921599999999984</v>
      </c>
      <c r="P57">
        <v>70.076999999999984</v>
      </c>
      <c r="Q57">
        <v>73.230000000000032</v>
      </c>
      <c r="R57">
        <v>76.383600000000015</v>
      </c>
      <c r="S57">
        <v>79.825800000000029</v>
      </c>
      <c r="T57">
        <v>83.267400000000023</v>
      </c>
      <c r="U57">
        <v>86.710199999999986</v>
      </c>
      <c r="V57">
        <v>90.15130000000002</v>
      </c>
      <c r="W57">
        <v>93.593399999999988</v>
      </c>
      <c r="X57">
        <v>97.301999999999964</v>
      </c>
      <c r="Y57">
        <v>101.01060000000005</v>
      </c>
      <c r="Z57">
        <v>104.721</v>
      </c>
      <c r="AA57">
        <v>108.4308</v>
      </c>
      <c r="AB57">
        <v>112.14060000000002</v>
      </c>
      <c r="AC57">
        <v>116.0988</v>
      </c>
      <c r="AD57">
        <v>120.05640000000001</v>
      </c>
      <c r="AE57">
        <v>124.01580000000003</v>
      </c>
      <c r="AF57">
        <v>127.97400000000003</v>
      </c>
      <c r="AG57">
        <v>131.93279999999996</v>
      </c>
      <c r="AH57">
        <v>136.06619999999998</v>
      </c>
      <c r="AI57">
        <v>140.19959999999998</v>
      </c>
      <c r="AJ57">
        <v>144.33360000000002</v>
      </c>
    </row>
    <row r="58" spans="1:36">
      <c r="A58" t="s">
        <v>19</v>
      </c>
      <c r="B58" s="29" t="s">
        <v>207</v>
      </c>
      <c r="C58">
        <v>75.67740000000002</v>
      </c>
      <c r="D58">
        <v>78.500400000000013</v>
      </c>
      <c r="E58">
        <v>81.274199999999936</v>
      </c>
      <c r="F58">
        <v>84.005999999999901</v>
      </c>
      <c r="G58">
        <v>86.704199999999943</v>
      </c>
      <c r="H58">
        <v>89.373000000000005</v>
      </c>
      <c r="I58">
        <v>92.948400000000049</v>
      </c>
      <c r="J58">
        <v>96.470399999999984</v>
      </c>
      <c r="K58">
        <v>99.956399999999988</v>
      </c>
      <c r="L58">
        <v>103.41539999999999</v>
      </c>
      <c r="M58">
        <v>100.06019999999997</v>
      </c>
      <c r="N58">
        <v>104.63159999999996</v>
      </c>
      <c r="O58">
        <v>109.15739999999998</v>
      </c>
      <c r="P58">
        <v>113.65199999999994</v>
      </c>
      <c r="Q58">
        <v>118.119</v>
      </c>
      <c r="R58">
        <v>122.57160000000002</v>
      </c>
      <c r="S58">
        <v>128.11919999999995</v>
      </c>
      <c r="T58">
        <v>133.63319999999999</v>
      </c>
      <c r="U58">
        <v>139.13219999999995</v>
      </c>
      <c r="V58">
        <v>144.6174</v>
      </c>
      <c r="W58">
        <v>148.22879999999998</v>
      </c>
      <c r="X58">
        <v>154.57260000000011</v>
      </c>
      <c r="Y58">
        <v>160.92659999999998</v>
      </c>
      <c r="Z58">
        <v>167.29140000000012</v>
      </c>
      <c r="AA58">
        <v>173.66699999999997</v>
      </c>
      <c r="AB58">
        <v>180.05399999999997</v>
      </c>
      <c r="AC58">
        <v>187.06019999999995</v>
      </c>
      <c r="AD58">
        <v>194.07599999999999</v>
      </c>
      <c r="AE58">
        <v>201.11099999999993</v>
      </c>
      <c r="AF58">
        <v>208.14780000000007</v>
      </c>
      <c r="AG58">
        <v>212.14439999999991</v>
      </c>
      <c r="AH58">
        <v>219.49079999999995</v>
      </c>
      <c r="AI58">
        <v>226.84499999999989</v>
      </c>
      <c r="AJ58">
        <v>234.19859999999989</v>
      </c>
    </row>
    <row r="59" spans="1:36">
      <c r="A59" t="s">
        <v>19</v>
      </c>
      <c r="B59" s="29" t="s">
        <v>212</v>
      </c>
      <c r="C59">
        <v>56.760000000000005</v>
      </c>
      <c r="D59">
        <v>59.001000000000047</v>
      </c>
      <c r="E59">
        <v>61.231200000000001</v>
      </c>
      <c r="F59">
        <v>63.449999999999974</v>
      </c>
      <c r="G59">
        <v>65.662799999999976</v>
      </c>
      <c r="H59">
        <v>67.876199999999997</v>
      </c>
      <c r="I59">
        <v>70.789200000000022</v>
      </c>
      <c r="J59">
        <v>73.692000000000007</v>
      </c>
      <c r="K59">
        <v>76.589399999999983</v>
      </c>
      <c r="L59">
        <v>79.480200000000039</v>
      </c>
      <c r="M59">
        <v>76.999799999999979</v>
      </c>
      <c r="N59">
        <v>80.869799999999969</v>
      </c>
      <c r="O59">
        <v>84.724200000000053</v>
      </c>
      <c r="P59">
        <v>88.567800000000034</v>
      </c>
      <c r="Q59">
        <v>92.3994</v>
      </c>
      <c r="R59">
        <v>96.219000000000008</v>
      </c>
      <c r="S59">
        <v>100.911</v>
      </c>
      <c r="T59">
        <v>105.59219999999998</v>
      </c>
      <c r="U59">
        <v>110.26620000000004</v>
      </c>
      <c r="V59">
        <v>114.9312</v>
      </c>
      <c r="W59">
        <v>119.40660000000005</v>
      </c>
      <c r="X59">
        <v>124.78440000000002</v>
      </c>
      <c r="Y59">
        <v>130.16339999999994</v>
      </c>
      <c r="Z59">
        <v>135.54900000000001</v>
      </c>
      <c r="AA59">
        <v>140.93879999999999</v>
      </c>
      <c r="AB59">
        <v>146.33219999999997</v>
      </c>
      <c r="AC59">
        <v>152.22360000000003</v>
      </c>
      <c r="AD59">
        <v>158.12039999999999</v>
      </c>
      <c r="AE59">
        <v>164.02140000000009</v>
      </c>
      <c r="AF59">
        <v>169.92659999999989</v>
      </c>
      <c r="AG59">
        <v>174.69420000000002</v>
      </c>
      <c r="AH59">
        <v>180.74999999999997</v>
      </c>
      <c r="AI59">
        <v>186.80280000000002</v>
      </c>
      <c r="AJ59">
        <v>192.85680000000008</v>
      </c>
    </row>
    <row r="60" spans="1:36">
      <c r="A60" t="s">
        <v>19</v>
      </c>
      <c r="B60" s="29" t="s">
        <v>217</v>
      </c>
      <c r="C60">
        <v>18.920200000000012</v>
      </c>
      <c r="D60">
        <v>19.668000000000006</v>
      </c>
      <c r="E60">
        <v>20.409000000000002</v>
      </c>
      <c r="F60">
        <v>21.1494</v>
      </c>
      <c r="G60">
        <v>21.886800000000001</v>
      </c>
      <c r="H60">
        <v>22.624799999999993</v>
      </c>
      <c r="I60">
        <v>23.598000000000003</v>
      </c>
      <c r="J60">
        <v>24.563400000000009</v>
      </c>
      <c r="K60">
        <v>25.53060000000001</v>
      </c>
      <c r="L60">
        <v>26.49359999999999</v>
      </c>
      <c r="M60">
        <v>25.665599999999998</v>
      </c>
      <c r="N60">
        <v>26.956800000000005</v>
      </c>
      <c r="O60">
        <v>28.241999999999997</v>
      </c>
      <c r="P60">
        <v>29.52239999999999</v>
      </c>
      <c r="Q60">
        <v>30.801599999999993</v>
      </c>
      <c r="R60">
        <v>32.073600000000013</v>
      </c>
      <c r="S60">
        <v>33.637799999999999</v>
      </c>
      <c r="T60">
        <v>35.197199999999995</v>
      </c>
      <c r="U60">
        <v>36.755999999999993</v>
      </c>
      <c r="V60">
        <v>38.310600000000015</v>
      </c>
      <c r="W60">
        <v>39.802800000000026</v>
      </c>
      <c r="X60">
        <v>41.594399999999979</v>
      </c>
      <c r="Y60">
        <v>43.387200000000036</v>
      </c>
      <c r="Z60">
        <v>45.181800000000003</v>
      </c>
      <c r="AA60">
        <v>46.979399999999984</v>
      </c>
      <c r="AB60">
        <v>48.777599999999985</v>
      </c>
      <c r="AC60">
        <v>50.741399999999977</v>
      </c>
      <c r="AD60">
        <v>52.706399999999988</v>
      </c>
      <c r="AE60">
        <v>54.674999999999983</v>
      </c>
      <c r="AF60">
        <v>56.642399999999981</v>
      </c>
      <c r="AG60">
        <v>58.231199999999994</v>
      </c>
      <c r="AH60">
        <v>60.250200000000007</v>
      </c>
      <c r="AI60">
        <v>62.267399999999995</v>
      </c>
      <c r="AJ60">
        <v>64.285200000000003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51"/>
  <sheetViews>
    <sheetView zoomScale="80" zoomScaleNormal="80" workbookViewId="0">
      <selection activeCell="D5" sqref="D5:D21"/>
    </sheetView>
  </sheetViews>
  <sheetFormatPr defaultColWidth="8.77734375" defaultRowHeight="14.4"/>
  <cols>
    <col min="2" max="2" width="50.44140625" customWidth="1"/>
    <col min="3" max="3" width="22.109375" customWidth="1"/>
    <col min="4" max="4" width="10.44140625" bestFit="1" customWidth="1"/>
    <col min="5" max="5" width="26.44140625" customWidth="1"/>
    <col min="6" max="6" width="14.44140625" customWidth="1"/>
    <col min="7" max="7" width="14.33203125" bestFit="1" customWidth="1"/>
    <col min="10" max="10" width="18.44140625" customWidth="1"/>
  </cols>
  <sheetData>
    <row r="1" spans="2:11" ht="15" thickBot="1"/>
    <row r="2" spans="2:11" ht="15" thickBot="1">
      <c r="F2" s="4" t="s">
        <v>5</v>
      </c>
      <c r="G2" s="1">
        <v>0.05</v>
      </c>
      <c r="J2" s="4" t="s">
        <v>9</v>
      </c>
      <c r="K2" s="1">
        <v>277.77777800000001</v>
      </c>
    </row>
    <row r="3" spans="2:11" ht="15" thickBot="1">
      <c r="B3" s="2" t="s">
        <v>3</v>
      </c>
    </row>
    <row r="4" spans="2:11" ht="15" thickBot="1">
      <c r="B4" s="7" t="s">
        <v>1</v>
      </c>
      <c r="C4" s="7" t="s">
        <v>0</v>
      </c>
      <c r="D4" s="8" t="s">
        <v>2</v>
      </c>
      <c r="E4" s="9" t="s">
        <v>4</v>
      </c>
      <c r="G4" s="25"/>
    </row>
    <row r="5" spans="2:11">
      <c r="B5" t="s">
        <v>132</v>
      </c>
      <c r="D5" s="36">
        <v>25</v>
      </c>
      <c r="E5" s="36">
        <f>$G$2*(1+$G$2)^D5/((1+$G$2)^D5-1)</f>
        <v>7.0952457299229624E-2</v>
      </c>
    </row>
    <row r="6" spans="2:11">
      <c r="B6" t="s">
        <v>133</v>
      </c>
      <c r="C6" s="36"/>
      <c r="D6" s="36">
        <v>25</v>
      </c>
      <c r="E6" s="36">
        <f t="shared" ref="E6:E21" si="0">$G$2*(1+$G$2)^D6/((1+$G$2)^D6-1)</f>
        <v>7.0952457299229624E-2</v>
      </c>
    </row>
    <row r="7" spans="2:11">
      <c r="B7" t="s">
        <v>138</v>
      </c>
      <c r="C7" s="36"/>
      <c r="D7" s="36">
        <v>25</v>
      </c>
      <c r="E7" s="36">
        <f t="shared" si="0"/>
        <v>7.0952457299229624E-2</v>
      </c>
    </row>
    <row r="8" spans="2:11">
      <c r="B8" t="s">
        <v>141</v>
      </c>
      <c r="C8" s="36"/>
      <c r="D8" s="36">
        <v>25</v>
      </c>
      <c r="E8" s="36">
        <f t="shared" si="0"/>
        <v>7.0952457299229624E-2</v>
      </c>
    </row>
    <row r="9" spans="2:11">
      <c r="B9" t="s">
        <v>142</v>
      </c>
      <c r="C9" s="36"/>
      <c r="D9" s="36">
        <v>25</v>
      </c>
      <c r="E9" s="36">
        <f>$G$2*(1+$G$2)^D9/((1+$G$2)^D9-1)</f>
        <v>7.0952457299229624E-2</v>
      </c>
    </row>
    <row r="10" spans="2:11">
      <c r="B10" t="s">
        <v>143</v>
      </c>
      <c r="C10" s="36"/>
      <c r="D10" s="36">
        <v>25</v>
      </c>
      <c r="E10" s="36">
        <f t="shared" si="0"/>
        <v>7.0952457299229624E-2</v>
      </c>
    </row>
    <row r="11" spans="2:11">
      <c r="B11" t="s">
        <v>144</v>
      </c>
      <c r="C11" s="36"/>
      <c r="D11" s="36">
        <v>25</v>
      </c>
      <c r="E11" s="36">
        <f t="shared" si="0"/>
        <v>7.0952457299229624E-2</v>
      </c>
    </row>
    <row r="12" spans="2:11">
      <c r="B12" t="s">
        <v>145</v>
      </c>
      <c r="D12" s="36">
        <v>50</v>
      </c>
      <c r="E12" s="36">
        <f t="shared" si="0"/>
        <v>5.4776735485736472E-2</v>
      </c>
    </row>
    <row r="13" spans="2:11">
      <c r="B13" t="s">
        <v>146</v>
      </c>
      <c r="D13" s="36">
        <v>25</v>
      </c>
      <c r="E13" s="36">
        <f t="shared" si="0"/>
        <v>7.0952457299229624E-2</v>
      </c>
    </row>
    <row r="14" spans="2:11">
      <c r="B14" t="s">
        <v>147</v>
      </c>
      <c r="D14" s="36">
        <v>25</v>
      </c>
      <c r="E14" s="36">
        <f t="shared" si="0"/>
        <v>7.0952457299229624E-2</v>
      </c>
    </row>
    <row r="15" spans="2:11">
      <c r="B15" t="s">
        <v>148</v>
      </c>
      <c r="D15" s="36">
        <v>40</v>
      </c>
      <c r="E15" s="36">
        <f t="shared" si="0"/>
        <v>5.8278161166035E-2</v>
      </c>
    </row>
    <row r="16" spans="2:11">
      <c r="B16" t="s">
        <v>149</v>
      </c>
      <c r="D16" s="36">
        <v>60</v>
      </c>
      <c r="E16" s="36">
        <f t="shared" si="0"/>
        <v>5.2828184527242368E-2</v>
      </c>
    </row>
    <row r="17" spans="2:5">
      <c r="B17" t="s">
        <v>150</v>
      </c>
      <c r="D17" s="36">
        <v>25</v>
      </c>
      <c r="E17" s="36">
        <f t="shared" si="0"/>
        <v>7.0952457299229624E-2</v>
      </c>
    </row>
    <row r="18" spans="2:5">
      <c r="B18" t="s">
        <v>151</v>
      </c>
      <c r="D18" s="36">
        <v>25</v>
      </c>
      <c r="E18" s="36">
        <f t="shared" si="0"/>
        <v>7.0952457299229624E-2</v>
      </c>
    </row>
    <row r="19" spans="2:5">
      <c r="B19" t="s">
        <v>152</v>
      </c>
      <c r="D19" s="36">
        <v>25</v>
      </c>
      <c r="E19" s="36">
        <f t="shared" si="0"/>
        <v>7.0952457299229624E-2</v>
      </c>
    </row>
    <row r="20" spans="2:5">
      <c r="B20" t="s">
        <v>135</v>
      </c>
      <c r="D20" s="38">
        <v>1</v>
      </c>
      <c r="E20" s="36">
        <f t="shared" si="0"/>
        <v>1.0499999999999992</v>
      </c>
    </row>
    <row r="21" spans="2:5">
      <c r="B21" t="s">
        <v>134</v>
      </c>
      <c r="D21" s="38">
        <v>1</v>
      </c>
      <c r="E21" s="36">
        <f t="shared" si="0"/>
        <v>1.0499999999999992</v>
      </c>
    </row>
    <row r="22" spans="2:5">
      <c r="D22" s="36"/>
      <c r="E22" s="36"/>
    </row>
    <row r="23" spans="2:5">
      <c r="D23" s="36"/>
      <c r="E23" s="36"/>
    </row>
    <row r="24" spans="2:5">
      <c r="D24" s="36"/>
      <c r="E24" s="36"/>
    </row>
    <row r="25" spans="2:5">
      <c r="D25" s="36"/>
      <c r="E25" s="36"/>
    </row>
    <row r="26" spans="2:5">
      <c r="D26" s="36"/>
      <c r="E26" s="36"/>
    </row>
    <row r="27" spans="2:5">
      <c r="D27" s="36"/>
      <c r="E27" s="36"/>
    </row>
    <row r="28" spans="2:5">
      <c r="D28" s="36"/>
      <c r="E28" s="36"/>
    </row>
    <row r="29" spans="2:5">
      <c r="D29" s="36"/>
      <c r="E29" s="36"/>
    </row>
    <row r="30" spans="2:5">
      <c r="D30" s="36"/>
      <c r="E30" s="36"/>
    </row>
    <row r="31" spans="2:5">
      <c r="D31" s="36"/>
      <c r="E31" s="36"/>
    </row>
    <row r="32" spans="2:5">
      <c r="D32" s="36"/>
      <c r="E32" s="36"/>
    </row>
    <row r="33" spans="4:5">
      <c r="D33" s="36"/>
      <c r="E33" s="36"/>
    </row>
    <row r="34" spans="4:5">
      <c r="D34" s="36"/>
      <c r="E34" s="36"/>
    </row>
    <row r="35" spans="4:5">
      <c r="D35" s="36"/>
      <c r="E35" s="36"/>
    </row>
    <row r="36" spans="4:5">
      <c r="D36" s="36"/>
      <c r="E36" s="36"/>
    </row>
    <row r="37" spans="4:5">
      <c r="D37" s="36"/>
      <c r="E37" s="36"/>
    </row>
    <row r="38" spans="4:5">
      <c r="D38" s="36"/>
      <c r="E38" s="36"/>
    </row>
    <row r="39" spans="4:5">
      <c r="D39" s="36"/>
      <c r="E39" s="36"/>
    </row>
    <row r="40" spans="4:5">
      <c r="D40" s="36"/>
      <c r="E40" s="36"/>
    </row>
    <row r="41" spans="4:5">
      <c r="D41" s="36"/>
      <c r="E41" s="36"/>
    </row>
    <row r="42" spans="4:5">
      <c r="D42" s="36"/>
      <c r="E42" s="36"/>
    </row>
    <row r="43" spans="4:5">
      <c r="D43" s="36"/>
      <c r="E43" s="36"/>
    </row>
    <row r="44" spans="4:5">
      <c r="D44" s="36"/>
      <c r="E44" s="36"/>
    </row>
    <row r="45" spans="4:5">
      <c r="D45" s="36"/>
      <c r="E45" s="36"/>
    </row>
    <row r="46" spans="4:5">
      <c r="D46" s="36"/>
      <c r="E46" s="36"/>
    </row>
    <row r="47" spans="4:5">
      <c r="D47" s="36"/>
      <c r="E47" s="36"/>
    </row>
    <row r="48" spans="4:5">
      <c r="D48" s="36"/>
      <c r="E48" s="36"/>
    </row>
    <row r="49" spans="4:5">
      <c r="D49" s="36"/>
      <c r="E49" s="36"/>
    </row>
    <row r="50" spans="4:5">
      <c r="D50" s="36"/>
      <c r="E50" s="36"/>
    </row>
    <row r="51" spans="4:5">
      <c r="D51" s="36"/>
      <c r="E51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Grid_cost_Base</vt:lpstr>
      <vt:lpstr>Investments_Base</vt:lpstr>
      <vt:lpstr>Capital Annualized Costs Base</vt:lpstr>
      <vt:lpstr>Emissions_Base</vt:lpstr>
      <vt:lpstr>Cost_of_ELCgen</vt:lpstr>
      <vt:lpstr>Variable</vt:lpstr>
      <vt:lpstr>Fixed</vt:lpstr>
      <vt:lpstr>Capital_Investments</vt:lpstr>
      <vt:lpstr>Annualized_Investments</vt:lpstr>
      <vt:lpstr>AnnualProduction</vt:lpstr>
      <vt:lpstr>New Capacity</vt:lpstr>
      <vt:lpstr>UseByTech</vt:lpstr>
      <vt:lpstr>Operation Life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2026-02-03T16:22:17Z</dcterms:modified>
</cp:coreProperties>
</file>